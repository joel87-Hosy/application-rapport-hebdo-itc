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TEBOOK\Downloads\"/>
    </mc:Choice>
  </mc:AlternateContent>
  <xr:revisionPtr revIDLastSave="0" documentId="13_ncr:1_{F15D46AA-33FB-44A0-9ABE-B292BFBB6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IVI INSTANCES DIVO" sheetId="1" r:id="rId1"/>
    <sheet name="SUIVI RACCORDEMENT DIVO" sheetId="2" r:id="rId2"/>
  </sheets>
  <externalReferences>
    <externalReference r:id="rId3"/>
  </externalReferences>
  <definedNames>
    <definedName name="_xlnm._FilterDatabase" localSheetId="0" hidden="1">'SUIVI INSTANCES DIVO'!$A$1:$AE$65</definedName>
    <definedName name="_xlnm._FilterDatabase" localSheetId="1" hidden="1">'SUIVI RACCORDEMENT DIVO'!$A$1:$Y$985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27" i="2" l="1"/>
  <c r="AE1023" i="2"/>
  <c r="AE1021" i="2"/>
  <c r="AE2" i="1" l="1"/>
  <c r="AE27" i="1"/>
  <c r="AE59" i="1"/>
  <c r="AE54" i="1"/>
  <c r="AE50" i="1"/>
  <c r="AE26" i="1"/>
  <c r="AE35" i="1"/>
  <c r="AE51" i="1"/>
  <c r="AE32" i="1"/>
  <c r="AE19" i="1"/>
  <c r="AE38" i="1"/>
  <c r="AE29" i="1"/>
  <c r="AE25" i="1"/>
  <c r="AE11" i="1"/>
  <c r="AE12" i="1"/>
  <c r="AE7" i="1"/>
  <c r="AE33" i="1"/>
  <c r="AE55" i="1"/>
  <c r="AE21" i="1"/>
  <c r="AE31" i="1"/>
  <c r="AE18" i="1"/>
  <c r="AE16" i="1"/>
  <c r="AE47" i="1"/>
  <c r="AE17" i="1"/>
  <c r="AE45" i="1"/>
  <c r="AE15" i="1"/>
  <c r="AE37" i="1"/>
  <c r="AE4" i="1"/>
  <c r="AE8" i="1"/>
  <c r="AE46" i="1"/>
  <c r="AE56" i="1"/>
  <c r="AE28" i="1"/>
  <c r="AE14" i="1"/>
  <c r="AE57" i="1"/>
  <c r="AE34" i="1"/>
  <c r="AE13" i="1"/>
  <c r="AE9" i="1"/>
  <c r="AE22" i="1"/>
  <c r="AE20" i="1"/>
  <c r="AE58" i="1"/>
  <c r="AE48" i="1"/>
  <c r="AE49" i="1"/>
  <c r="AE52" i="1"/>
  <c r="AE30" i="1"/>
  <c r="AE5" i="1"/>
  <c r="AE39" i="1"/>
  <c r="AE23" i="1"/>
  <c r="AE24" i="1"/>
  <c r="AE60" i="1"/>
  <c r="AE44" i="1"/>
  <c r="AE36" i="1"/>
  <c r="P869" i="2"/>
  <c r="P870" i="2"/>
  <c r="P871" i="2"/>
  <c r="P872" i="2"/>
  <c r="P866" i="2"/>
  <c r="P867" i="2"/>
  <c r="P868" i="2"/>
  <c r="P865" i="2"/>
  <c r="P864" i="2"/>
  <c r="P860" i="2"/>
  <c r="P861" i="2"/>
  <c r="P862" i="2"/>
  <c r="P863" i="2"/>
  <c r="P854" i="2"/>
  <c r="P856" i="2" l="1"/>
  <c r="P857" i="2"/>
  <c r="P858" i="2"/>
  <c r="P859" i="2"/>
  <c r="P851" i="2" l="1"/>
  <c r="P852" i="2"/>
  <c r="P853" i="2"/>
  <c r="P855" i="2"/>
  <c r="P843" i="2"/>
  <c r="P844" i="2"/>
  <c r="P845" i="2"/>
  <c r="P846" i="2"/>
  <c r="P847" i="2"/>
  <c r="P848" i="2"/>
  <c r="P849" i="2"/>
  <c r="P841" i="2"/>
  <c r="P842" i="2"/>
  <c r="P850" i="2"/>
  <c r="P837" i="2"/>
  <c r="P838" i="2"/>
  <c r="P839" i="2"/>
  <c r="P840" i="2"/>
  <c r="P832" i="2"/>
  <c r="P833" i="2"/>
  <c r="P834" i="2"/>
  <c r="P835" i="2"/>
  <c r="P836" i="2"/>
  <c r="P824" i="2" l="1"/>
  <c r="P825" i="2"/>
  <c r="P826" i="2"/>
  <c r="P827" i="2"/>
  <c r="P821" i="2" l="1"/>
  <c r="P822" i="2"/>
  <c r="P823" i="2"/>
  <c r="P820" i="2" l="1"/>
  <c r="P819" i="2"/>
  <c r="P818" i="2"/>
  <c r="P817" i="2"/>
  <c r="P816" i="2"/>
  <c r="P815" i="2"/>
  <c r="P814" i="2"/>
  <c r="P813" i="2"/>
  <c r="P807" i="2" l="1"/>
  <c r="P808" i="2"/>
  <c r="P809" i="2"/>
  <c r="P810" i="2"/>
  <c r="P811" i="2"/>
  <c r="P812" i="2"/>
  <c r="P802" i="2"/>
  <c r="P803" i="2"/>
  <c r="P804" i="2"/>
  <c r="P805" i="2"/>
  <c r="P806" i="2"/>
  <c r="P794" i="2" l="1"/>
  <c r="P795" i="2"/>
  <c r="P796" i="2"/>
  <c r="P797" i="2"/>
  <c r="P789" i="2"/>
  <c r="P790" i="2"/>
  <c r="P791" i="2"/>
  <c r="P792" i="2"/>
  <c r="P793" i="2"/>
  <c r="P786" i="2" l="1"/>
  <c r="P787" i="2"/>
  <c r="P788" i="2"/>
  <c r="P785" i="2"/>
  <c r="P784" i="2"/>
  <c r="P779" i="2"/>
  <c r="P781" i="2"/>
  <c r="P782" i="2"/>
  <c r="P780" i="2"/>
  <c r="P783" i="2"/>
  <c r="P774" i="2" l="1"/>
  <c r="P775" i="2"/>
  <c r="P776" i="2"/>
  <c r="P777" i="2"/>
  <c r="P778" i="2"/>
  <c r="P765" i="2"/>
  <c r="P766" i="2"/>
  <c r="P768" i="2"/>
  <c r="P769" i="2"/>
  <c r="P770" i="2"/>
  <c r="P771" i="2"/>
  <c r="P773" i="2"/>
  <c r="P767" i="2" l="1"/>
  <c r="P764" i="2" l="1"/>
  <c r="P763" i="2"/>
  <c r="P762" i="2"/>
  <c r="P761" i="2"/>
  <c r="P756" i="2" l="1"/>
  <c r="P757" i="2"/>
  <c r="P758" i="2"/>
  <c r="P759" i="2"/>
  <c r="P760" i="2"/>
  <c r="P754" i="2"/>
  <c r="P755" i="2"/>
  <c r="P737" i="2" l="1"/>
  <c r="P738" i="2"/>
  <c r="P741" i="2"/>
  <c r="P739" i="2" l="1"/>
  <c r="P740" i="2"/>
  <c r="P742" i="2"/>
  <c r="P724" i="2"/>
  <c r="P725" i="2"/>
  <c r="P720" i="2"/>
  <c r="P726" i="2"/>
  <c r="P723" i="2"/>
  <c r="P721" i="2"/>
  <c r="P722" i="2"/>
  <c r="P718" i="2"/>
  <c r="P715" i="2"/>
  <c r="P711" i="2"/>
  <c r="P712" i="2"/>
  <c r="P714" i="2"/>
  <c r="P713" i="2"/>
  <c r="P717" i="2"/>
  <c r="P699" i="2"/>
  <c r="P702" i="2"/>
  <c r="P701" i="2"/>
  <c r="P700" i="2"/>
  <c r="P703" i="2"/>
  <c r="P704" i="2"/>
  <c r="P705" i="2"/>
  <c r="P698" i="2"/>
  <c r="P685" i="2" l="1"/>
  <c r="P688" i="2"/>
  <c r="P689" i="2"/>
  <c r="P684" i="2"/>
  <c r="P686" i="2"/>
  <c r="P687" i="2"/>
  <c r="P690" i="2"/>
  <c r="P681" i="2" l="1"/>
  <c r="P682" i="2"/>
  <c r="P683" i="2"/>
  <c r="P678" i="2"/>
  <c r="P679" i="2"/>
  <c r="P680" i="2"/>
  <c r="P673" i="2" l="1"/>
  <c r="P674" i="2"/>
  <c r="P675" i="2"/>
  <c r="P676" i="2"/>
  <c r="P677" i="2"/>
  <c r="P669" i="2"/>
  <c r="P670" i="2"/>
  <c r="P671" i="2"/>
  <c r="P672" i="2"/>
  <c r="P667" i="2"/>
  <c r="P666" i="2"/>
  <c r="P664" i="2"/>
  <c r="P665" i="2" l="1"/>
  <c r="P661" i="2"/>
  <c r="P662" i="2"/>
  <c r="P663" i="2"/>
  <c r="P656" i="2" l="1"/>
  <c r="P657" i="2"/>
  <c r="P658" i="2"/>
  <c r="P659" i="2"/>
  <c r="P660" i="2"/>
  <c r="P655" i="2"/>
  <c r="P654" i="2"/>
  <c r="P653" i="2"/>
  <c r="P651" i="2" l="1"/>
  <c r="P650" i="2"/>
  <c r="P652" i="2"/>
  <c r="P648" i="2"/>
  <c r="P649" i="2"/>
  <c r="P647" i="2"/>
  <c r="P644" i="2"/>
  <c r="P645" i="2"/>
  <c r="P646" i="2"/>
  <c r="P641" i="2"/>
  <c r="P642" i="2"/>
  <c r="P639" i="2"/>
  <c r="P640" i="2"/>
  <c r="P643" i="2"/>
  <c r="P638" i="2"/>
  <c r="P633" i="2"/>
  <c r="P634" i="2"/>
  <c r="P636" i="2"/>
  <c r="P635" i="2"/>
  <c r="P637" i="2"/>
  <c r="P626" i="2" l="1"/>
  <c r="P627" i="2"/>
  <c r="P628" i="2"/>
  <c r="P629" i="2"/>
  <c r="P631" i="2"/>
  <c r="P630" i="2"/>
  <c r="P632" i="2"/>
  <c r="P621" i="2"/>
  <c r="P622" i="2"/>
  <c r="P623" i="2"/>
  <c r="P620" i="2"/>
  <c r="P624" i="2"/>
  <c r="P625" i="2"/>
  <c r="P617" i="2"/>
  <c r="P618" i="2"/>
  <c r="P619" i="2"/>
  <c r="P615" i="2" l="1"/>
  <c r="P616" i="2"/>
  <c r="P612" i="2"/>
  <c r="P613" i="2"/>
  <c r="P614" i="2"/>
  <c r="P610" i="2"/>
  <c r="P611" i="2"/>
  <c r="P609" i="2" l="1"/>
  <c r="P603" i="2" l="1"/>
  <c r="P605" i="2"/>
  <c r="P606" i="2"/>
  <c r="P600" i="2"/>
  <c r="P601" i="2"/>
  <c r="P602" i="2"/>
  <c r="P598" i="2"/>
  <c r="P599" i="2"/>
  <c r="P595" i="2"/>
  <c r="P596" i="2"/>
  <c r="P593" i="2" l="1"/>
  <c r="P594" i="2"/>
  <c r="P591" i="2"/>
  <c r="P592" i="2"/>
  <c r="P588" i="2"/>
  <c r="P589" i="2"/>
  <c r="P590" i="2"/>
  <c r="P587" i="2"/>
  <c r="P586" i="2"/>
  <c r="P585" i="2"/>
  <c r="P584" i="2"/>
  <c r="P583" i="2"/>
  <c r="P581" i="2"/>
  <c r="P582" i="2"/>
  <c r="P576" i="2"/>
  <c r="P577" i="2"/>
  <c r="P580" i="2"/>
  <c r="P579" i="2"/>
  <c r="P578" i="2"/>
  <c r="P569" i="2"/>
  <c r="P559" i="2"/>
  <c r="P560" i="2"/>
  <c r="P558" i="2"/>
  <c r="P545" i="2"/>
  <c r="P548" i="2"/>
  <c r="P544" i="2"/>
  <c r="P546" i="2"/>
  <c r="P547" i="2"/>
  <c r="P536" i="2"/>
  <c r="P542" i="2"/>
  <c r="P535" i="2"/>
  <c r="P538" i="2"/>
  <c r="P537" i="2"/>
  <c r="P534" i="2"/>
  <c r="P539" i="2"/>
  <c r="P540" i="2"/>
  <c r="P543" i="2"/>
  <c r="P541" i="2"/>
  <c r="P531" i="2" l="1"/>
  <c r="P530" i="2"/>
  <c r="P532" i="2"/>
  <c r="P533" i="2"/>
  <c r="P529" i="2"/>
  <c r="P520" i="2"/>
  <c r="P525" i="2" l="1"/>
  <c r="P527" i="2"/>
  <c r="P528" i="2"/>
  <c r="P526" i="2"/>
  <c r="P524" i="2"/>
  <c r="P522" i="2"/>
  <c r="P521" i="2"/>
  <c r="P523" i="2"/>
  <c r="P668" i="2"/>
  <c r="P517" i="2" l="1"/>
  <c r="P518" i="2"/>
  <c r="P519" i="2"/>
  <c r="P516" i="2"/>
  <c r="P515" i="2"/>
  <c r="P514" i="2"/>
  <c r="P513" i="2"/>
  <c r="P510" i="2" l="1"/>
  <c r="P511" i="2"/>
  <c r="P505" i="2" l="1"/>
  <c r="P509" i="2"/>
  <c r="P506" i="2"/>
  <c r="P507" i="2"/>
  <c r="P508" i="2"/>
  <c r="P502" i="2" l="1"/>
  <c r="P503" i="2"/>
  <c r="P504" i="2"/>
  <c r="P501" i="2" l="1"/>
  <c r="P499" i="2"/>
  <c r="P500" i="2"/>
  <c r="P428" i="2" l="1"/>
  <c r="P443" i="2"/>
  <c r="P497" i="2"/>
  <c r="P496" i="2"/>
  <c r="P498" i="2"/>
  <c r="P494" i="2"/>
  <c r="P493" i="2"/>
  <c r="P492" i="2"/>
  <c r="P491" i="2"/>
  <c r="P489" i="2" l="1"/>
  <c r="P488" i="2"/>
  <c r="P490" i="2"/>
  <c r="P487" i="2"/>
  <c r="P434" i="2" l="1"/>
  <c r="P469" i="2" l="1"/>
  <c r="P484" i="2"/>
  <c r="P486" i="2"/>
  <c r="P470" i="2" l="1"/>
  <c r="P480" i="2"/>
  <c r="P478" i="2"/>
  <c r="P474" i="2"/>
  <c r="P482" i="2"/>
  <c r="P483" i="2"/>
  <c r="P481" i="2"/>
  <c r="P475" i="2" l="1"/>
  <c r="P473" i="2"/>
  <c r="P476" i="2"/>
  <c r="P471" i="2"/>
  <c r="P472" i="2"/>
  <c r="P477" i="2"/>
  <c r="P479" i="2"/>
  <c r="P464" i="2" l="1"/>
  <c r="P465" i="2"/>
  <c r="P467" i="2"/>
  <c r="P463" i="2"/>
  <c r="P466" i="2"/>
  <c r="P462" i="2" l="1"/>
  <c r="P459" i="2"/>
  <c r="P458" i="2"/>
  <c r="P460" i="2"/>
  <c r="P461" i="2"/>
  <c r="P452" i="2"/>
  <c r="P451" i="2"/>
  <c r="P453" i="2"/>
  <c r="P454" i="2"/>
  <c r="P450" i="2"/>
  <c r="P449" i="2"/>
  <c r="P456" i="2"/>
  <c r="P455" i="2"/>
  <c r="P448" i="2"/>
  <c r="P446" i="2"/>
  <c r="P444" i="2"/>
  <c r="P447" i="2"/>
  <c r="P445" i="2"/>
  <c r="P441" i="2"/>
  <c r="P439" i="2" l="1"/>
  <c r="P442" i="2"/>
  <c r="P440" i="2"/>
  <c r="P436" i="2"/>
  <c r="P438" i="2"/>
  <c r="P435" i="2"/>
  <c r="P437" i="2"/>
  <c r="P431" i="2" l="1"/>
  <c r="P433" i="2"/>
  <c r="P429" i="2" l="1"/>
  <c r="P419" i="2"/>
  <c r="P420" i="2"/>
  <c r="P413" i="2"/>
  <c r="P409" i="2" l="1"/>
  <c r="P410" i="2"/>
  <c r="P408" i="2"/>
  <c r="P407" i="2"/>
  <c r="P406" i="2"/>
  <c r="P404" i="2"/>
  <c r="P401" i="2" l="1"/>
  <c r="P403" i="2"/>
  <c r="P402" i="2"/>
  <c r="P399" i="2"/>
  <c r="P398" i="2"/>
  <c r="P397" i="2" l="1"/>
  <c r="P396" i="2"/>
  <c r="P395" i="2"/>
  <c r="P394" i="2"/>
  <c r="P393" i="2"/>
  <c r="P385" i="2" l="1"/>
  <c r="P384" i="2"/>
  <c r="P383" i="2" l="1"/>
  <c r="P382" i="2" l="1"/>
  <c r="P381" i="2"/>
  <c r="P380" i="2"/>
  <c r="P378" i="2"/>
  <c r="P379" i="2"/>
  <c r="P357" i="2"/>
  <c r="P353" i="2"/>
  <c r="P352" i="2"/>
  <c r="P356" i="2"/>
  <c r="P351" i="2"/>
  <c r="P354" i="2"/>
  <c r="P348" i="2"/>
  <c r="P349" i="2"/>
  <c r="P344" i="2" l="1"/>
  <c r="P347" i="2"/>
  <c r="P343" i="2"/>
  <c r="P346" i="2"/>
  <c r="P345" i="2"/>
  <c r="P342" i="2" l="1"/>
  <c r="P341" i="2"/>
  <c r="P340" i="2"/>
  <c r="P337" i="2" l="1"/>
  <c r="P338" i="2"/>
  <c r="P339" i="2"/>
  <c r="P328" i="2"/>
  <c r="P334" i="2"/>
  <c r="P333" i="2" l="1"/>
  <c r="P332" i="2"/>
  <c r="P331" i="2"/>
  <c r="P330" i="2"/>
  <c r="P327" i="2"/>
  <c r="P329" i="2"/>
  <c r="P326" i="2" l="1"/>
  <c r="P325" i="2"/>
  <c r="P322" i="2"/>
  <c r="P320" i="2"/>
  <c r="P324" i="2"/>
  <c r="P323" i="2"/>
  <c r="P321" i="2"/>
  <c r="P319" i="2"/>
  <c r="P315" i="2"/>
  <c r="P317" i="2"/>
  <c r="P316" i="2"/>
  <c r="P314" i="2"/>
  <c r="P318" i="2"/>
  <c r="P312" i="2"/>
  <c r="P313" i="2"/>
  <c r="P311" i="2" l="1"/>
  <c r="P308" i="2"/>
  <c r="P310" i="2"/>
  <c r="P309" i="2"/>
  <c r="P307" i="2"/>
  <c r="P304" i="2" l="1"/>
  <c r="P303" i="2"/>
  <c r="P302" i="2"/>
  <c r="P299" i="2" l="1"/>
  <c r="P298" i="2"/>
  <c r="P297" i="2"/>
  <c r="P296" i="2"/>
  <c r="P295" i="2"/>
  <c r="P291" i="2" l="1"/>
  <c r="P294" i="2"/>
  <c r="P292" i="2"/>
  <c r="P293" i="2"/>
  <c r="P286" i="2" l="1"/>
  <c r="P278" i="2" l="1"/>
  <c r="P279" i="2"/>
  <c r="P280" i="2"/>
  <c r="P272" i="2"/>
  <c r="P273" i="2"/>
  <c r="P269" i="2" l="1"/>
  <c r="P267" i="2"/>
  <c r="P266" i="2"/>
  <c r="P268" i="2"/>
  <c r="P265" i="2"/>
  <c r="P256" i="2"/>
  <c r="P254" i="2"/>
  <c r="P261" i="2"/>
  <c r="P264" i="2"/>
  <c r="P255" i="2"/>
  <c r="P259" i="2"/>
  <c r="P263" i="2"/>
  <c r="P262" i="2"/>
  <c r="P260" i="2"/>
  <c r="P258" i="2"/>
  <c r="P253" i="2" l="1"/>
  <c r="P250" i="2"/>
  <c r="P252" i="2"/>
  <c r="P251" i="2"/>
  <c r="P246" i="2"/>
  <c r="P249" i="2"/>
  <c r="P243" i="2"/>
  <c r="P247" i="2"/>
  <c r="P244" i="2"/>
  <c r="P245" i="2"/>
  <c r="P248" i="2"/>
  <c r="P242" i="2"/>
  <c r="P238" i="2"/>
  <c r="P239" i="2"/>
  <c r="P241" i="2"/>
  <c r="P240" i="2"/>
  <c r="P237" i="2"/>
  <c r="P236" i="2"/>
  <c r="P235" i="2"/>
  <c r="P234" i="2"/>
  <c r="P233" i="2"/>
  <c r="P231" i="2"/>
  <c r="P229" i="2"/>
  <c r="P232" i="2"/>
  <c r="P230" i="2"/>
  <c r="P227" i="2" l="1"/>
  <c r="P226" i="2"/>
  <c r="P225" i="2"/>
  <c r="P228" i="2"/>
  <c r="P221" i="2"/>
  <c r="P220" i="2"/>
  <c r="P222" i="2"/>
  <c r="P224" i="2"/>
  <c r="P223" i="2"/>
  <c r="P218" i="2"/>
  <c r="P213" i="2"/>
  <c r="P219" i="2"/>
  <c r="P216" i="2"/>
  <c r="P215" i="2"/>
  <c r="P212" i="2"/>
  <c r="P217" i="2"/>
  <c r="P214" i="2"/>
  <c r="I206" i="2" l="1"/>
  <c r="P206" i="2"/>
  <c r="P210" i="2"/>
  <c r="P208" i="2"/>
  <c r="P257" i="2"/>
  <c r="P209" i="2"/>
  <c r="P211" i="2"/>
  <c r="P207" i="2"/>
  <c r="P200" i="2" l="1"/>
  <c r="P203" i="2"/>
  <c r="P204" i="2"/>
  <c r="P205" i="2"/>
  <c r="P201" i="2"/>
  <c r="P199" i="2"/>
  <c r="P202" i="2"/>
  <c r="P197" i="2" l="1"/>
  <c r="P193" i="2"/>
  <c r="P195" i="2"/>
  <c r="P189" i="2"/>
  <c r="P192" i="2"/>
  <c r="P194" i="2"/>
  <c r="P190" i="2"/>
  <c r="P191" i="2"/>
  <c r="P196" i="2"/>
  <c r="P198" i="2"/>
  <c r="P182" i="2" l="1"/>
  <c r="P184" i="2"/>
  <c r="P187" i="2"/>
  <c r="P185" i="2"/>
  <c r="P183" i="2"/>
  <c r="P186" i="2"/>
  <c r="P181" i="2"/>
  <c r="P177" i="2" l="1"/>
  <c r="P175" i="2"/>
  <c r="P178" i="2"/>
  <c r="P171" i="2"/>
  <c r="P188" i="2"/>
  <c r="P173" i="2"/>
  <c r="P174" i="2"/>
  <c r="P179" i="2"/>
  <c r="P172" i="2"/>
  <c r="P176" i="2"/>
  <c r="P180" i="2"/>
  <c r="P169" i="2" l="1"/>
  <c r="P170" i="2"/>
  <c r="P165" i="2" l="1"/>
  <c r="P167" i="2"/>
  <c r="P166" i="2"/>
  <c r="P168" i="2"/>
  <c r="P161" i="2" l="1"/>
  <c r="P162" i="2"/>
  <c r="P160" i="2"/>
  <c r="P163" i="2"/>
  <c r="P164" i="2"/>
  <c r="P156" i="2" l="1"/>
  <c r="P159" i="2"/>
  <c r="P158" i="2"/>
  <c r="P157" i="2"/>
  <c r="P147" i="2" l="1"/>
  <c r="P137" i="2" l="1"/>
  <c r="P138" i="2"/>
  <c r="P136" i="2"/>
  <c r="P135" i="2"/>
  <c r="P128" i="2" l="1"/>
  <c r="P129" i="2"/>
  <c r="P123" i="2" l="1"/>
  <c r="P125" i="2"/>
  <c r="P119" i="2" l="1"/>
  <c r="P112" i="2" l="1"/>
  <c r="P113" i="2"/>
  <c r="P114" i="2"/>
  <c r="P109" i="2" l="1"/>
  <c r="P101" i="2" l="1"/>
  <c r="P102" i="2" l="1"/>
  <c r="P100" i="2"/>
  <c r="P96" i="2" l="1"/>
  <c r="P93" i="2"/>
  <c r="P95" i="2"/>
  <c r="P94" i="2"/>
  <c r="P91" i="2" l="1"/>
  <c r="P89" i="2" l="1"/>
  <c r="P87" i="2"/>
  <c r="P90" i="2"/>
  <c r="P88" i="2"/>
  <c r="P74" i="2" l="1"/>
  <c r="P63" i="2"/>
  <c r="P86" i="2" l="1"/>
  <c r="P85" i="2"/>
  <c r="P84" i="2"/>
  <c r="P26" i="2" l="1"/>
  <c r="P24" i="2"/>
  <c r="P29" i="2"/>
  <c r="P30" i="2"/>
  <c r="P31" i="2"/>
  <c r="P27" i="2"/>
  <c r="P32" i="2"/>
  <c r="P28" i="2"/>
  <c r="P33" i="2"/>
  <c r="P34" i="2"/>
  <c r="P35" i="2"/>
  <c r="P36" i="2"/>
  <c r="P37" i="2"/>
  <c r="P41" i="2"/>
  <c r="P38" i="2"/>
  <c r="P40" i="2"/>
  <c r="P39" i="2"/>
  <c r="P42" i="2"/>
  <c r="P45" i="2"/>
  <c r="P43" i="2"/>
  <c r="P44" i="2"/>
  <c r="P46" i="2"/>
  <c r="P47" i="2"/>
  <c r="P53" i="2"/>
  <c r="P48" i="2"/>
  <c r="P50" i="2"/>
  <c r="P58" i="2"/>
  <c r="P49" i="2"/>
  <c r="P56" i="2"/>
  <c r="P52" i="2"/>
  <c r="P59" i="2"/>
  <c r="P60" i="2"/>
  <c r="P57" i="2"/>
  <c r="P51" i="2"/>
  <c r="P61" i="2"/>
  <c r="P54" i="2"/>
  <c r="P55" i="2"/>
  <c r="P10" i="2"/>
  <c r="P16" i="2"/>
  <c r="P11" i="2"/>
  <c r="P12" i="2"/>
  <c r="P13" i="2"/>
  <c r="P14" i="2"/>
  <c r="P15" i="2"/>
  <c r="P62" i="2"/>
  <c r="P64" i="2"/>
  <c r="P65" i="2"/>
  <c r="P70" i="2"/>
  <c r="P68" i="2"/>
  <c r="P67" i="2"/>
  <c r="P69" i="2"/>
  <c r="P66" i="2"/>
  <c r="P75" i="2"/>
  <c r="P76" i="2"/>
  <c r="P73" i="2"/>
  <c r="P77" i="2"/>
  <c r="P78" i="2"/>
  <c r="P71" i="2"/>
  <c r="P72" i="2"/>
  <c r="P79" i="2"/>
  <c r="P80" i="2"/>
  <c r="P83" i="2"/>
  <c r="P81" i="2"/>
  <c r="P82" i="2"/>
  <c r="P7" i="2"/>
  <c r="P8" i="2"/>
  <c r="P9" i="2"/>
  <c r="P19" i="2"/>
  <c r="P21" i="2"/>
  <c r="P17" i="2"/>
  <c r="P20" i="2"/>
  <c r="P18" i="2"/>
  <c r="P25" i="2"/>
  <c r="P23" i="2"/>
  <c r="P22" i="2"/>
  <c r="P6" i="2"/>
</calcChain>
</file>

<file path=xl/sharedStrings.xml><?xml version="1.0" encoding="utf-8"?>
<sst xmlns="http://schemas.openxmlformats.org/spreadsheetml/2006/main" count="17310" uniqueCount="5101">
  <si>
    <t>NumeroAbonnement</t>
  </si>
  <si>
    <t>LOCALISATION</t>
  </si>
  <si>
    <t>Contact1</t>
  </si>
  <si>
    <t>Contact2</t>
  </si>
  <si>
    <t>Latitude client</t>
  </si>
  <si>
    <t>Longitude client</t>
  </si>
  <si>
    <t>ZONE PCO(SRO,OLT..)</t>
  </si>
  <si>
    <t>JDV/HUB</t>
  </si>
  <si>
    <t>PCO</t>
  </si>
  <si>
    <t>SN ONT</t>
  </si>
  <si>
    <t>LIGNE FIXE</t>
  </si>
  <si>
    <t>Date d'enregistrement d'instances</t>
  </si>
  <si>
    <t>Durée d'attente (en jour)</t>
  </si>
  <si>
    <t>date d'envoi des instances aux prestataires</t>
  </si>
  <si>
    <t>Besoin en poteau betons</t>
  </si>
  <si>
    <t>Besoin en poteau metalliques</t>
  </si>
  <si>
    <t>RAS</t>
  </si>
  <si>
    <t>Date previsionnelle de raccordement du client</t>
  </si>
  <si>
    <t>Superviseur Moov</t>
  </si>
  <si>
    <t>Distance PCO-Client</t>
  </si>
  <si>
    <t>Entreprise FTTH</t>
  </si>
  <si>
    <t>Avancement</t>
  </si>
  <si>
    <t>Problèmes</t>
  </si>
  <si>
    <t>RAB0000000194906</t>
  </si>
  <si>
    <t>SIAKA YVE BEUGRE</t>
  </si>
  <si>
    <t>DIVO</t>
  </si>
  <si>
    <t>DM01</t>
  </si>
  <si>
    <t>HUB 04</t>
  </si>
  <si>
    <t>DMI01_PCO 100</t>
  </si>
  <si>
    <t>48575443571ED6AF</t>
  </si>
  <si>
    <t xml:space="preserve">SANS PCO </t>
  </si>
  <si>
    <t>KOUASSI AYEMARD</t>
  </si>
  <si>
    <t>ITC</t>
  </si>
  <si>
    <t>RAB0000000195002</t>
  </si>
  <si>
    <t>DOSSO KOROTOUM</t>
  </si>
  <si>
    <t>DIVO COMMERCE</t>
  </si>
  <si>
    <t>DBA01</t>
  </si>
  <si>
    <t>DBA01_PCO021</t>
  </si>
  <si>
    <t>4857544357256DAF</t>
  </si>
  <si>
    <t>RAB0000000195135</t>
  </si>
  <si>
    <t>OUEDRAOGO OTHNIEL SCHAMA RAPHAEL</t>
  </si>
  <si>
    <t>DIVO LIBREVILLE</t>
  </si>
  <si>
    <t>DIM01</t>
  </si>
  <si>
    <t>48575443572A4FAF</t>
  </si>
  <si>
    <t>RAB0000000195111</t>
  </si>
  <si>
    <t>KEITA SIBIRI THEODORE</t>
  </si>
  <si>
    <t>DIVO KONANKRO</t>
  </si>
  <si>
    <t>485754435723BCAF</t>
  </si>
  <si>
    <t>A définir</t>
  </si>
  <si>
    <t>RAB0000000195234</t>
  </si>
  <si>
    <t>MOSLIMANI AHMAD</t>
  </si>
  <si>
    <t>DIVO RUE DES BANQUES</t>
  </si>
  <si>
    <t>485754435721E9AF</t>
  </si>
  <si>
    <t>RAB0000000194776</t>
  </si>
  <si>
    <t>PALE SEHI NABA (UNIPALM)</t>
  </si>
  <si>
    <t>DIVO MILLIONNAIRE BOYA</t>
  </si>
  <si>
    <t>48575443573013AF</t>
  </si>
  <si>
    <t>RAB0000000194837</t>
  </si>
  <si>
    <t>KOUAKOU GILLES ANDERSON KONAN</t>
  </si>
  <si>
    <t>DIVO BELLVILLE  CARREFOUR</t>
  </si>
  <si>
    <t>HUB 03</t>
  </si>
  <si>
    <t>DMI01_PCO 073</t>
  </si>
  <si>
    <t>48575443572C15AF</t>
  </si>
  <si>
    <t>RAB0000000194831</t>
  </si>
  <si>
    <t>AROUNA GUEBR</t>
  </si>
  <si>
    <t xml:space="preserve"> DIVO LIBREVILLE </t>
  </si>
  <si>
    <t>RAB0000000194852</t>
  </si>
  <si>
    <t>DIAWARA ISSA</t>
  </si>
  <si>
    <t>LATIFU MUKAILA</t>
  </si>
  <si>
    <t>DMI01_PCO 050</t>
  </si>
  <si>
    <t>RAB0000000194785</t>
  </si>
  <si>
    <t>DRAMERA ABDRAMANE</t>
  </si>
  <si>
    <t>RAB0000000194832</t>
  </si>
  <si>
    <t>KONE DAOUDA</t>
  </si>
  <si>
    <t>DIVO CARREFOUR LIBANAIS</t>
  </si>
  <si>
    <t xml:space="preserve"> 27/01/2025</t>
  </si>
  <si>
    <t>RAB0000000194908</t>
  </si>
  <si>
    <t>AYIDAGBAN MAHONGNON STEVEN</t>
  </si>
  <si>
    <t>DIVO VATICA PETIT MARCHE DU V</t>
  </si>
  <si>
    <t>RAB0000000194921</t>
  </si>
  <si>
    <t>KONE ALY</t>
  </si>
  <si>
    <t>DIVO DIOULABOUGOU 1</t>
  </si>
  <si>
    <t>RAB0000000194932</t>
  </si>
  <si>
    <t>DIABATE DAOUDA</t>
  </si>
  <si>
    <t>DIVO DIOULABOUGOU</t>
  </si>
  <si>
    <t>RAB0000000194913</t>
  </si>
  <si>
    <t>BAKAYOKO DAOUDA</t>
  </si>
  <si>
    <t>RAB0000000194919</t>
  </si>
  <si>
    <t>KOHUE LEGRE OSCAR CONSTANT</t>
  </si>
  <si>
    <t>DIVO BADA</t>
  </si>
  <si>
    <t>RAB0000000195000</t>
  </si>
  <si>
    <t>RAB0000000194960</t>
  </si>
  <si>
    <t>BOA MARTINE</t>
  </si>
  <si>
    <t>DIVO HOTEL IKO BOUTIQUE ORANGE BLANC VERT</t>
  </si>
  <si>
    <t>DMI01_PCO015</t>
  </si>
  <si>
    <t>RAB0000000194971</t>
  </si>
  <si>
    <t>TRAORE ZOUMANA</t>
  </si>
  <si>
    <t>DIVO BADA PETIT MARCHE</t>
  </si>
  <si>
    <t>RAB0000000194931</t>
  </si>
  <si>
    <t>TOHOURI GNAZOUA FABRICE</t>
  </si>
  <si>
    <t>RAB0000000194920</t>
  </si>
  <si>
    <t>RAB0000000194936</t>
  </si>
  <si>
    <t>OUEDRAOGO YACOUBA</t>
  </si>
  <si>
    <t>RAB0000000195029</t>
  </si>
  <si>
    <t>KONE MAIMOUNA</t>
  </si>
  <si>
    <t>RAB0000000194961</t>
  </si>
  <si>
    <t>N'CHO N'CHO STEPHANE</t>
  </si>
  <si>
    <t>DIVO QQUARTIER MILLIONAIRE</t>
  </si>
  <si>
    <t>RAB0000000194983</t>
  </si>
  <si>
    <t>COULIBALY SIAKA</t>
  </si>
  <si>
    <t>DIVO MILLIONNAIRE</t>
  </si>
  <si>
    <t>RAB0000000194996</t>
  </si>
  <si>
    <t>DIARRASSOUBA MOUSSA</t>
  </si>
  <si>
    <t>RAB0000000194998</t>
  </si>
  <si>
    <t>DIVO DJOULABOUGOU</t>
  </si>
  <si>
    <t>RAB0000000194963</t>
  </si>
  <si>
    <t>TRAORE ADAMA</t>
  </si>
  <si>
    <t>DIVO BELLE VILLE</t>
  </si>
  <si>
    <t>RAB0000000194939</t>
  </si>
  <si>
    <t>SORY IBRAHIMA</t>
  </si>
  <si>
    <t>DIOULABOUGOU</t>
  </si>
  <si>
    <t>RAB0000000195019</t>
  </si>
  <si>
    <t>GUIRA MAMADOU</t>
  </si>
  <si>
    <t>RAB0000000195128</t>
  </si>
  <si>
    <t>OUATTARA KOUAME ADJHA AUDREY DOMINIQUE</t>
  </si>
  <si>
    <t>DIVO MILLIONAIRE</t>
  </si>
  <si>
    <t>RAB0000000195170</t>
  </si>
  <si>
    <t>SAWADOGO ABDOULAYE</t>
  </si>
  <si>
    <t>RAB0000000195178</t>
  </si>
  <si>
    <t>COULIBALY OUMAR</t>
  </si>
  <si>
    <t>DIVO JERUSALEEM NOUVEAU GOUDRON</t>
  </si>
  <si>
    <t>RAB0000000195148</t>
  </si>
  <si>
    <t>DOUMBIA FATHI</t>
  </si>
  <si>
    <t>RAB0000000195180</t>
  </si>
  <si>
    <t>KANE DJIBRIL</t>
  </si>
  <si>
    <t>DIVO COMMERCE BADA</t>
  </si>
  <si>
    <t>RAB0000000195184</t>
  </si>
  <si>
    <t>GAYE SERIGNE THIERNO</t>
  </si>
  <si>
    <t>DIVO QUARTIER JERUSALEEM</t>
  </si>
  <si>
    <t>RAB0000000195182</t>
  </si>
  <si>
    <t>RAB0000000195467</t>
  </si>
  <si>
    <t>MUSTAPHA EL CHAMI</t>
  </si>
  <si>
    <t>DIVO COMMERCERUE DES BANQUES</t>
  </si>
  <si>
    <t>RAB0000000195378</t>
  </si>
  <si>
    <t>VIDA JEAN</t>
  </si>
  <si>
    <t>DIVO BADA 2</t>
  </si>
  <si>
    <t>RAB0000000195544</t>
  </si>
  <si>
    <t>ASSAHOREY ANGE</t>
  </si>
  <si>
    <t>JERUSALEME DIVO</t>
  </si>
  <si>
    <t>RAB0000000195412</t>
  </si>
  <si>
    <t>YAO M'BEBO MARCELLE</t>
  </si>
  <si>
    <t>DIVO FIBRE OPTIQUE COMMERCE</t>
  </si>
  <si>
    <t>RAB0000000195559</t>
  </si>
  <si>
    <t>AMISSAH BERTRAND KOKOU</t>
  </si>
  <si>
    <t>DIVO FIBRE OPTIQUE DIOULADOUGOU</t>
  </si>
  <si>
    <t>RAB0000000195463</t>
  </si>
  <si>
    <t>KONATE ZAKALO</t>
  </si>
  <si>
    <t>DIVO COMMERCE COLLEGE LE JOUR</t>
  </si>
  <si>
    <t>RAB0000000195386</t>
  </si>
  <si>
    <t>ZAKALO KONATE</t>
  </si>
  <si>
    <t>DIVO COMMERCE RUE DE BANQUE</t>
  </si>
  <si>
    <t>RAB0000000195500</t>
  </si>
  <si>
    <t>EZZEDDINE ZIAD</t>
  </si>
  <si>
    <t>DIVO COMMERCE RUE DES BANQUE</t>
  </si>
  <si>
    <t>RAB0000000195458</t>
  </si>
  <si>
    <t>PORQUET LOUIS PIERRE</t>
  </si>
  <si>
    <t>RAB0000000195406</t>
  </si>
  <si>
    <t>RAB0000000195382</t>
  </si>
  <si>
    <t>YOBALE MELAINE BRICE</t>
  </si>
  <si>
    <t>ABONEMENT FIBRE OPTIQUE COMMERCE</t>
  </si>
  <si>
    <t>RAB0000000195504</t>
  </si>
  <si>
    <t>KAKADJE ERIC SOSTHENE YAPI</t>
  </si>
  <si>
    <t>DIVO BADA COLLEGE IFI</t>
  </si>
  <si>
    <t>RAB0000000195561</t>
  </si>
  <si>
    <t>AWADA ALI</t>
  </si>
  <si>
    <t>DIVO LA RUE DES BANQUES EN FACE DU MONDIAL CYCLE</t>
  </si>
  <si>
    <t>réalisation survey poteau beton ( OK ou NOK)</t>
  </si>
  <si>
    <t>réalisation Implantation Poteau beton ( OK ou NOK)</t>
  </si>
  <si>
    <t>NomClient</t>
  </si>
  <si>
    <t>Localisation</t>
  </si>
  <si>
    <t>Ligne Fixe</t>
  </si>
  <si>
    <t>date d'envoi des instanaces aux prestataires</t>
  </si>
  <si>
    <t>Statut ( etude en cours , sans PCO , avec PCO, Pb clients, Pb Syndic)</t>
  </si>
  <si>
    <t>Date réelle de raccordement du client</t>
  </si>
  <si>
    <t>Distance PCOClient</t>
  </si>
  <si>
    <t>Brin de raccordement</t>
  </si>
  <si>
    <t>RAB0000000194403</t>
  </si>
  <si>
    <t>GUILLAUME KOUASSI ELLO  EVARISTE</t>
  </si>
  <si>
    <t>DIVO/INCONNU DMI01</t>
  </si>
  <si>
    <t>DMI01</t>
  </si>
  <si>
    <t>HUB001</t>
  </si>
  <si>
    <t>48575443573402AF</t>
  </si>
  <si>
    <t>SANS PCO</t>
  </si>
  <si>
    <t>Bleu</t>
  </si>
  <si>
    <t>DMI01, PCO 006,PB 1,PM1,Long câble =150m</t>
  </si>
  <si>
    <t>RAB0000000194540</t>
  </si>
  <si>
    <t>DODO TONY</t>
  </si>
  <si>
    <t>DIVO VATICAN CARREFOUR MARCHE</t>
  </si>
  <si>
    <t>HUB003</t>
  </si>
  <si>
    <t>485754435730F2AF</t>
  </si>
  <si>
    <t>RAB0000000194755</t>
  </si>
  <si>
    <t>KOUADIO INNOCENT KOBENAN</t>
  </si>
  <si>
    <t>LIBREVILLE A COTE HOTEL EL DORA DO</t>
  </si>
  <si>
    <t>HUB002</t>
  </si>
  <si>
    <t>485754435730F4AF</t>
  </si>
  <si>
    <t>RAB0000000194539</t>
  </si>
  <si>
    <t>KODJO DJAKO ANGE</t>
  </si>
  <si>
    <t>BADA JERUSALEM AGENCE MOOV</t>
  </si>
  <si>
    <t>48575443572E9FAF</t>
  </si>
  <si>
    <t>RAB0000000194783</t>
  </si>
  <si>
    <t>KONATE NAMOGO ISSA</t>
  </si>
  <si>
    <t>DMI01_PCO 097</t>
  </si>
  <si>
    <t>485754435734FAAF</t>
  </si>
  <si>
    <t>RAB0000000194767</t>
  </si>
  <si>
    <t>YEHILY KOUDOUHONON LINA</t>
  </si>
  <si>
    <t>48575443573449AF</t>
  </si>
  <si>
    <t>RAB0000000194822</t>
  </si>
  <si>
    <t>ASSI EPOUSE GOLI CHIEPO YOLANDE</t>
  </si>
  <si>
    <t>MILLIONNAIRE NACANABOBY</t>
  </si>
  <si>
    <t>48575443575DBFAF</t>
  </si>
  <si>
    <t>RAB0000000194862</t>
  </si>
  <si>
    <t>DEMBELE MALICK</t>
  </si>
  <si>
    <t xml:space="preserve"> COMMERCE GRANDE AGENCE MOOV</t>
  </si>
  <si>
    <t>HUB 01</t>
  </si>
  <si>
    <t>485754435730E1AF</t>
  </si>
  <si>
    <t>RAB0000000194780</t>
  </si>
  <si>
    <t>PETIT MARCHE BADA</t>
  </si>
  <si>
    <t>48575443573779AF</t>
  </si>
  <si>
    <t>Orange</t>
  </si>
  <si>
    <t>RAB0000000194781</t>
  </si>
  <si>
    <t>KANDAN MADY EDWIGE</t>
  </si>
  <si>
    <t>PHARMACIE ESPERANCE</t>
  </si>
  <si>
    <t>48575443572C87AF</t>
  </si>
  <si>
    <t>RAB0000000195052</t>
  </si>
  <si>
    <t>CHEN AO</t>
  </si>
  <si>
    <t>DIVO PETIT MARCHE DE BELLEVILLE</t>
  </si>
  <si>
    <t>DMI01_PCO 033</t>
  </si>
  <si>
    <t>48575443573045AF</t>
  </si>
  <si>
    <t>RAB0000000194765</t>
  </si>
  <si>
    <t>ZEBRIA GUY SYLVESTRE</t>
  </si>
  <si>
    <t>DIVO JERUSALEM FORESTIER</t>
  </si>
  <si>
    <t>485754435737B9AF</t>
  </si>
  <si>
    <t>RAB0000000194778</t>
  </si>
  <si>
    <t>OUILI DRAMANE</t>
  </si>
  <si>
    <t>48575443572EAAAF</t>
  </si>
  <si>
    <t>Vert</t>
  </si>
  <si>
    <t>RAB0000000194968</t>
  </si>
  <si>
    <t>AHOUA KANGAH THOMAS</t>
  </si>
  <si>
    <t>DIVO FORESTIER EN FACE DES IMPOTS</t>
  </si>
  <si>
    <t>HUB04</t>
  </si>
  <si>
    <t>4857544357992AF</t>
  </si>
  <si>
    <t>RAB0000000194962</t>
  </si>
  <si>
    <t>PEHE ALEXIS</t>
  </si>
  <si>
    <t>48575443572B42AF</t>
  </si>
  <si>
    <t>RAB0000000195164</t>
  </si>
  <si>
    <t>N'GANZA N'GANZA CHARLES</t>
  </si>
  <si>
    <t>DIVO VATICAN HOTEL LOZO</t>
  </si>
  <si>
    <t>4857544357363DAF</t>
  </si>
  <si>
    <t>DMI01_PCO078</t>
  </si>
  <si>
    <t>DBA01_PCO010</t>
  </si>
  <si>
    <t>Bloqué</t>
  </si>
  <si>
    <t>DMI01_PCO100</t>
  </si>
  <si>
    <t>DMI01_PCO074</t>
  </si>
  <si>
    <t>DMI01_PCO098</t>
  </si>
  <si>
    <t>DMI01_PCO016</t>
  </si>
  <si>
    <t>48575443571F19AF</t>
  </si>
  <si>
    <t>48575443572D3EAF</t>
  </si>
  <si>
    <t>4857544357272BAF</t>
  </si>
  <si>
    <t>4857544357273EAF</t>
  </si>
  <si>
    <t>48575443572BF1AF</t>
  </si>
  <si>
    <t>48575443572271AF</t>
  </si>
  <si>
    <t>485754435725A2AF</t>
  </si>
  <si>
    <t>48575443571FA7AF</t>
  </si>
  <si>
    <t>Hors zone</t>
  </si>
  <si>
    <t>HUB004</t>
  </si>
  <si>
    <t>DBA01_PCO004</t>
  </si>
  <si>
    <t>DBA01_PCO017</t>
  </si>
  <si>
    <t>DBA01_PCO070</t>
  </si>
  <si>
    <t>DBA01_PCO082</t>
  </si>
  <si>
    <t>DMI01_PCO021</t>
  </si>
  <si>
    <t>DMI01_PCO037</t>
  </si>
  <si>
    <t>DMI01_PCO048</t>
  </si>
  <si>
    <t>DMI01_PCO069</t>
  </si>
  <si>
    <t>DMI01_PCO103</t>
  </si>
  <si>
    <t>RAB0000000195632</t>
  </si>
  <si>
    <t>ATTOKPA ARIEL WILFRIED</t>
  </si>
  <si>
    <t>DIVO BADA2</t>
  </si>
  <si>
    <t>RAB0000000195624</t>
  </si>
  <si>
    <t>SYLLA YAYA</t>
  </si>
  <si>
    <t>DIVO JERUSALEEM</t>
  </si>
  <si>
    <t>RAB0000000195638</t>
  </si>
  <si>
    <t>KOFFI EDOUARD</t>
  </si>
  <si>
    <t>DIVO DISTRICT DE POLICE</t>
  </si>
  <si>
    <t>RAB0000000195718</t>
  </si>
  <si>
    <t>TRAORE MOUSSA KADER</t>
  </si>
  <si>
    <t>DIVO JERUSALEM</t>
  </si>
  <si>
    <t>RAB0000000195722</t>
  </si>
  <si>
    <t>KOUADIO KONAN JUDICAEL</t>
  </si>
  <si>
    <t>DIVO LIGBEVILLE NON LOIN DU PETIT MARCHE</t>
  </si>
  <si>
    <t>RAB0000000195640</t>
  </si>
  <si>
    <t>FOFANA LUCKMAN</t>
  </si>
  <si>
    <t>DIVO ZAMANIAN BOUGOU</t>
  </si>
  <si>
    <t>RAB0000000195622</t>
  </si>
  <si>
    <t>KONE ABDOULAYE</t>
  </si>
  <si>
    <t>RAB0000000195641</t>
  </si>
  <si>
    <t>COULIBALY ADAMA</t>
  </si>
  <si>
    <t>DIVO TP FACE A LA MORGUE</t>
  </si>
  <si>
    <t>RAB0000000195735</t>
  </si>
  <si>
    <t>BROU KAN LUCIEN MARC</t>
  </si>
  <si>
    <t>DIVO PMI VATICAN ROUTE ECOLE PRIMAIRE</t>
  </si>
  <si>
    <t>KOUASSI AYMARD</t>
  </si>
  <si>
    <t>4857544371B78BAF</t>
  </si>
  <si>
    <t>4857544371B499AF</t>
  </si>
  <si>
    <t>4857544371BA12AF</t>
  </si>
  <si>
    <t>48575443572642AF</t>
  </si>
  <si>
    <t>4857544371B340AF</t>
  </si>
  <si>
    <t>485754435727C2AF</t>
  </si>
  <si>
    <t>48575443572834AF</t>
  </si>
  <si>
    <t>48575443572804AF</t>
  </si>
  <si>
    <t>48575443572AD1AF</t>
  </si>
  <si>
    <t>48575443572A10AF</t>
  </si>
  <si>
    <t>DBA01, PCO098, BRIN 2,LONG 200M, 2 ANCIEN PB , 1 NEM PM</t>
  </si>
  <si>
    <t>DMI01_PCO051</t>
  </si>
  <si>
    <t>RAB0000000195739</t>
  </si>
  <si>
    <t>SAMIAN BI TRABOUE LUCIEN</t>
  </si>
  <si>
    <t>DIVO VATICAN ENTENE</t>
  </si>
  <si>
    <t>RAB0000000195764</t>
  </si>
  <si>
    <t>KONE LANCINA</t>
  </si>
  <si>
    <t>BADA CDCI DIVO</t>
  </si>
  <si>
    <t>RAB0000000195790</t>
  </si>
  <si>
    <t>DIARRASSOUBA N'GOLO DRAMANE</t>
  </si>
  <si>
    <t>DIVO COMMERCE NON LOIN DE MOOV</t>
  </si>
  <si>
    <t>RAB0000000195783</t>
  </si>
  <si>
    <t>BAKAYOKO YACOUBA</t>
  </si>
  <si>
    <t>DIVO DIOULABOGOU</t>
  </si>
  <si>
    <t>RAB0000000195782</t>
  </si>
  <si>
    <t>AMICHIA AKESSE ROMAIN</t>
  </si>
  <si>
    <t>BADA PETIT MARCHE DIVO</t>
  </si>
  <si>
    <t>RAB0000000195787</t>
  </si>
  <si>
    <t>KASSEM NABIL</t>
  </si>
  <si>
    <t>DIVO AGENCE MOOV BABA</t>
  </si>
  <si>
    <t>DMI01_PCO050</t>
  </si>
  <si>
    <t>DMI01_PCO 114</t>
  </si>
  <si>
    <t>Marron</t>
  </si>
  <si>
    <t>DMI01_PCO045</t>
  </si>
  <si>
    <t>DIMI01</t>
  </si>
  <si>
    <t>4857544371B69BAF</t>
  </si>
  <si>
    <t>4857544371B9BDAF</t>
  </si>
  <si>
    <t>4857544371B2FDAF</t>
  </si>
  <si>
    <t>4857544371B10AAF</t>
  </si>
  <si>
    <t>4857544371B3A8AF</t>
  </si>
  <si>
    <t>4857544371B414AF</t>
  </si>
  <si>
    <t>4857544371B38EAF</t>
  </si>
  <si>
    <t>RAB0000000195860</t>
  </si>
  <si>
    <t>BASSINGA MAURICE</t>
  </si>
  <si>
    <t>DIVO MILLIONNAIRE NANKANABOBI</t>
  </si>
  <si>
    <t>RAB0000000195876</t>
  </si>
  <si>
    <t>KAKOU DADIE NICAISE</t>
  </si>
  <si>
    <t>RAB0000000195848</t>
  </si>
  <si>
    <t>APPOUTOU LOBOGNON DOMINIQUE</t>
  </si>
  <si>
    <t>MILLIONNAIRE EN FACE BOYA DIVO</t>
  </si>
  <si>
    <t>RAB0000000195830</t>
  </si>
  <si>
    <t>DIOMANDE ADAMA</t>
  </si>
  <si>
    <t>DIVO DIOULABOUGOU 2</t>
  </si>
  <si>
    <t>RAB0000000195806</t>
  </si>
  <si>
    <t>GONLY SYLVAIN</t>
  </si>
  <si>
    <t>DIVO BOUDOUKOU PRISON CIVIL</t>
  </si>
  <si>
    <t>RAB0000000195861</t>
  </si>
  <si>
    <t>HARB HASSAN</t>
  </si>
  <si>
    <t>COMMERCE IVOGRAIN</t>
  </si>
  <si>
    <t>RAB0000000195815</t>
  </si>
  <si>
    <t>KEPENOU KODJOVI</t>
  </si>
  <si>
    <t>BADA2 VERT SECOURS MEDICAL ESPOIR</t>
  </si>
  <si>
    <t>RAB0000000195814</t>
  </si>
  <si>
    <t>ADJOBI VERONIQUE MARIE JOSEE</t>
  </si>
  <si>
    <t>DIVO PLATEAU</t>
  </si>
  <si>
    <t>RAB0000000195892</t>
  </si>
  <si>
    <t>KOBENAN KOUADIO INNOCENT</t>
  </si>
  <si>
    <t>4857544371BA60AF</t>
  </si>
  <si>
    <t>4857544371B325AF</t>
  </si>
  <si>
    <t>4857544371B840AF</t>
  </si>
  <si>
    <t>DMI01_PCO047</t>
  </si>
  <si>
    <t>DBA01_PCO054</t>
  </si>
  <si>
    <t xml:space="preserve">  4857544371AFB3AF</t>
  </si>
  <si>
    <t>4857544371B2A0AF</t>
  </si>
  <si>
    <t>RAB0000000196123</t>
  </si>
  <si>
    <t>SANGARE AMIDOU</t>
  </si>
  <si>
    <t>RAB0000000196217</t>
  </si>
  <si>
    <t>MONSIA SAHI ABDEL</t>
  </si>
  <si>
    <t>DIVO GROUPE SCOLAIRE CATHOLIQUE GARCON 1_2</t>
  </si>
  <si>
    <t>RAB0000000196272</t>
  </si>
  <si>
    <t>TRAORE SIAKA</t>
  </si>
  <si>
    <t>RAB0000000196219</t>
  </si>
  <si>
    <t>LEBE JEAN DAKOURI GYSLAIN</t>
  </si>
  <si>
    <t>DIVO BADA EHOULE</t>
  </si>
  <si>
    <t>RAB0000000196218</t>
  </si>
  <si>
    <t>LEDJOU LEDJOU YVES PRINCE JEREMIE</t>
  </si>
  <si>
    <t>RAB0000000196222</t>
  </si>
  <si>
    <t>AGNERO NOME YVETTE</t>
  </si>
  <si>
    <t>DIVO MILLIONNAIRE NAKANABOBI</t>
  </si>
  <si>
    <t>RAB0000000196221</t>
  </si>
  <si>
    <t>ATSE JOSUE</t>
  </si>
  <si>
    <t>DIVO BOUDOUKOU</t>
  </si>
  <si>
    <t>RAB0000000196216</t>
  </si>
  <si>
    <t>TAFA MUSI TAFA ABILA</t>
  </si>
  <si>
    <t>DIVO CARREFOUR CDCI</t>
  </si>
  <si>
    <t xml:space="preserve">  4857544371B32BAF</t>
  </si>
  <si>
    <t>HBU002</t>
  </si>
  <si>
    <t>DBA01_PCO048</t>
  </si>
  <si>
    <t>DBA01_PCO019</t>
  </si>
  <si>
    <t>DBA01_PCO007</t>
  </si>
  <si>
    <t>DMI01_PCO023</t>
  </si>
  <si>
    <t>DMI01_PCO083</t>
  </si>
  <si>
    <t>4857544371B5ACAF</t>
  </si>
  <si>
    <t>4857544371B336AF</t>
  </si>
  <si>
    <t>4857544371AF69AF</t>
  </si>
  <si>
    <t>4857544371B60AAF</t>
  </si>
  <si>
    <t>4857544371B9A1AF</t>
  </si>
  <si>
    <t>4857544371AEECAF</t>
  </si>
  <si>
    <t>4857544371B07FAF</t>
  </si>
  <si>
    <t>4857544371B4ACAF</t>
  </si>
  <si>
    <t>4857544371B2BCAF</t>
  </si>
  <si>
    <t>4857544371B9A5AF</t>
  </si>
  <si>
    <t>DBA01_PCO014</t>
  </si>
  <si>
    <t>RAB0000000196553</t>
  </si>
  <si>
    <t>SAADY SIDI MOHAMED</t>
  </si>
  <si>
    <t>DIVO COMMERCE DERRIERE LA BANQUE SGBCI</t>
  </si>
  <si>
    <t>RAB0000000196560</t>
  </si>
  <si>
    <t>OLIGBO ZAHIBO ALAIN GUILLAUME</t>
  </si>
  <si>
    <t>DIVO BOUDOUKOU LYCEE 3</t>
  </si>
  <si>
    <t>RAB0000000196511</t>
  </si>
  <si>
    <t>YAPI HAUGOUEPY WENCESLAS JUNIOR</t>
  </si>
  <si>
    <t>RAB0000000196510</t>
  </si>
  <si>
    <t>AKAFFOU YAO</t>
  </si>
  <si>
    <t>DIVO KONANKRO TP</t>
  </si>
  <si>
    <t>RAB0000000196661</t>
  </si>
  <si>
    <t>GOLY DIBATTI BRICE OCTAVE</t>
  </si>
  <si>
    <t>RAB0000000196660</t>
  </si>
  <si>
    <t>GOLY DIBAHI BRICE OCTAVE</t>
  </si>
  <si>
    <t>DIVO BOUDOUGOU LYCEE 3</t>
  </si>
  <si>
    <t>4857544371B0B4AF</t>
  </si>
  <si>
    <t>4857544371B0DEAF</t>
  </si>
  <si>
    <t>4857544371B2EFAF</t>
  </si>
  <si>
    <t>4857544371B375AF</t>
  </si>
  <si>
    <t>4857544371B751AF</t>
  </si>
  <si>
    <t>4857544371B5A9AF</t>
  </si>
  <si>
    <t>RAB0000000196745</t>
  </si>
  <si>
    <t>BOSSON N'GUESSAN AUDREY CARINE</t>
  </si>
  <si>
    <t>RAB0000000196724</t>
  </si>
  <si>
    <t>OKOU DANON EUSTACHE</t>
  </si>
  <si>
    <t>DMI01_PCO046</t>
  </si>
  <si>
    <t>DMI01,PCO046,BRIN2, 2 ANCIEN PB,1 NEW PM, LONG 200M</t>
  </si>
  <si>
    <t xml:space="preserve">DBA01 , PCO019 ,LONG 500M 1 ANCIEN ,4 NEW PM </t>
  </si>
  <si>
    <t xml:space="preserve">DBA01 , PCO019 ,LONG 500M 2 ANCIEN ,4 NEW PM </t>
  </si>
  <si>
    <t>RAB0000000196754</t>
  </si>
  <si>
    <t>DOHOULOU KOUI AXEL</t>
  </si>
  <si>
    <t>RAB0000000196779</t>
  </si>
  <si>
    <t>SOUMAHORO INZA</t>
  </si>
  <si>
    <t>RAB0000000196809</t>
  </si>
  <si>
    <t>BOGUI N'GUESSAN MAXIME MICHEL</t>
  </si>
  <si>
    <t>DIVO BADA ECOLE CATHOLIQUE</t>
  </si>
  <si>
    <t>RAB0000000196757</t>
  </si>
  <si>
    <t>BADO KOFFI JEAN CLAUDE</t>
  </si>
  <si>
    <t>RAB0000000196756</t>
  </si>
  <si>
    <t>DOFFOU BONI ARMEL</t>
  </si>
  <si>
    <t>RAB0000000196780</t>
  </si>
  <si>
    <t>KOUAME KAN ISSOUF ARMEL</t>
  </si>
  <si>
    <t>DIVO LIBREVILLE PETIT MARCHE</t>
  </si>
  <si>
    <t>RAB0000000196781</t>
  </si>
  <si>
    <t>EZZEDINE MOHAMED HASSAN</t>
  </si>
  <si>
    <t>RAB0000000196752</t>
  </si>
  <si>
    <t>SANDA ANGEL</t>
  </si>
  <si>
    <t>RAB0000000196784</t>
  </si>
  <si>
    <t>EPONON ACHAH PASCAL</t>
  </si>
  <si>
    <t>DBA01_PCO003</t>
  </si>
  <si>
    <t xml:space="preserve">DBA01,PCO004, BRIN 2,LONG 300M,3 ANCIEN PM </t>
  </si>
  <si>
    <t>DBA01_PCO 104</t>
  </si>
  <si>
    <t>DM01_PCO010</t>
  </si>
  <si>
    <t>DMI01,PCO052,BRIN 3, LONG 150M,3 ANCIEN PB</t>
  </si>
  <si>
    <t>DMI01_PCO052</t>
  </si>
  <si>
    <t>DBA01_PCO013</t>
  </si>
  <si>
    <t>DMI01,PCO048,BRIN 2 ,LONG 250M, 1 ANCIEN PB, 3 NEW PM</t>
  </si>
  <si>
    <t>RAB0000000196949</t>
  </si>
  <si>
    <t>GUY SERI GHADOUT</t>
  </si>
  <si>
    <t>DIVO PHARMACIE STE MARIE</t>
  </si>
  <si>
    <t>RAB0000000196950</t>
  </si>
  <si>
    <t>EZZEDINE HUSSEIN</t>
  </si>
  <si>
    <t>DIVO ECOLE METHODISTE</t>
  </si>
  <si>
    <t>RAB0000000196997</t>
  </si>
  <si>
    <t>BOYO EPOUSE YOLOU AHI-BIE MARIE CLAIRE</t>
  </si>
  <si>
    <t>DIVO BOUDOUKOU CELESTE</t>
  </si>
  <si>
    <t>RAB0000000197007</t>
  </si>
  <si>
    <t>FANE ADAMA</t>
  </si>
  <si>
    <t>4857544371B87EAF</t>
  </si>
  <si>
    <t>DIAWARA ISSA  injoignable</t>
  </si>
  <si>
    <t>DMI01_PCO040</t>
  </si>
  <si>
    <t>RAB0000000197114</t>
  </si>
  <si>
    <t>PETY EPOUSE SILUE DJOUMAN CHANTALE HORNELLA</t>
  </si>
  <si>
    <t>RAB0000000197110</t>
  </si>
  <si>
    <t>NOHON KAMI BERTIN</t>
  </si>
  <si>
    <t>4857544371B530AF</t>
  </si>
  <si>
    <t>485754435734ACAF</t>
  </si>
  <si>
    <t>48575443572CE6AF</t>
  </si>
  <si>
    <t>48575443572EF2AF</t>
  </si>
  <si>
    <t>48575443572DB4AF</t>
  </si>
  <si>
    <t>485754435730EDAF</t>
  </si>
  <si>
    <t>48575443573255AF</t>
  </si>
  <si>
    <t>48575443572D73AF</t>
  </si>
  <si>
    <t>485754435733DAAF</t>
  </si>
  <si>
    <t>DMI01_PCO106</t>
  </si>
  <si>
    <t>4857544371B4B0AF</t>
  </si>
  <si>
    <t>DBA01_PCO066</t>
  </si>
  <si>
    <t>DMI01, PCO051, BRIN 1, LONG 200M, A ANCIEN PB, 1 NEW PM</t>
  </si>
  <si>
    <t>DBA01, PCO007, LONG 250M, 3 ANCIENS PB ,2 NEW PM</t>
  </si>
  <si>
    <t>DMI01_PCO006</t>
  </si>
  <si>
    <t>DMI01 ,PCO006 D04 Brin1 Long cable 150m PB=1 PM=0</t>
  </si>
  <si>
    <t>DMI01_PCO089</t>
  </si>
  <si>
    <t>DBA01_PCO 097</t>
  </si>
  <si>
    <t>DBA01_PCO 045</t>
  </si>
  <si>
    <t>DBA01_PCO 102</t>
  </si>
  <si>
    <t>DBA01,PCO021,BRIN1,LONG 120M, 2 ANCIENS PB</t>
  </si>
  <si>
    <t>DBA01_PCO103</t>
  </si>
  <si>
    <t>DBA01, PCO021, LONG 150M,1 ANCIEN PB, 2NEW PM</t>
  </si>
  <si>
    <t>DBA01_PCO098</t>
  </si>
  <si>
    <t>DBA01 ,PCO098, LONG 150M</t>
  </si>
  <si>
    <t>DMI01_PCO042</t>
  </si>
  <si>
    <t>DBA01_PCO065</t>
  </si>
  <si>
    <t>Client Koné Daouda est injoignable, etude non réalisée</t>
  </si>
  <si>
    <t>DBA01,PCO010,BRIN 7,1 ANCIEN PB LONG 150M</t>
  </si>
  <si>
    <t>4857544357348CAF</t>
  </si>
  <si>
    <t>DMI01_PCO001</t>
  </si>
  <si>
    <t>4857544357302DAF</t>
  </si>
  <si>
    <t>Raccordé</t>
  </si>
  <si>
    <t>Gris</t>
  </si>
  <si>
    <t>48575443572C13AF</t>
  </si>
  <si>
    <t>48575443572F40AF</t>
  </si>
  <si>
    <t>4857544371B092AF</t>
  </si>
  <si>
    <t>DBA01_PCO012</t>
  </si>
  <si>
    <t>DBA01_PCO101</t>
  </si>
  <si>
    <t>DMI01_PCO099</t>
  </si>
  <si>
    <t>DMI01_PCO019</t>
  </si>
  <si>
    <t>DMI01_PCO043</t>
  </si>
  <si>
    <t>DMI01_PCO054</t>
  </si>
  <si>
    <t>HB001</t>
  </si>
  <si>
    <t>DBA01_PCO016</t>
  </si>
  <si>
    <t>DBA01_PCO008</t>
  </si>
  <si>
    <t>KPASSAGNON LAGO WILLIAMS</t>
  </si>
  <si>
    <t>DIVO DISTRCIT</t>
  </si>
  <si>
    <t>SORE AMIDOU</t>
  </si>
  <si>
    <t>DIVO BELLEVILLE</t>
  </si>
  <si>
    <t>YAMEOGO ANGE KOUASSI RICHARD</t>
  </si>
  <si>
    <t>DIVO BABA 2 ECOLE MATERNELLE</t>
  </si>
  <si>
    <t>RAB0000000197209</t>
  </si>
  <si>
    <t>RAB0000000197246</t>
  </si>
  <si>
    <t>RAB0000000197243</t>
  </si>
  <si>
    <t>RAB0000000197419</t>
  </si>
  <si>
    <t>DAGO ANEGBA JEAN JACQUES</t>
  </si>
  <si>
    <t>RAB0000000197613</t>
  </si>
  <si>
    <t>DJOUKA MGBADJO HERVE</t>
  </si>
  <si>
    <t>DIVO BOUDOUKOU CITE DE GRACE</t>
  </si>
  <si>
    <t>RAB0000000197423</t>
  </si>
  <si>
    <t>YAO KOUAME JEAN FRANCOIS REGIS</t>
  </si>
  <si>
    <t>RAB0000000197612</t>
  </si>
  <si>
    <t>NDAO SERIGNE ABDOU KHADRE</t>
  </si>
  <si>
    <t>DIVO BADA 1 COLLEGE IFI</t>
  </si>
  <si>
    <t>RAB0000000197417</t>
  </si>
  <si>
    <t>BABLY NASSE SYLVESTRE</t>
  </si>
  <si>
    <t>RAB0000000197585</t>
  </si>
  <si>
    <t>KOFFI YEBINAN KOUAME JEAN VENANCE</t>
  </si>
  <si>
    <t>RAB0000000197421</t>
  </si>
  <si>
    <t>MOSTAFA YOUSSEF</t>
  </si>
  <si>
    <t>DIVO COMMERCE RUE DES BANQUES</t>
  </si>
  <si>
    <t>RAB0000000197574</t>
  </si>
  <si>
    <t>TIA SY FABRICE</t>
  </si>
  <si>
    <t>DIVO BADA BOULANGERIE</t>
  </si>
  <si>
    <t>RAB0000000197629</t>
  </si>
  <si>
    <t>KEITA ISSOUFH</t>
  </si>
  <si>
    <t>DIVO BOUDOUGOU HOTEL IROKO</t>
  </si>
  <si>
    <t>Blanc</t>
  </si>
  <si>
    <t>DBA01_PCO015</t>
  </si>
  <si>
    <t>DBA01,PCO015,LONG 100M,BRIN 1,1 ANCIEN PB</t>
  </si>
  <si>
    <t>DBA01_PCO071</t>
  </si>
  <si>
    <t>DMI01,PCO051,BRIN 2,LONG 300M, 3 ANCIEN PM,2 ANCIEN PB</t>
  </si>
  <si>
    <t>DMI01_PCO022</t>
  </si>
  <si>
    <t>DMI01_PCO009</t>
  </si>
  <si>
    <t>4857544357301CAF</t>
  </si>
  <si>
    <t>4857544371B738AF</t>
  </si>
  <si>
    <t>4857544371B143AF</t>
  </si>
  <si>
    <t>4857544371B580AF</t>
  </si>
  <si>
    <t>4857544371B56EAF</t>
  </si>
  <si>
    <t>4857544371B3DDAF</t>
  </si>
  <si>
    <t>4857544371B0D6AF</t>
  </si>
  <si>
    <t>4857544371B3D6AF</t>
  </si>
  <si>
    <t>4857544371B2F8AF</t>
  </si>
  <si>
    <t>4857544371AF43AF</t>
  </si>
  <si>
    <t>4857544371B8C0AF</t>
  </si>
  <si>
    <t>4857544371B550AF</t>
  </si>
  <si>
    <t>4857544371B00CAF</t>
  </si>
  <si>
    <t>485754435733CAAF</t>
  </si>
  <si>
    <t>RAB0000000197751</t>
  </si>
  <si>
    <t>SAVANE BANGALI</t>
  </si>
  <si>
    <t>DBA01_PCO023</t>
  </si>
  <si>
    <t>DBA01,PCO023,BRIN1,LONG 150M,2 ANCIEN PB</t>
  </si>
  <si>
    <t>DMI01_PCO117</t>
  </si>
  <si>
    <t>RAB0000000194857</t>
  </si>
  <si>
    <t>PETIT MARCHE DE BADA</t>
  </si>
  <si>
    <t>RAB0000000194782</t>
  </si>
  <si>
    <t>IRIE BI MIZAN YOUANNE</t>
  </si>
  <si>
    <t>4857544371B761AF</t>
  </si>
  <si>
    <t>4857544371B6ADAF</t>
  </si>
  <si>
    <t>48575443572E5CAF</t>
  </si>
  <si>
    <t>485754435730F0AF</t>
  </si>
  <si>
    <t>4857544371B74EAF</t>
  </si>
  <si>
    <t>DMI01_PCO097</t>
  </si>
  <si>
    <t>RAB0000000195986</t>
  </si>
  <si>
    <t>ORO GRACE JONATHAN</t>
  </si>
  <si>
    <t>DIVO QUARTIER BADA 2 BOUTIQUE ORANGE BLANC VERT SECOURS MEDICAL ESPOIR</t>
  </si>
  <si>
    <t>RAB0000000195998</t>
  </si>
  <si>
    <t>SILUE CHERIF LAMINE</t>
  </si>
  <si>
    <t>RAB0000000196000</t>
  </si>
  <si>
    <t>FRANCIS KOFFI YOBOUE</t>
  </si>
  <si>
    <t>DIVO VATICAN</t>
  </si>
  <si>
    <t>RAB0000000198069</t>
  </si>
  <si>
    <t>KANGA KOFFI BAH AUGUSTIN</t>
  </si>
  <si>
    <t>DIVO BADA 2 CAMP CRS</t>
  </si>
  <si>
    <t>DMI01_PCO012</t>
  </si>
  <si>
    <t>BLEu</t>
  </si>
  <si>
    <t>Rouge</t>
  </si>
  <si>
    <t>DBA01,PCO008,BRIN1,LONG 300M,2 ANCIEN PB, 4 NEW PM , est en déplacement il a rejeté son installation pour le lundi 24/02/25</t>
  </si>
  <si>
    <t>RAB0000000198126</t>
  </si>
  <si>
    <t>KOFFI KOUADIO APPOLINAIRE</t>
  </si>
  <si>
    <t>KONANKRO PETIT MARCHE</t>
  </si>
  <si>
    <t>RAB0000000198106</t>
  </si>
  <si>
    <t>GUIRA ABDOUL RAHIM</t>
  </si>
  <si>
    <t>RAB0000000198139</t>
  </si>
  <si>
    <t>OUATTARA ABDOULHAZIZ DABILA</t>
  </si>
  <si>
    <t>RAB0000000198113</t>
  </si>
  <si>
    <t>GBAKA ZAHOUROU MATHIAS FRANK</t>
  </si>
  <si>
    <t>DMI01_PCO049</t>
  </si>
  <si>
    <t>DBA01_PCO011</t>
  </si>
  <si>
    <t>DBA01,PCO011,BRIN 2,LONG 150M,2 ANCIEN PB</t>
  </si>
  <si>
    <t>4857544371B14CAF</t>
  </si>
  <si>
    <t>DBA01_PCO024</t>
  </si>
  <si>
    <t>DBA01,PCO024,BRIN 2, LONG 150M, 2 ANCIEN PB</t>
  </si>
  <si>
    <t>DMI01,PCO040,BRIN 2, LONG 150M, 2 ANCIEN PB</t>
  </si>
  <si>
    <t>DBA01_PCO059</t>
  </si>
  <si>
    <t>DBA01,PCO059, BRIN 1, LONG150M, 1 ACIEN PM, 3 ANCIEN PB, 1 NEW PM</t>
  </si>
  <si>
    <t>DBA01,PCO021,BRIN 5,LONG 100M ,1 ANCIEN PB , 1 ANCIEN PM, 3 NEW PM(LE client a relocaliser son abonnement)</t>
  </si>
  <si>
    <t>4857544371B2D0AF</t>
  </si>
  <si>
    <t>48575443573461AF</t>
  </si>
  <si>
    <t>4857544371B826AF</t>
  </si>
  <si>
    <t>48575443573727AF</t>
  </si>
  <si>
    <t>485754435733CBAF</t>
  </si>
  <si>
    <t>4857544371B1B5AF</t>
  </si>
  <si>
    <t>4857544371B431AF</t>
  </si>
  <si>
    <t>4857544371B2DBAF</t>
  </si>
  <si>
    <t>48575443573108AF</t>
  </si>
  <si>
    <t>RAB0000000198323</t>
  </si>
  <si>
    <t>DMI01_PCO070</t>
  </si>
  <si>
    <t>DMI01,PCO103,BRIN 3,LONG 250M, 1 ANCIEN PB, 1 ANCIEN PM</t>
  </si>
  <si>
    <t>DMI01,PCO012,BRIN 1,2 ANCIEN PB, 2 NEW PM LONG 250M</t>
  </si>
  <si>
    <t>DMI01, PCO 015, BRIN 2, 1 ANCIEN, 3 NEW PM  LONG 200M</t>
  </si>
  <si>
    <t>RAB0000000198428</t>
  </si>
  <si>
    <t>KANTE ROSH DEPAUL</t>
  </si>
  <si>
    <t>DIVO FORESTIER</t>
  </si>
  <si>
    <t>RAB0000000198369</t>
  </si>
  <si>
    <t>GNAMKE ALBERT</t>
  </si>
  <si>
    <t>DIVO KONANKRO PETIT MARCHE</t>
  </si>
  <si>
    <t>RAB0000000198419</t>
  </si>
  <si>
    <t>CAUMYLAND DADJI JEFF AIME</t>
  </si>
  <si>
    <t>RAB0000000198476</t>
  </si>
  <si>
    <t>YAKOBI KOFFI</t>
  </si>
  <si>
    <t>DMI01_PCO039</t>
  </si>
  <si>
    <t>BDA01</t>
  </si>
  <si>
    <t>485754435734B1AF</t>
  </si>
  <si>
    <t>4857544357302EAF</t>
  </si>
  <si>
    <t>485754435730AAAF</t>
  </si>
  <si>
    <t>48575443572EB1AF</t>
  </si>
  <si>
    <t>485754435730C2AF</t>
  </si>
  <si>
    <t>4857544357303AAF</t>
  </si>
  <si>
    <t>RAB0000000198556</t>
  </si>
  <si>
    <t>OBRE REMI JULES CESAR</t>
  </si>
  <si>
    <t>DIVO KONANKRO PETI MARCHE</t>
  </si>
  <si>
    <t>RAB0000000198559</t>
  </si>
  <si>
    <t>DAGO YAO FIDELE</t>
  </si>
  <si>
    <t>DIVO LIBREVILLE LAVAGE</t>
  </si>
  <si>
    <t>RAB0000000198552</t>
  </si>
  <si>
    <t>KOUASSI RAOUL KABLAN</t>
  </si>
  <si>
    <t>48575443573246AF</t>
  </si>
  <si>
    <t xml:space="preserve">DMI01,PCO103,LONG 120M ,3 ANCIEN PB </t>
  </si>
  <si>
    <t>DMI 01,PCO039,BRIN 2,Long câble 250m,PM New 1,3 ANCIEN PB ( LE Client donne un retour le 27/02/2025 pour  son installation)</t>
  </si>
  <si>
    <t>DMI01, PCO037,BRIN 3, LONG 150M ,3 ANCIEN PB</t>
  </si>
  <si>
    <t>RAB0000000198663</t>
  </si>
  <si>
    <t>KONE IBRAHIM</t>
  </si>
  <si>
    <t>DBA01,PCO101,BRIN 2, LONG 150M ,2 ANCIEN PB</t>
  </si>
  <si>
    <t>DMI01,PCO 66 en cours de déploiement</t>
  </si>
  <si>
    <t>bleu</t>
  </si>
  <si>
    <t>orange</t>
  </si>
  <si>
    <t>48575443573851AF</t>
  </si>
  <si>
    <t>4857544357347FAF</t>
  </si>
  <si>
    <t>DBA01, PCO021, 320M, BRIN 6, 2 ANCIENS PB, 2 ANCIENS PM ( il est indisponible pour son installation du 25/02/2025 )</t>
  </si>
  <si>
    <t>RAB0000000198701</t>
  </si>
  <si>
    <t>DIABATE YOUSSOUF</t>
  </si>
  <si>
    <t>RAB0000000198713</t>
  </si>
  <si>
    <t>CISSE EL HADJ MEDOUNE</t>
  </si>
  <si>
    <t>DIVO CLINIQUE ZOHEE</t>
  </si>
  <si>
    <t>RAB0000000198700</t>
  </si>
  <si>
    <t>SANGARE ROKYA</t>
  </si>
  <si>
    <t>RAB0000000198720</t>
  </si>
  <si>
    <t>YOUIN YOUSSOUF</t>
  </si>
  <si>
    <t>RAB0000000198719</t>
  </si>
  <si>
    <t>TRAORE DJAKARIDJA</t>
  </si>
  <si>
    <t>DMI01_PCO071</t>
  </si>
  <si>
    <t>DMI01,PCO071,BRIN1,LONG 250M, 4 ANCIEN PB , 1NEW PM</t>
  </si>
  <si>
    <t>DMI01,PCO104,BRIN 2, LONG 450M,2 ANCIEN PB, 4 NEW PM</t>
  </si>
  <si>
    <t>DMI01_PCO104</t>
  </si>
  <si>
    <t>DBA01_PCO081</t>
  </si>
  <si>
    <t>DBA01,PCO 081, LONG 200M, 2 ANCIENS PB , 1 NEW PM</t>
  </si>
  <si>
    <t xml:space="preserve">CLIENT NE DECROCHE PAS DEMAIN POUR UNE RELANCE </t>
  </si>
  <si>
    <t>RAB0000000198885</t>
  </si>
  <si>
    <t>DIA MOUSSA</t>
  </si>
  <si>
    <t>RAB0000000198889</t>
  </si>
  <si>
    <t>JAMNAL AHMAD</t>
  </si>
  <si>
    <t>DIVO POISSONNERIE BG</t>
  </si>
  <si>
    <t>DMI01,PCO070,BRIN 1,2 ANCIEN PB LONG 150M( a reporté son installation pour demain le 27/02/2025)</t>
  </si>
  <si>
    <t>48575443573139AF</t>
  </si>
  <si>
    <t>48575443573287AF</t>
  </si>
  <si>
    <t>48575443573009AF</t>
  </si>
  <si>
    <t>48575443573728AF</t>
  </si>
  <si>
    <t>485754435738FBAF</t>
  </si>
  <si>
    <t>48575443572DA1AF</t>
  </si>
  <si>
    <t>485754435738A2AF</t>
  </si>
  <si>
    <t>48575443572E10AF</t>
  </si>
  <si>
    <t>48575443572E34AF</t>
  </si>
  <si>
    <t>DBA01_PCO087</t>
  </si>
  <si>
    <t>DMI01_PCO111</t>
  </si>
  <si>
    <t>DMI01,PCO111,BRIN 1, LONG 100M ,2 ANCIEN PB</t>
  </si>
  <si>
    <t>DMI01,BRIN 3 , LONG 150M, 1 NEW PM, 1 ANCIEN PB PCO040</t>
  </si>
  <si>
    <t>DMI01, PCO069,PB 1,PM1,Long câble =150m</t>
  </si>
  <si>
    <t xml:space="preserve">DMI01  PCO006 D 02 Brin 1 Long câble =100m PB=2 Pm nouveau =1
</t>
  </si>
  <si>
    <t xml:space="preserve">DMI01 PCO033 D 02 Brin 1  Long câble =150m PM=0 PB=2
</t>
  </si>
  <si>
    <t xml:space="preserve">DMI01 PCO011D 04 Brin 1 PB =2 Long  câble =100m PM=0
</t>
  </si>
  <si>
    <t>DMI01_PCO082</t>
  </si>
  <si>
    <t xml:space="preserve">DMI01 PCO050, D0 3BRIN  1Long câble =100m Pm=0 PB =1
</t>
  </si>
  <si>
    <t xml:space="preserve">DMI01 PCO103, D04 Brin  1Long câble =100m Pm=0 Pb=1
</t>
  </si>
  <si>
    <t xml:space="preserve">DBA01, PCO089, Brin 3, Pm0 PB 3
</t>
  </si>
  <si>
    <t>DMI01_PCO011</t>
  </si>
  <si>
    <t xml:space="preserve">DMI01 ,01PCO98D04Long câble =80mBrin =2Pm=0PB=1
</t>
  </si>
  <si>
    <t xml:space="preserve">DMI01 PCO082D 03 Long câble =150m  Pm =0 PB=2
</t>
  </si>
  <si>
    <t xml:space="preserve">DMI01,PCO097 D02 Brin 2 PM=0 PB=3 Long câble =150m
</t>
  </si>
  <si>
    <t xml:space="preserve">DMI01, PCO050 D2 Brin 1 Long câble 60m Pm=0 PB =1
</t>
  </si>
  <si>
    <t xml:space="preserve">DBA01, PCO097,LONG 80M, 1 ANCIEN PB </t>
  </si>
  <si>
    <t xml:space="preserve">DBA01, PCO045, D02 Brin 1, LONG 60M Pm 0 PB 1
</t>
  </si>
  <si>
    <t>DBA01,PCO097,BRIN 1 LONG 150M</t>
  </si>
  <si>
    <t xml:space="preserve">DMI01, PCO098,LONG 50M, 1 ANCIEN PB </t>
  </si>
  <si>
    <t xml:space="preserve">DBA01,PCO021,BRIN 1 LONG 100M 2 ANCIEN PB </t>
  </si>
  <si>
    <t xml:space="preserve">DMI01 ,PCO073,  Brin 1, LONG 100M, PM0 ,PB2
</t>
  </si>
  <si>
    <t xml:space="preserve">DBA01, PCO010,LONG 100M, 1 ANCIEN PB </t>
  </si>
  <si>
    <t>DMI01,PCO100,BRIN 4 LONG 150M</t>
  </si>
  <si>
    <t>DBA01,PCO010,LONG 300M,2 NEW PM,3 ANCIEN</t>
  </si>
  <si>
    <t>DBA01,PCO010,LONG 150M,1 ANCIEN PB,BRIN 3</t>
  </si>
  <si>
    <t xml:space="preserve">DBA01,PCO010,LONG 150M </t>
  </si>
  <si>
    <t>DBA01,PCO010,LONG 150M,1 ANCIEN PB ,BRIN 1, 1 NEW</t>
  </si>
  <si>
    <t>DBA01,PCO070,LONG 100M,1 ANCIEN PB ,BRIN 1</t>
  </si>
  <si>
    <t>DMI01,PCO048,LONG 150M,1 ANCIEN PB ,BRIN 2</t>
  </si>
  <si>
    <t>DBDA01_PCO019</t>
  </si>
  <si>
    <t>DMI01,PCO049,BRIN 4,Long câble 250m,PM New 2,PB 2</t>
  </si>
  <si>
    <t>DMI01,PCO019,BRIN 2,Long câble 100m,PB 1</t>
  </si>
  <si>
    <t>DMI01,PCO042,BRIN 1,5 ANCIEN PB,LONG 300M</t>
  </si>
  <si>
    <t>DBA01,PCO046, BRIN 2, LONG 250M, 5 ANCIEN PB</t>
  </si>
  <si>
    <t>DMI01_PCO 046</t>
  </si>
  <si>
    <t xml:space="preserve">DMI01, PCO017,LONG 100M, 1 ANCIEN PB </t>
  </si>
  <si>
    <t>DMI01_PCO017</t>
  </si>
  <si>
    <t xml:space="preserve">DMI01, PCO015,LONG 300M, 3 ANCIENS PB, 2 NEW PM </t>
  </si>
  <si>
    <t xml:space="preserve">DBA01 ,PCO102,D04,LONG  100M,1 ANCIEN PB  
</t>
  </si>
  <si>
    <t xml:space="preserve">DBA01 ,PCO024,D01,LONG  250M,4 ANCIEN PB  </t>
  </si>
  <si>
    <t>DMI01,PCO016,LONG 150M,1ANCIEN PB,0PM,BRIN 1</t>
  </si>
  <si>
    <t>DMI01, PCO103, LONG 150M,1 ANCIEN PB, 1NEW PM</t>
  </si>
  <si>
    <t xml:space="preserve">DMI01 PCO0100 D03 BRIN 1 Long câble =100m Pm=0 PB =1
</t>
  </si>
  <si>
    <t xml:space="preserve">DMI01 PCO037 D04Long câble 150mBrin 1PM nouveau 1PB 2
</t>
  </si>
  <si>
    <t xml:space="preserve">DBA01, PCO082,LONG 200M, 2 ANCIEN PB </t>
  </si>
  <si>
    <t xml:space="preserve">DMI01,PCO078,Long câble 60m,0PM,1PB
</t>
  </si>
  <si>
    <t>DMI01, PCO 045, BRIN 1, LONG 150M, 4 ANCIEN PB</t>
  </si>
  <si>
    <t>DMI01, PCO021,LONG 100M, 1 ANCIEN PB</t>
  </si>
  <si>
    <t>DMI01,PCO074</t>
  </si>
  <si>
    <t>DMI01, PCO050  , LONG 120M 1 ANCIEN PB</t>
  </si>
  <si>
    <t>DIM01, PCO054, BRIN 3, LONG 120M, 1 ANCIEN PB</t>
  </si>
  <si>
    <t>DBA01,PCO048 LONG 150M, 1 ANCIEN PB</t>
  </si>
  <si>
    <t xml:space="preserve">DBA01 , PCO023 , LONG 150M 1 ANCIEN PB </t>
  </si>
  <si>
    <t>DMI01, PCO004, LONG 200M , BRIN 1, 3 ANCIEN PB</t>
  </si>
  <si>
    <t>DMI01, PCO083, LONG 60M, 1 ANCIEN PB , BRIN 4</t>
  </si>
  <si>
    <t>DBA01, PCO021,BRIN 2, LONG 150 M, 2 ANCIEN PB</t>
  </si>
  <si>
    <t>DMI01,PCO006BRIN 1,LONG 150M</t>
  </si>
  <si>
    <t xml:space="preserve">DMI01,PCO014, BRIN 1,LONG 60 1 ACIEN PB </t>
  </si>
  <si>
    <t xml:space="preserve">DBA01, PCO103,LONG 200M, 2 ANCIENS PB, 2 NEW PM </t>
  </si>
  <si>
    <t>DMI01, PCO021, LONG 100M, BRIN 1, 1 ANCIEN PB</t>
  </si>
  <si>
    <t>DMI01,PCO021, BRIN 2,LONG 150M,1 NEW PM ,PB 1</t>
  </si>
  <si>
    <t xml:space="preserve">DIMI01 , PCO047 , LONG 150M 1 ANCIEN PB </t>
  </si>
  <si>
    <t>DBA,PCO017,LONG 60M,1ANCIEN PB</t>
  </si>
  <si>
    <t>DBA01,PCO010, BRIN 1,LONG 150M,2 ANCIEN PB</t>
  </si>
  <si>
    <t>DBA01, PCO054, LONG 150M,BRIN 2</t>
  </si>
  <si>
    <t>DIMI01,PCO114, LONG 150M, 1 ANCIEN PB,1 ANCIEN PM</t>
  </si>
  <si>
    <t>DIMI01,PCO106,LONG 150M0 ,2 ANCIENS PB</t>
  </si>
  <si>
    <t>DMI01,PCO089</t>
  </si>
  <si>
    <t xml:space="preserve">DBA01 ,  PCO048,LONG 200M , PCO052 ,3ANCIENS PB 
</t>
  </si>
  <si>
    <t xml:space="preserve">DMI01,PCO047,LONG 200M, BRIN 1,3 ANCIEN </t>
  </si>
  <si>
    <t>DBA01,PCO104,BRIN 1, LONG 100M 1 ANCIEN PB</t>
  </si>
  <si>
    <t>DBA01,PCO016, BRIN 2,LONG 200M,1 ANCIEN PM , 1 NEW PM</t>
  </si>
  <si>
    <t>DBA01,PCO015, BRIN 1, LONG 150 1 ANCIEN PB</t>
  </si>
  <si>
    <t>DBA01,PCO013,BRIN 1 , 2 ANCIEN PB, 1 NEW PM , LONG 150M</t>
  </si>
  <si>
    <t>DBA01, PCO003, Brin1, LONG 100M, 1 ANCIEN PB</t>
  </si>
  <si>
    <t xml:space="preserve">DMI01 ,PCO019 , 1 NEW PB , LONG 150M 
</t>
  </si>
  <si>
    <t>DIMI01, PCO069,LONG 150M, 1 ANCIEN PB,1 ANCIEN PM</t>
  </si>
  <si>
    <t>DMI01,PCO043,BRIN 4, LONG 150M ,3 ANCIEN PB</t>
  </si>
  <si>
    <t xml:space="preserve">DMI01,PCO052,LONG 150M,Brin 2, NEW  PM, 1 ANCIEN PB
</t>
  </si>
  <si>
    <t>DIMI01,PCO040,LONG 150M,1 NEW PM,1 ANCIEN PB</t>
  </si>
  <si>
    <t>DMI01,PCO010,LONG 150M, BRIN 1 , 2 ANCIEN PB</t>
  </si>
  <si>
    <t>DMI01,PCO052,BRIN2, 1 ANCIEN PB,2 NEW PM, LONG 200M</t>
  </si>
  <si>
    <t>DMI01,PCO052,LONG 100M,BRIN 1, 2 ANCIENS PB</t>
  </si>
  <si>
    <t>DBA01,PCO99,BRIN 1,LONG 200 ,2 NEW PM, 2 ANCIEN PB</t>
  </si>
  <si>
    <t xml:space="preserve">DMI01, PCO0101,LONG 150M, BRIN 5, 1 ANCIEN </t>
  </si>
  <si>
    <t>DBA01,PCO001,BRIN 1, LONG 150M</t>
  </si>
  <si>
    <t>DBA01,PCO050, BRIN 1,LONG 200M,3 NEW PM ,PB 1</t>
  </si>
  <si>
    <t xml:space="preserve">DBA01, PCO065, BRIN 6 , LONG 120M 1 ANCIEN PB </t>
  </si>
  <si>
    <t>DMI01, PCO066,LONG 150M, 2 ANCIENS PB 1 NEW PM</t>
  </si>
  <si>
    <t xml:space="preserve">DBA01, PCO042 ,LONG 250M, 2 ANCIENS PB, 4 NEW PM </t>
  </si>
  <si>
    <t>DMI01-PCO117,BRIN 2,LONG 300M, 3 NEW PM,3 ANCIEN PB</t>
  </si>
  <si>
    <t>DBA01,PCO010,BRIN1,LONG 250M,4 ANCIEN PB</t>
  </si>
  <si>
    <t>DMI01,PCO078,BRIN1,LONG 100M,2 ANCIEN PB</t>
  </si>
  <si>
    <t>DBA01,PCO009,BRIN 1,LONG 120M,1 ANCIEN PB</t>
  </si>
  <si>
    <t>DMI01,PCO103,BRIN 1,2 ANCIE PB</t>
  </si>
  <si>
    <t>DBA01,PCO019,BRIN 2,LONG 150, 3 ANCIEN PB</t>
  </si>
  <si>
    <t>DBA01,PCO097,BRIN 3,LONG 100M,1 ANCIEN PB</t>
  </si>
  <si>
    <t>DBA01 , PCO048, LONG 400M, 2 ANCIENS PB , 1 NEW PM, BRIN 1</t>
  </si>
  <si>
    <t>DMI01,PCO099,BRIN1,LONG 100M,1 ANCIEN PB</t>
  </si>
  <si>
    <t>DMI01,PCO037,BRIN 3, LONG 150M,3 ANCIEN PB</t>
  </si>
  <si>
    <t>DMI01,PCO22,1 ANCIEN PB</t>
  </si>
  <si>
    <t>DMI01,PCO023, BRIN 2, LONG 250, 3 ANCIEN PB ,2 NEW PM</t>
  </si>
  <si>
    <t>DBA01,PCO013,BRIN 2,LONG 150M,2 ANCIEN PB</t>
  </si>
  <si>
    <t>DMI01,PCO015, BRIN 3 ,LONG 200M,3 ANCIEN PB ,1 NEW PM</t>
  </si>
  <si>
    <t>DBA01,PCO012, LONG 300M, 6 ANCIENS PB</t>
  </si>
  <si>
    <t>RAB0000000198941</t>
  </si>
  <si>
    <t>DIVO KONANKRO FACE A LA MORGUE</t>
  </si>
  <si>
    <t>RAB0000000199008</t>
  </si>
  <si>
    <t>BENIAKROU EHOULE JAMES</t>
  </si>
  <si>
    <t>DIVO COLLEGE EHOULE JAMES</t>
  </si>
  <si>
    <t>RAB0000000198980</t>
  </si>
  <si>
    <t>SHADI MADANI</t>
  </si>
  <si>
    <t>DIVO RUE SGBCI</t>
  </si>
  <si>
    <t xml:space="preserve">DMI01,PCO021,LONG 250M,BRIN 4  ,3 ANCIEN PB </t>
  </si>
  <si>
    <t>DMI01, PCO042, BRIN 2, LONG 200M ,1 ANCIEN PB 2 NEW PM</t>
  </si>
  <si>
    <t>48575443572F4DAF</t>
  </si>
  <si>
    <t>48575443573661AF</t>
  </si>
  <si>
    <t>48575443573232AF</t>
  </si>
  <si>
    <t>48575443572BAFAF</t>
  </si>
  <si>
    <t>48575443572EA3AF</t>
  </si>
  <si>
    <t>485754435735E3AF</t>
  </si>
  <si>
    <t>DBA01,PCO004, LONG 150M,1 ANCIENS PB, BRIN 4, D01</t>
  </si>
  <si>
    <t>DBA01_PCO041</t>
  </si>
  <si>
    <t>DBA01,PCO041,BRIN 1 ,LONG 150M ,2 ANCIEN PB</t>
  </si>
  <si>
    <t>48575443572C11AF</t>
  </si>
  <si>
    <t>485754435733F8AF</t>
  </si>
  <si>
    <t>RAB0000000199196</t>
  </si>
  <si>
    <t>ZIDA MOUMOUNI</t>
  </si>
  <si>
    <t>DIVO GRAND MARCHE</t>
  </si>
  <si>
    <t>RAB0000000199207</t>
  </si>
  <si>
    <t>THIAM ABDUL RAZACK</t>
  </si>
  <si>
    <t>DIVO STATION SHELL</t>
  </si>
  <si>
    <t>RAB0000000199210</t>
  </si>
  <si>
    <t>EZZEDINE HISSEIN</t>
  </si>
  <si>
    <t>RAB0000000199297</t>
  </si>
  <si>
    <t>DIAKITE YSSOUF</t>
  </si>
  <si>
    <t>RAB0000000199212</t>
  </si>
  <si>
    <t>FOFANA ABDOULAYE</t>
  </si>
  <si>
    <t>DIVO ZANMLANMANBOUGOU</t>
  </si>
  <si>
    <t>RAB0000000199208</t>
  </si>
  <si>
    <t>ANON AKOMIAN PARFAIT</t>
  </si>
  <si>
    <t>RAB0000000199211</t>
  </si>
  <si>
    <t>FADIPE BENJAMIN OLAYINKA</t>
  </si>
  <si>
    <t>RAB0000000199213</t>
  </si>
  <si>
    <t>MEITE VAKABA</t>
  </si>
  <si>
    <t>RAB0000000199304</t>
  </si>
  <si>
    <t>KONE KARIDJATOU</t>
  </si>
  <si>
    <t>RAB0000000199322</t>
  </si>
  <si>
    <t>BAGUE ISMAILA</t>
  </si>
  <si>
    <t>DIVO BOUDOUKOU COLLEGE RACINE</t>
  </si>
  <si>
    <t>RAB0000000199302</t>
  </si>
  <si>
    <t>48575443572BD6AF</t>
  </si>
  <si>
    <t>DMI01_PCO086</t>
  </si>
  <si>
    <t>48575443573737AF</t>
  </si>
  <si>
    <t>Ville</t>
  </si>
  <si>
    <t>DBA01,PCO012,BRIN 4 ,LONG 150M ,2 ANCIEN PB</t>
  </si>
  <si>
    <t>DBA01,PCO011,BRIN 3, LONG 120M ,1 ANCIEN PB</t>
  </si>
  <si>
    <t>DMI01,PCO051,LONG 200M,BRIN 3,2 ANCIEN PB,1 NEW</t>
  </si>
  <si>
    <t>DBA01_PCO078</t>
  </si>
  <si>
    <t>DBA01,PCO078,BRIN 1,1 ANCIEN PB, 2NEW PM</t>
  </si>
  <si>
    <t>DBA01_PCO080</t>
  </si>
  <si>
    <t>DBA01,PCO080,BRIN 2,LONG 150M,1 ANCIEN PB</t>
  </si>
  <si>
    <t>DBA01,PCO007,BRIN 2,3 ANCIEN PB ,1 NEW PM</t>
  </si>
  <si>
    <t>DMI01_PCO035</t>
  </si>
  <si>
    <t>DMI01, PCO035, BRIN1, LONG 110M ,1 ANCIEN PB1, NEW PM</t>
  </si>
  <si>
    <t>RAB0000000199463</t>
  </si>
  <si>
    <t>CHARLY HOLLARD</t>
  </si>
  <si>
    <t>DIVO  COMMERCE BON PRIX</t>
  </si>
  <si>
    <t>RAB0000000199457</t>
  </si>
  <si>
    <t>BA IBRAHIMA</t>
  </si>
  <si>
    <t>RAB0000000199513</t>
  </si>
  <si>
    <t>COULIBALY ISMAILA</t>
  </si>
  <si>
    <t>DIVO LIBRAIRIE CENTRALE</t>
  </si>
  <si>
    <t>RAB0000000199516</t>
  </si>
  <si>
    <t>SAMOUCA CAMARA</t>
  </si>
  <si>
    <t>RAB0000000199510</t>
  </si>
  <si>
    <t>DIVO POISSONERIE RUE SGBCI</t>
  </si>
  <si>
    <t>RAB0000000199494</t>
  </si>
  <si>
    <t xml:space="preserve">DBA01,PCO014,BRIN 2, LONG 150M, 2 ANCIEN PB  </t>
  </si>
  <si>
    <t>DBA01,PCO101,BRIN 3,2 NEW  PM ,2 ANCIEN PB LONG 300M</t>
  </si>
  <si>
    <t>DBA01,PCO078,BRIN 1,2 ANCIEN PB,1NEW PM LONG 150M</t>
  </si>
  <si>
    <t>DBA01,PCO041,BRIN 2 ,LONG 180M ,3ANCIEN PB</t>
  </si>
  <si>
    <t>DBA01,PCO011,BRIN 3, LONG 150M ,1 ANCIEN PB</t>
  </si>
  <si>
    <t>RAB0000000199587</t>
  </si>
  <si>
    <t>KARA ALI MOHAMAD ALI</t>
  </si>
  <si>
    <t>RAB0000000199538</t>
  </si>
  <si>
    <t>RAB0000000199580</t>
  </si>
  <si>
    <t>KABLA GNANDJOUE JACQUES</t>
  </si>
  <si>
    <t>RAB0000000199564</t>
  </si>
  <si>
    <t>DIVO KONANKRO PHARMACIE STE MARIE</t>
  </si>
  <si>
    <t>RAB0000000199477</t>
  </si>
  <si>
    <t>MILLIONNAIRE BOYA</t>
  </si>
  <si>
    <t>4857544357389CAF</t>
  </si>
  <si>
    <t>4857544357367CAF</t>
  </si>
  <si>
    <t>48575443572F17AF</t>
  </si>
  <si>
    <t>4857544357364CAF</t>
  </si>
  <si>
    <t>48575443572F36AF</t>
  </si>
  <si>
    <t>485754435732AEAF</t>
  </si>
  <si>
    <t>48575443572D61AF</t>
  </si>
  <si>
    <t>RAB0000000199591</t>
  </si>
  <si>
    <t>OULAI DAIMONKPA HYPOTE CARL MICHAEL</t>
  </si>
  <si>
    <t>RAB0000000199596</t>
  </si>
  <si>
    <t>KOUAME TINDO JACOB</t>
  </si>
  <si>
    <t>RAB0000000199606</t>
  </si>
  <si>
    <t>RAB0000000199614</t>
  </si>
  <si>
    <t>KINDO SOULEYMANE</t>
  </si>
  <si>
    <t>DIVO JERUSALEME</t>
  </si>
  <si>
    <t>RAB0000000199618</t>
  </si>
  <si>
    <t>GUIRE KUESSIOGNON REINE</t>
  </si>
  <si>
    <t>KASSI KABLAN GEORGES LAZARE</t>
  </si>
  <si>
    <t>DBA01_PCO053</t>
  </si>
  <si>
    <t>DBA01,PCO053,BRIN 1,LONG 100M ,1 NEW PM,1 ANCIEN PB</t>
  </si>
  <si>
    <t>DMI01,PCO104,BRIN 3,LONG 250M, 3 ANCIEN PM,2 ANCIEN PB</t>
  </si>
  <si>
    <t>48575443572B7FAF</t>
  </si>
  <si>
    <t>DBA01_PCO090</t>
  </si>
  <si>
    <t>DMI01_PCO107</t>
  </si>
  <si>
    <t>DBA01_PCO085</t>
  </si>
  <si>
    <t>DBA01, PCO090</t>
  </si>
  <si>
    <t>DBA01,PCO080</t>
  </si>
  <si>
    <t>DMI01,PCO107</t>
  </si>
  <si>
    <t>DBA01,PCO085</t>
  </si>
  <si>
    <t>48575443572E15AF</t>
  </si>
  <si>
    <t>485754435733DDAF</t>
  </si>
  <si>
    <t>48575443572BAAAF</t>
  </si>
  <si>
    <t>485754435733FAAF</t>
  </si>
  <si>
    <t>RAB0000000199660</t>
  </si>
  <si>
    <t>TAHIROU ZERMA</t>
  </si>
  <si>
    <t>RAB0000000199652</t>
  </si>
  <si>
    <t>DAKOURY SHOLA OSKY</t>
  </si>
  <si>
    <t>RAB0000000199682</t>
  </si>
  <si>
    <t>KALLE LETO SIDOINE</t>
  </si>
  <si>
    <t>DIVO MILLIONNAIRE NOKANAN BOBY</t>
  </si>
  <si>
    <t>RAB0000000199693</t>
  </si>
  <si>
    <t>DIAWARA MAMOUROUBA ABDOUL</t>
  </si>
  <si>
    <t>DIVO ZANMANMANBOUGOU</t>
  </si>
  <si>
    <t>DMI01,PCO117,BRIN 2,LONG 200M, 3 NEW PM,1 ANCIEN PB</t>
  </si>
  <si>
    <t>DMI01,PCO103,BRIN 5,D 04,LONG 300M,1 NEW PM,5 ANCIEN</t>
  </si>
  <si>
    <t>RAB0000000194754</t>
  </si>
  <si>
    <t>BELLEVILLE AU NIVEAU DU FEU A DROITE</t>
  </si>
  <si>
    <t xml:space="preserve">DMI01,PCO107,BRIN 2,LONG 100M,1 ANCIEN PB </t>
  </si>
  <si>
    <t>RAB0000000199787</t>
  </si>
  <si>
    <t>DIABATE MOHAMED</t>
  </si>
  <si>
    <t>RAB0000000199812</t>
  </si>
  <si>
    <t>YINUSA ADEOYE FRANCOIS MUBARAK</t>
  </si>
  <si>
    <t>RAB0000000199809</t>
  </si>
  <si>
    <t>LINGANI ABDOU LATIF</t>
  </si>
  <si>
    <t>RAB0000000199776</t>
  </si>
  <si>
    <t>DIVO GARE SBTA</t>
  </si>
  <si>
    <t>RAB0000000199807</t>
  </si>
  <si>
    <t>TONDE ABEDI ROMARIC</t>
  </si>
  <si>
    <t>RAB0000000199816</t>
  </si>
  <si>
    <t>OUATTARA BASSALIA</t>
  </si>
  <si>
    <t>RAB0000000199784</t>
  </si>
  <si>
    <t>KEDI SERGE</t>
  </si>
  <si>
    <t>DIVO RESIDENCE FORESTIER</t>
  </si>
  <si>
    <t>48575443573313AF</t>
  </si>
  <si>
    <t>48575443573752AF</t>
  </si>
  <si>
    <t>485754435738CEAF</t>
  </si>
  <si>
    <t>RAB0000000199832</t>
  </si>
  <si>
    <t>KOUADIO DOBLA JEAN-LUC</t>
  </si>
  <si>
    <t>DIVO KONANKRO LYCEE 3</t>
  </si>
  <si>
    <t>TOURE ABDOULAYE</t>
  </si>
  <si>
    <t>RAB0000000199833</t>
  </si>
  <si>
    <t>DIVO COMMERCE POISSONNERIE</t>
  </si>
  <si>
    <t>DMI01_PCO065</t>
  </si>
  <si>
    <t>DMI01,PCO065,BRIN 1,LONG 200M,4 ANCIEN PB , D 03</t>
  </si>
  <si>
    <t>RAB0000000199864</t>
  </si>
  <si>
    <t>YATTARA HAISSATA</t>
  </si>
  <si>
    <t>DIVO PLATEAU CIE</t>
  </si>
  <si>
    <t>RAB0000000199887</t>
  </si>
  <si>
    <t>SINDJALIM EDJADETCHAM</t>
  </si>
  <si>
    <t>DIVO ZAMANABOUGOU</t>
  </si>
  <si>
    <t>RAB0000000199894</t>
  </si>
  <si>
    <t>RAB0000000199918</t>
  </si>
  <si>
    <t>DAO DAOUDA</t>
  </si>
  <si>
    <t>RAB0000000199850</t>
  </si>
  <si>
    <t>KOUADIO KOUAME ADOLPHE</t>
  </si>
  <si>
    <t>RAB0000000197988</t>
  </si>
  <si>
    <t>ASSOUMOU YAO SYLVAIN</t>
  </si>
  <si>
    <t>DIVO BADA CDCI</t>
  </si>
  <si>
    <t>DOH N'GORAN ATTOKPA KOFFI GUSTAVE</t>
  </si>
  <si>
    <t>Indisponible</t>
  </si>
  <si>
    <t>48575443573616AF</t>
  </si>
  <si>
    <t>485754435736D5AF</t>
  </si>
  <si>
    <t>48575443572F03AF</t>
  </si>
  <si>
    <t>485754435731C8AF</t>
  </si>
  <si>
    <t>485754435737C6AF</t>
  </si>
  <si>
    <t>48575443572D88AF</t>
  </si>
  <si>
    <t>DBA01_PCO04</t>
  </si>
  <si>
    <t>RAB0000000199995</t>
  </si>
  <si>
    <t>DIAKITE ALAHASSANE</t>
  </si>
  <si>
    <t xml:space="preserve">DBA01, PCO080, BRIN 3, LONG 450M, </t>
  </si>
  <si>
    <t>DBA01_PCO079</t>
  </si>
  <si>
    <t>DBA01,PCO079,BRIN 1, LONG 150M, 3 ANCIENS PB</t>
  </si>
  <si>
    <t>DBA01_PCO100</t>
  </si>
  <si>
    <t>DBA01,PCO100,BRIN 2,LONG 200M, 3 ANCIENS PB</t>
  </si>
  <si>
    <t>DBA01_PCO099</t>
  </si>
  <si>
    <t>DBA01, PCO099, BRIN 1, LONG 200M, 1 ANCIEN PB, 2 NEW PM</t>
  </si>
  <si>
    <t>DMI01, PCO006,BRIN 3, LONG 300M, 3 ANCIENS PB, 3 NEW PM</t>
  </si>
  <si>
    <t>DBA01,PCO100,BRIN1,LONG 250M,4 ANCIENS PB, 1 NEW PM</t>
  </si>
  <si>
    <t>DBA01_PCO067</t>
  </si>
  <si>
    <t>DBA01,PCO067,BRIN 1, LONG 200M, 3 ANCIENS PB, 1 NEW PM</t>
  </si>
  <si>
    <t>48575443572E6EAF</t>
  </si>
  <si>
    <t>48575443573409AF</t>
  </si>
  <si>
    <t>48575443572E73AF</t>
  </si>
  <si>
    <t>48575443572E5AAF</t>
  </si>
  <si>
    <t>4857544357320BAF</t>
  </si>
  <si>
    <t>48575443573107AF</t>
  </si>
  <si>
    <t>48575443572C58AF</t>
  </si>
  <si>
    <t>DMI01,PCO043,LONG 300M  , 4 ANCIEN PB, 1 NEW PM  BRIN 3</t>
  </si>
  <si>
    <t>DMI01,PCO052,BRIN 5,D 02, LONG 150M, 3 ANCIEN PB</t>
  </si>
  <si>
    <t>DMI01_PCO073</t>
  </si>
  <si>
    <t>DMI01_PCO044</t>
  </si>
  <si>
    <t>DMI01,PCO044,BRIN 1,LONG 350M,7 ANCIEN PB 1 NEW PM</t>
  </si>
  <si>
    <t>RAB0000000200071</t>
  </si>
  <si>
    <t>AGOSSOU KOSSI DIEU DONNE</t>
  </si>
  <si>
    <t>DBA01,LONG 200M,</t>
  </si>
  <si>
    <t>DMI01,PCO104,BRIN 4, 2 ANCIEN PB,1 NEW PM,  LONG 150M</t>
  </si>
  <si>
    <t>DMI01,PCO111,BRIN 3 ,2 ANCIEN PM,1 ANCIEN PB</t>
  </si>
  <si>
    <t>DMI01,PCO100,BRIN 2,LONG 200M,2 NEWPM,1 ANCIEN PB</t>
  </si>
  <si>
    <t>DMI01,PCO073,D 03,BRIN 3,LONG 150M,2ANCIEN PB,1 NEW PM</t>
  </si>
  <si>
    <t>DBA01,PCO015 BRIN 2,LONG 250M, 1 ANCIEN PB,3 NEW PM</t>
  </si>
  <si>
    <t>RAB0000000200176</t>
  </si>
  <si>
    <t>KOFFI DADIE ANGE</t>
  </si>
  <si>
    <t>DIVO VATICAN CARREFOUR CMA</t>
  </si>
  <si>
    <t>RAB0000000191424</t>
  </si>
  <si>
    <t>RAB0000000200209</t>
  </si>
  <si>
    <t>DJAHA KOUAME HONORE</t>
  </si>
  <si>
    <t>RAB0000000200219</t>
  </si>
  <si>
    <t>MOGHNIEH JAMIL</t>
  </si>
  <si>
    <t>RAB0000000200240</t>
  </si>
  <si>
    <t>LATIFU MIKAILA</t>
  </si>
  <si>
    <t>DIVO MONDIAL SICLE</t>
  </si>
  <si>
    <t>DBA01,PCO012,BRIN 5,LONG 150M, 3 ANCIENS PBDeja raccordé en attente de jarretiere pour livraison des clients</t>
  </si>
  <si>
    <t>DBA01,PCO004,BRIN 6,LONG 200M,1 ANCIEN PB Deja raccordé en attente de jarretiere pour livraison des clients</t>
  </si>
  <si>
    <t>DBA01,PCO04,BRIN 5,LONG 200M,1 ANCIEN PB Deja raccordé en attente de jarretiere pour livraison des clients</t>
  </si>
  <si>
    <t>DBA01,PCO082,BRIN 2, LONG 150 M,3 ANCIENS PB  Deja raccordé en attente  de jarretiere pour livraison des clients</t>
  </si>
  <si>
    <t>DBA01,PCO082,BRIN3, LONG 300 M, 4 ANCIENS PB ,1 NEW PM</t>
  </si>
  <si>
    <t>DBA01,PCO078,BRIN 3,1 ANCIEN PB,1NEW PM  2 ANCIEN PM,LONG 250M</t>
  </si>
  <si>
    <t>,5,359455</t>
  </si>
  <si>
    <t>DBA01,PCO071,BRIN 2,LONG 150M,2 ANCIEN PB , D 03</t>
  </si>
  <si>
    <t>DBA01_PCO009</t>
  </si>
  <si>
    <t>DBA01,PCO009,BRIN 1,LONG 150M,3 ANCIEN PB ,D 01</t>
  </si>
  <si>
    <t>RAB0000000200252</t>
  </si>
  <si>
    <t>CENTRE MEDICAL DU DJIBOUA</t>
  </si>
  <si>
    <t>DIVO QUARTIER PLATEAU</t>
  </si>
  <si>
    <t>RAB0000000200296</t>
  </si>
  <si>
    <t>RAB0000000200250</t>
  </si>
  <si>
    <t>DJOULABOUGOU</t>
  </si>
  <si>
    <t>DMI01_PCO087</t>
  </si>
  <si>
    <t>DMI01,PCO087,BRIN 1,LONG 200M,1 ANCIEN PB,1 NEW PM, D 03</t>
  </si>
  <si>
    <t>DMI01,PCO040,BRIN 4,LONG 150M,2 ANCIEN PB, D 02</t>
  </si>
  <si>
    <t xml:space="preserve">DBA01,PCO021,BRIN 6,LONG 150M,1 ANCIEN PB ,1NEW PM </t>
  </si>
  <si>
    <t>DMI01_PCO014</t>
  </si>
  <si>
    <t>DMI01,PCO014,BRIN 1 LONG 150M, 3 ANCIEN PB,D 01</t>
  </si>
  <si>
    <t>RAB0000000200335</t>
  </si>
  <si>
    <t>ZAGRE ZAKARIA</t>
  </si>
  <si>
    <t>RAB0000000200334</t>
  </si>
  <si>
    <t>GAYE DAME</t>
  </si>
  <si>
    <t>RAB0000000200336</t>
  </si>
  <si>
    <t>SISSOKO LAMINE MOHAMMED</t>
  </si>
  <si>
    <t>RAB0000000200358</t>
  </si>
  <si>
    <t>KONE HAMED FRANCK</t>
  </si>
  <si>
    <t>RAB0000000200329</t>
  </si>
  <si>
    <t>AIBO ZEBOU ADRIEN</t>
  </si>
  <si>
    <t>RAB0000000200333</t>
  </si>
  <si>
    <t>FADIPE BINJAMIN OLAYINKA</t>
  </si>
  <si>
    <t>RAB0000000200327</t>
  </si>
  <si>
    <t>ABDOUL KARIM COULIBALY</t>
  </si>
  <si>
    <t>RAB0000000200331</t>
  </si>
  <si>
    <t>BOUAZO HERMANN</t>
  </si>
  <si>
    <t>DIVO QUARTIER DIOULABOUGOU</t>
  </si>
  <si>
    <t>RAB0000000200356</t>
  </si>
  <si>
    <t>COULIBALY HABIB</t>
  </si>
  <si>
    <t>Commune</t>
  </si>
  <si>
    <t>RAB0000000200434</t>
  </si>
  <si>
    <t>DIMI KEUMA ALICE</t>
  </si>
  <si>
    <t>RAB0000000200389</t>
  </si>
  <si>
    <t>YAMEOGO RAMONDGUE EMMANUEL</t>
  </si>
  <si>
    <t>DIVO BADA AKONDA</t>
  </si>
  <si>
    <t>RAB0000000200392</t>
  </si>
  <si>
    <t>GBONGUE IBRAHIMA</t>
  </si>
  <si>
    <t>RAB0000000200441</t>
  </si>
  <si>
    <t>KOUADIO ARMAND RICHARD</t>
  </si>
  <si>
    <t>DIVO TP</t>
  </si>
  <si>
    <t>RAB0000000200391</t>
  </si>
  <si>
    <t>MAKE DANIEL KOKORA LOYAUTY</t>
  </si>
  <si>
    <t>RAB0000000200466</t>
  </si>
  <si>
    <t>DAGNOGO SOULEYMANE</t>
  </si>
  <si>
    <t>DIVO ZAMAMAMBOUGOU</t>
  </si>
  <si>
    <t>RAB0000000200486</t>
  </si>
  <si>
    <t>KOUAME KOUAKOU NARCISSE</t>
  </si>
  <si>
    <t>DJIGO AMADOU MAMADOU</t>
  </si>
  <si>
    <t xml:space="preserve">DMI 01 </t>
  </si>
  <si>
    <t>DMI 01_PCO003</t>
  </si>
  <si>
    <t>DBA01_PCO043</t>
  </si>
  <si>
    <t>DBA01_PCO035</t>
  </si>
  <si>
    <t>DBA01,PCO035,BRIN 1,LONG 100M,1 ANCIEN PB</t>
  </si>
  <si>
    <t>DMI 01,PCO003,BRIN 1,LONG 200M,1 ANCIEN PB,1NEWS</t>
  </si>
  <si>
    <t>DBA 01,PCO043,BRIN 3,LONG 150M,1 ANCIEN PB</t>
  </si>
  <si>
    <t>DMI01,PCO021,BRIN 5,LONG 150M,1 ANCIEN PB,1NEWS</t>
  </si>
  <si>
    <t>DMI01_PCO084</t>
  </si>
  <si>
    <t>DMI01, PCO084, BRIN 1, LONG 150 M, 1 ANCIEN PB, 1 NEW PM</t>
  </si>
  <si>
    <t>DBA01_PCO102</t>
  </si>
  <si>
    <t>DBA01,PCO102,BRIN 2, LONG 150M,2 ANCIENS PB, 1 NEW PM</t>
  </si>
  <si>
    <t>48575443573873AF</t>
  </si>
  <si>
    <t>48575443572CC5AF</t>
  </si>
  <si>
    <t>48575443573266AF</t>
  </si>
  <si>
    <t>4857544357373AAF</t>
  </si>
  <si>
    <t>48575443573447AF</t>
  </si>
  <si>
    <t>4857544357320AAF</t>
  </si>
  <si>
    <t>48575443573541AF</t>
  </si>
  <si>
    <t>48575443573732AF</t>
  </si>
  <si>
    <t>485754435737F6AF</t>
  </si>
  <si>
    <t>48575443572F9FAF</t>
  </si>
  <si>
    <t>48575443572C64AF</t>
  </si>
  <si>
    <t>4857544357369BAF</t>
  </si>
  <si>
    <t>48575443573712AF</t>
  </si>
  <si>
    <t>48575443573333AF</t>
  </si>
  <si>
    <t>48575443573622AF</t>
  </si>
  <si>
    <t>485754435736FEAF</t>
  </si>
  <si>
    <t>485754435735C0AF</t>
  </si>
  <si>
    <t>48575443573700AF</t>
  </si>
  <si>
    <t>4857544357377FAF</t>
  </si>
  <si>
    <t>48575443573337AF</t>
  </si>
  <si>
    <t>4857544357308FAF</t>
  </si>
  <si>
    <t>DBA01,PCO011,BRIN 5, 2 ANCIEN PB,LONG 150M</t>
  </si>
  <si>
    <t>DBA01_PCO022</t>
  </si>
  <si>
    <t xml:space="preserve">DBA01,PCO090,BRIN 2,LONG 200M,3ANCIEN PB, 1 ANCIEN PM </t>
  </si>
  <si>
    <t>DBA01_PCO068</t>
  </si>
  <si>
    <t>DBA01,PCO068,D 03,BRIN 1,LONG 100M,1ANCIEN PB</t>
  </si>
  <si>
    <t>RAB0000000200536</t>
  </si>
  <si>
    <t>TEMBELY AMBAGA</t>
  </si>
  <si>
    <t>DIVO ZAMMANLANMANBOUGOU</t>
  </si>
  <si>
    <t>RAB0000000200564</t>
  </si>
  <si>
    <t>KABORE ISSA</t>
  </si>
  <si>
    <t>RAB0000000200578</t>
  </si>
  <si>
    <t>MAMADOU EPOUSE OULAI CYNTHIA DIOMANDE</t>
  </si>
  <si>
    <t>RAB0000000200561</t>
  </si>
  <si>
    <t>DIOP MAMADOU</t>
  </si>
  <si>
    <t>RAB0000000200579</t>
  </si>
  <si>
    <t>TRAORE MATOGOMA</t>
  </si>
  <si>
    <t>DIVO COMMERCE NON LOIN DE LA PHARMACIE CENTRALE</t>
  </si>
  <si>
    <t>RAB0000000200500</t>
  </si>
  <si>
    <t>SINGO NADINE VICTOIRE</t>
  </si>
  <si>
    <t>MILLIONNAIRE CLINIQUE ST MARIE VIANNEY</t>
  </si>
  <si>
    <t>DBA01,PCO071,BRIN 3,LONG 150M,2 ANCIEN PB</t>
  </si>
  <si>
    <t>DBA01,PCO078,BRIN 4,LONG 250M,3 ANCIEN PB,1 NEWS</t>
  </si>
  <si>
    <t>DMI 01 ,PCO 12,BRIN2,6NEWS,LONG 500M,2 ANCIENS PB</t>
  </si>
  <si>
    <t>DMI 01,PCO014,BRIN 1,LONG 150M,2 ANCIEN PB</t>
  </si>
  <si>
    <t>DMI 01,PCO 104 ,BRIN 4,LONG CÂBLE 400 M,PM NEW 6,1 ANCIEN PB</t>
  </si>
  <si>
    <t>DBA 01,PCO014,BRIN 3,LONG 250M,1 NEWS PM,1ANCIEN PB</t>
  </si>
  <si>
    <t>DBA01_PCO034</t>
  </si>
  <si>
    <t>DBA01,PCO034,BRIN1,LONG 100M</t>
  </si>
  <si>
    <t>48575443385A40B0</t>
  </si>
  <si>
    <t>RAB0000000200666</t>
  </si>
  <si>
    <t>KOUASSI AYA GHISLAINE</t>
  </si>
  <si>
    <t>RAB0000000200671</t>
  </si>
  <si>
    <t>THIAM ABDOUL RAZACK</t>
  </si>
  <si>
    <t>DIVO MARCHE DE KONANKRO</t>
  </si>
  <si>
    <t>RAB0000000200729</t>
  </si>
  <si>
    <t>COBTI CAMIL</t>
  </si>
  <si>
    <t>DIVO JERISALEME</t>
  </si>
  <si>
    <t>RAB0000000200728</t>
  </si>
  <si>
    <t>GODE GODE JEAN FABRICE</t>
  </si>
  <si>
    <t>RAB0000000200727</t>
  </si>
  <si>
    <t>BARRY DAOUDA</t>
  </si>
  <si>
    <t>RAB0000000200726</t>
  </si>
  <si>
    <t>EZZEDDINE HUSSEIN</t>
  </si>
  <si>
    <t>DIVO COMMERCE DERRIER CDCI</t>
  </si>
  <si>
    <t>485754433857BFB0</t>
  </si>
  <si>
    <t>485754433860B1B0</t>
  </si>
  <si>
    <t>48575443385B7CB0</t>
  </si>
  <si>
    <t>48575443385963B0</t>
  </si>
  <si>
    <t>DMI01_PCO088</t>
  </si>
  <si>
    <t>DMI 01,PCO088,</t>
  </si>
  <si>
    <t>RAB0000000200822</t>
  </si>
  <si>
    <t>ANIN ANIN HERMANN</t>
  </si>
  <si>
    <t>RAB0000000200837</t>
  </si>
  <si>
    <t>GBAFINLIN KOUASSI SYLVAIN ROMARIC INNOCENT</t>
  </si>
  <si>
    <t>RAB0000000200840</t>
  </si>
  <si>
    <t>APOH SYLVAIN AGNES</t>
  </si>
  <si>
    <t>RAB0000000200841</t>
  </si>
  <si>
    <t>KONE SORY</t>
  </si>
  <si>
    <t>RAB0000000200849</t>
  </si>
  <si>
    <t>RAB0000000200847</t>
  </si>
  <si>
    <t>DOUMBIA LOSSENI</t>
  </si>
  <si>
    <t>DIVO BOUDOUKOU AU CELESTE</t>
  </si>
  <si>
    <t>DIVO MILLIONNAIRE TERRAIN DE BASKET</t>
  </si>
  <si>
    <t>DIVO PLATEAU AMAOUEHE</t>
  </si>
  <si>
    <t>DIVO DIOULABOUGOU DEVANT MOSQUEE</t>
  </si>
  <si>
    <t>DMI 01 ,PCO 104,</t>
  </si>
  <si>
    <t>DBA01_PCO036</t>
  </si>
  <si>
    <t>DBA 01,PCO036,</t>
  </si>
  <si>
    <t>DBA 01 ,PCO 35</t>
  </si>
  <si>
    <t>DBA 01,PCO 16</t>
  </si>
  <si>
    <t>DMI01_PCO090</t>
  </si>
  <si>
    <t>DMI 01,PCO090,BRIN1,2NEWS PTX</t>
  </si>
  <si>
    <t>48575443572CC9AF</t>
  </si>
  <si>
    <t>48575443385814B0</t>
  </si>
  <si>
    <t>48575443385BCCB0</t>
  </si>
  <si>
    <t>48575443385CAAB0</t>
  </si>
  <si>
    <t>48575443385735B0</t>
  </si>
  <si>
    <t>48575443385A7FB0</t>
  </si>
  <si>
    <t>48575443385C16B0</t>
  </si>
  <si>
    <t>48575443385B42B0</t>
  </si>
  <si>
    <t>485754433860FCB0</t>
  </si>
  <si>
    <t>48575443386242B0</t>
  </si>
  <si>
    <t>4857544338641CB0</t>
  </si>
  <si>
    <t>48575443385C6EB0</t>
  </si>
  <si>
    <t>48575443385D1AB0</t>
  </si>
  <si>
    <t>48575443385EABB0</t>
  </si>
  <si>
    <t>48575443385A88B0</t>
  </si>
  <si>
    <t>48575443385983B0</t>
  </si>
  <si>
    <t>RAB0000000200962</t>
  </si>
  <si>
    <t>HAMADE HUSSEIN</t>
  </si>
  <si>
    <t>RAB0000000200981</t>
  </si>
  <si>
    <t>TANOH YAO LAURENT</t>
  </si>
  <si>
    <t>RAB0000000200968</t>
  </si>
  <si>
    <t>GAYE MBAYE</t>
  </si>
  <si>
    <t>DIVO STRATION SHELL A LA BOUTIQUE</t>
  </si>
  <si>
    <t>RAB0000000200906</t>
  </si>
  <si>
    <t>KONE LACINA</t>
  </si>
  <si>
    <t>DIVO PLATEAU HOTEL AMAWOYE</t>
  </si>
  <si>
    <t>RAB0000000200915</t>
  </si>
  <si>
    <t>DALIE N'GUESSAN ELIE-MARCEL DOUGBO</t>
  </si>
  <si>
    <t>DIVO VATICAN PETIT MARCHE</t>
  </si>
  <si>
    <t>DBA01_PCO002</t>
  </si>
  <si>
    <t>DBA 01,PCO002,BRIN1,LONG 200M</t>
  </si>
  <si>
    <t>DMI 01,PCO 51,BRIN 4,LONG 150M</t>
  </si>
  <si>
    <t>DBA01, PCO012,BRIN 7, LONG 250 M, 5 ANCIENS PB</t>
  </si>
  <si>
    <t>DBA 01,PCO035,BRIN 3,200M</t>
  </si>
  <si>
    <t>DBA01_PCO069</t>
  </si>
  <si>
    <t>DBA 01,PCO069,BRIN 1,LONG CÂBLE 150 M</t>
  </si>
  <si>
    <t>DBA01_PCO046</t>
  </si>
  <si>
    <t xml:space="preserve">CLIENT INJOIGNABLE LE 18/03/2025 ./19/03/2025 : DBA 01,PCO046,BRIN1,LONG100M,1NEW </t>
  </si>
  <si>
    <t>DMI 01 ,PCO040,BRIN 6,LONG CÂBLE 300 M,PM NEW 3,PB 1 ,PM ANCIEN 1</t>
  </si>
  <si>
    <t>DMI 01 ,PCO 71,BRIN 2,LONG CÂBLE 250 M,PM NEW 3,PB 1</t>
  </si>
  <si>
    <t>DBA01,PCO059,BRIN 2,LONG 200M,3 ANCIEN PB ,1 NEW PM/19/03/2025 : Le client CENTRE MÉDICAL DU DJIBOUA a reporté son installation pour une date ultérieure car son local est en réaménagement.
Voici ci-joints les images,</t>
  </si>
  <si>
    <t xml:space="preserve">CLIENT A DONNER RDV LE 19/03/2025 POUR SON ETUDE/19/03/2025 : DMI 01,PCO099,LONG CÂBLE 300 M,PM NEW 3 ,PM ANCIEN 2,PB 1 </t>
  </si>
  <si>
    <t>CLIENT INJOIGNABLE LE 18/03/2025/ 19/03/2025 : DBA 01,PCO078,BRIN 5,LONG CÂBLE 100 M,PB2</t>
  </si>
  <si>
    <t>RAB0000000201028</t>
  </si>
  <si>
    <t>GBAHIE LEYARA JOELLE EMILIENNE</t>
  </si>
  <si>
    <t>RAB0000000201025</t>
  </si>
  <si>
    <t>BOA CESAR</t>
  </si>
  <si>
    <t>DIVO PHARMACIE GARE D HIRE</t>
  </si>
  <si>
    <t>RAB0000000201012</t>
  </si>
  <si>
    <t>BE MATHURIN</t>
  </si>
  <si>
    <t>RAB0000000201085</t>
  </si>
  <si>
    <t>ANY GBAYERE IKA RAYMOND</t>
  </si>
  <si>
    <t>DIVO HIAM MILLIONNAIRE</t>
  </si>
  <si>
    <t>DBA01_PCO074</t>
  </si>
  <si>
    <t xml:space="preserve">19/03/2025 ,Client DOUMBIA LOSSENI,RAB 0000000200847,est injoignable19/03/2025: DBA 01,PCO 074,BRIN 1,LONG200M
</t>
  </si>
  <si>
    <t>DBA 01,PCO011,BRIN7,LONG200M,1NEW,1PB</t>
  </si>
  <si>
    <t>CLIENT INJOIGNABLE LE 18/03/2025  / 19/03/2025 : DBA 01,PCO 12,BRIN 7,LONG 300M,4 PB,1 NEW PM</t>
  </si>
  <si>
    <t>DMI01_ PCO003</t>
  </si>
  <si>
    <t>DMI 01,PCO003,BRIN2,1PB,1 NEW,250M</t>
  </si>
  <si>
    <t>BLEU</t>
  </si>
  <si>
    <t>48575443385884B0</t>
  </si>
  <si>
    <t>48575443385A90B0</t>
  </si>
  <si>
    <t>485754433857C5B0</t>
  </si>
  <si>
    <t>4857544338580EB0</t>
  </si>
  <si>
    <t>48575443385D38B0</t>
  </si>
  <si>
    <t>485754433859F3B0</t>
  </si>
  <si>
    <t>48575443385DDCB0</t>
  </si>
  <si>
    <t>RAB0000000201111</t>
  </si>
  <si>
    <t>ATTANGBA ETIENNE DIT FULGENCE</t>
  </si>
  <si>
    <t>RAB0000000201110</t>
  </si>
  <si>
    <t>ADAMA DIARRA</t>
  </si>
  <si>
    <t>RAB0000000201112</t>
  </si>
  <si>
    <t>BOKOU IKPO BLIBELE BAUDELAIRE</t>
  </si>
  <si>
    <t>DMI01_PCO092</t>
  </si>
  <si>
    <t>DMI 01,PCO092,BRIN 1,LONG CÂBLE 200 M, 2 ANCIEN PB</t>
  </si>
  <si>
    <t xml:space="preserve">DBA 01,PCO015,BRIN 3,LONG CÂBLE 250 M,PM NEW 1,PM ANCIEN 3,PB 1 </t>
  </si>
  <si>
    <t xml:space="preserve">DBA 01,PCO016,BRIN 3,LONG CÂBLE 200 M,PM NEW 2, 1 ANCIEN PB </t>
  </si>
  <si>
    <t>DBA 01,PCO090,BRIN 3,LONG CÂBLE 300 M,PM NEW 1 ,  4ANCIEN PM</t>
  </si>
  <si>
    <t>DBA 01,PCO022,BRIN2,1NEWS</t>
  </si>
  <si>
    <t xml:space="preserve">DBA 01,PCO011,BRIN6,4 NEWS </t>
  </si>
  <si>
    <t>48575443385D0CB0</t>
  </si>
  <si>
    <t>48575443385D8EB0</t>
  </si>
  <si>
    <t>48575443385A6BB0</t>
  </si>
  <si>
    <t>48575443385CADB0</t>
  </si>
  <si>
    <t>485754433858F0B0</t>
  </si>
  <si>
    <t>485754433857A7B0</t>
  </si>
  <si>
    <t>48575443385D59B0</t>
  </si>
  <si>
    <t>48575443385F9BB0</t>
  </si>
  <si>
    <t>20/03/2025 : Client ANY GBAYERE IKA RAYMOND est injoignable / 21/03/2025 : DMI 01 ,PCO 104,BRIN 6,LONG CÂBLE 400 M</t>
  </si>
  <si>
    <t>Client ANON AKOMIAN PARFAIT est en déplacement il a reporté a demain le 04/03/2025 pour effectué son étude/21/03/2025:  DMI 01,PCO099,BRIN 5,LONG CÂBLE 200 M,PB1,PM ANCIEN 2</t>
  </si>
  <si>
    <t>RAB0000000201147</t>
  </si>
  <si>
    <t>GAYE LAMINE</t>
  </si>
  <si>
    <t>RAB0000000201194</t>
  </si>
  <si>
    <t>DIAWARA AMEDY</t>
  </si>
  <si>
    <t>RAB0000000201207</t>
  </si>
  <si>
    <t>KPOKOU ANGENOR</t>
  </si>
  <si>
    <t>RAB0000000201219</t>
  </si>
  <si>
    <t>MELESS STEVE ABDEL CAMUS</t>
  </si>
  <si>
    <t>RAB0000000201217</t>
  </si>
  <si>
    <t>ALAISSER DIDIER</t>
  </si>
  <si>
    <t>DIVO ANCIENNE GARE UTB</t>
  </si>
  <si>
    <t>DIVO VATICAN BNETD</t>
  </si>
  <si>
    <t>DMI01_PCO101</t>
  </si>
  <si>
    <t xml:space="preserve">DMI 01,PCO 101,BRIN 1 ,LONG CÂBLE 150 M,1 ANCIEN PB,PM NEW 2 </t>
  </si>
  <si>
    <t>DMI 01_PCO047</t>
  </si>
  <si>
    <t>DMI 01,PCO047,BRIN 3,4PB, 1PM NEW,LONG CÂBLE300 M</t>
  </si>
  <si>
    <t>RAB0000000201360</t>
  </si>
  <si>
    <t>RAB0000000201353</t>
  </si>
  <si>
    <t>RAB0000000201397</t>
  </si>
  <si>
    <t>RAB0000000201396</t>
  </si>
  <si>
    <t>BANCE ABDOUL AZIZ</t>
  </si>
  <si>
    <t>ACKAH ASSOUANBLIN FRANCIS OLIVIER</t>
  </si>
  <si>
    <t>OUATTARA ABOUBACAR</t>
  </si>
  <si>
    <t>TOURE LANSINA</t>
  </si>
  <si>
    <t>DIVO JERUSALEEM MOSQUEE</t>
  </si>
  <si>
    <t>DIVO VATICAN ANTERNE</t>
  </si>
  <si>
    <t>DBA01_PCO001</t>
  </si>
  <si>
    <t>Client MOGHNIEH JAMIL  erreur sur le contact.la personne appelé dit qu'il est à ISSIA QUE il n'as pas fait d'abonnement/22/03/2025 : DBA01,PCO001,BRIN1,LONG 150M</t>
  </si>
  <si>
    <t>DBA 01 ,PCO043,1 NEWS PTX,100M</t>
  </si>
  <si>
    <t>DMI01_PCO007</t>
  </si>
  <si>
    <t>DMI01,PCO007,BRIN1,300M,3 NEWS,1 ANCIEN PB</t>
  </si>
  <si>
    <t>48575443386293B0</t>
  </si>
  <si>
    <t>48575443385E5DB0</t>
  </si>
  <si>
    <t>48575443385B4DB0</t>
  </si>
  <si>
    <t>48575443385BBCB0</t>
  </si>
  <si>
    <t>48575443385ECFB0</t>
  </si>
  <si>
    <t>48575443385E7AB0</t>
  </si>
  <si>
    <t>48575443385AE1B0</t>
  </si>
  <si>
    <t>48575443385889B0</t>
  </si>
  <si>
    <t>485754433861F9B0</t>
  </si>
  <si>
    <t>48575443385A08B0</t>
  </si>
  <si>
    <t>485754433858B0B0</t>
  </si>
  <si>
    <t>48575443385AC4B0</t>
  </si>
  <si>
    <t>24/03/2025: DMI 01,PCO089,BRIN1,LONG150M</t>
  </si>
  <si>
    <t>DBA01_PCO057</t>
  </si>
  <si>
    <t>24/03/2025: DBA01,PCO057,BRIN 1,LONG CÂBLE 200 M,PB1,PM NEW 3</t>
  </si>
  <si>
    <t>48575443385C55B0</t>
  </si>
  <si>
    <t>485754435726B4AF</t>
  </si>
  <si>
    <t>4857544371B393AF</t>
  </si>
  <si>
    <t>48575443572F57AF</t>
  </si>
  <si>
    <t>KOHOU YASSIO GERVAIS</t>
  </si>
  <si>
    <t>RAB0000000201476</t>
  </si>
  <si>
    <t>DOSSAVI AGOSSOU IGNACE</t>
  </si>
  <si>
    <t>RAB0000000201473</t>
  </si>
  <si>
    <t>RAB0000000201475</t>
  </si>
  <si>
    <t>KONE MOHAMED</t>
  </si>
  <si>
    <t>RAB0000000201478</t>
  </si>
  <si>
    <t>DADIE DJEPA SERGE</t>
  </si>
  <si>
    <t>RAB0000000201477</t>
  </si>
  <si>
    <t>N'GUESSAN GAGBE BORIS BONARD</t>
  </si>
  <si>
    <t>RAB0000000201532</t>
  </si>
  <si>
    <t>ADOU ANIVETTE LARISSA MARCELLE</t>
  </si>
  <si>
    <t>RAB0000000201544</t>
  </si>
  <si>
    <t>DIA ALASSANE</t>
  </si>
  <si>
    <t>RAB0000000201474</t>
  </si>
  <si>
    <t>KONE PHILIPPE KEVIN</t>
  </si>
  <si>
    <t>RAB0000000201472</t>
  </si>
  <si>
    <t>YAO FAMEY GUY ROLAND</t>
  </si>
  <si>
    <t>DIVO JERUSALEM DERRIERE TAOUFIC</t>
  </si>
  <si>
    <t>DIVO ZAMMANMANBOUGOU</t>
  </si>
  <si>
    <t>BADA CHEZ DJ TONY</t>
  </si>
  <si>
    <t>DIVO CHEZ MR GABY ALEXANDRE</t>
  </si>
  <si>
    <t>DIVO PLATEAU CARREFOUR</t>
  </si>
  <si>
    <t>DIVO BADA ECOLE MATERNELLE</t>
  </si>
  <si>
    <t>RAB0000000201440</t>
  </si>
  <si>
    <t>DIABI SEYDOU</t>
  </si>
  <si>
    <t>DIVO CHEZ LE DEPUTE FAMOUSSA COULIBALY</t>
  </si>
  <si>
    <t>2503/2025: DBA 01 ,PCO035,BRIN 4,150M</t>
  </si>
  <si>
    <t>485754433856F9B0</t>
  </si>
  <si>
    <t>48575443385FF0B0</t>
  </si>
  <si>
    <t>485754433859BEB0</t>
  </si>
  <si>
    <t>485754433863A1B0</t>
  </si>
  <si>
    <t>4857544338612EB0</t>
  </si>
  <si>
    <t>48575443385C6CB0</t>
  </si>
  <si>
    <t>4857544338638EB0</t>
  </si>
  <si>
    <t>48575443385B00B0</t>
  </si>
  <si>
    <t>4857544338634CB0</t>
  </si>
  <si>
    <t>4857544338574BB0</t>
  </si>
  <si>
    <t>RAB0000000201643</t>
  </si>
  <si>
    <t>GNAGOUI EPOUSE TIBE GNABLI CHARLOTTE</t>
  </si>
  <si>
    <t>DIVO PLATEAU QG AMEDE</t>
  </si>
  <si>
    <t>RAB0000000201630</t>
  </si>
  <si>
    <t>DJINAN ERIC GAUZE</t>
  </si>
  <si>
    <t>DIVO RESIDENTIEL FORESTIER</t>
  </si>
  <si>
    <t>RAB0000000201642</t>
  </si>
  <si>
    <t>SANA IBRAHIMA</t>
  </si>
  <si>
    <t>26/03/2025 : DMI 01,PCO 73,Brin 2,Long câble 150 M,PM NEW 1,PB 3</t>
  </si>
  <si>
    <t>26/03/2025 : DMI 01,PCO12,Brin3,Long câble 300 M,PM NEW 1,PB 2,PM ANCIEN 3</t>
  </si>
  <si>
    <t>DMI01_PCO038</t>
  </si>
  <si>
    <t>26/03/2025 : DMI 01,PCO 38,BRIN 1,LONG CÂBLE 100 M,PB 1</t>
  </si>
  <si>
    <t>DMI01_PCO003</t>
  </si>
  <si>
    <t>26/03/2025 : DMI 01,PCO 003,LONG CÂBLE 100 M,PB 1,PM ANCIEN 1</t>
  </si>
  <si>
    <t>26/03/2025: DMI 01,PCO051,BRIN 5,LONG CÂBLE 300 M,PM NEW 2,PB 1</t>
  </si>
  <si>
    <t>raccordé</t>
  </si>
  <si>
    <t>DBA01, PCO004, LONG 150M , BRIN 8, 2 ANCIENS PB</t>
  </si>
  <si>
    <t>DBA01, PCO 101, LONG 150M, BRIN 4, 2 ANCIENS PB</t>
  </si>
  <si>
    <t>DBA01, PCO021, LONG 350M, BRIN 8, 4 ANCIENS PB, 2 NEW PM</t>
  </si>
  <si>
    <t>48575443385A04B0</t>
  </si>
  <si>
    <t xml:space="preserve">Client SHADI MADANI INJOIGNABLE/25/03/2025: DBA 01,PCO 03,BRIN 7,LONG CÂBLE 150 M,PM ANCIEN 1,PB 1 </t>
  </si>
  <si>
    <t xml:space="preserve">Client SHADI MADANI INJOIGNABLE/25/03/2025: DBA 01,PCO 04,BRIN 2,LONG CÂBLE 150 M,PB 1 </t>
  </si>
  <si>
    <t>DBA01, PCO078, LONG 300M,BRIN 6, 4 ANCIENS PTX</t>
  </si>
  <si>
    <t>RAB0000000201709</t>
  </si>
  <si>
    <t>CAMARA GAOUSSOU</t>
  </si>
  <si>
    <t>PCO 38 EN cours de pose DBA01,3 ANCIEN PB ,LONG 200M /28/03/2025: DBA 01 ,PCO 34,BRIN 2,LONG CÂBLE 250 M,PB 4</t>
  </si>
  <si>
    <t>RAB0000000201782</t>
  </si>
  <si>
    <t>DIAKITE IBRAHIMA</t>
  </si>
  <si>
    <t>RAB0000000201825</t>
  </si>
  <si>
    <t>TANOH JEAN PIERRE ANGELOT</t>
  </si>
  <si>
    <t xml:space="preserve">DBA01 </t>
  </si>
  <si>
    <t>DBA01 _PCO090</t>
  </si>
  <si>
    <t>28/03/2025 : DBA 01,PCO 90,BRIN 4,LONG CÂBLE 300 M,PM NEW 2,PM ANCIEN 3</t>
  </si>
  <si>
    <t>485754433862F6B0</t>
  </si>
  <si>
    <t>48575443386368B0</t>
  </si>
  <si>
    <t>48575443385992B0</t>
  </si>
  <si>
    <t>48575443385F25B0</t>
  </si>
  <si>
    <t>48575443385EADB0</t>
  </si>
  <si>
    <t>48575443385FA8B0</t>
  </si>
  <si>
    <t>48575443385B51B0</t>
  </si>
  <si>
    <t>48575443386046B0</t>
  </si>
  <si>
    <t>4857544338610FB0</t>
  </si>
  <si>
    <t>48575443385C23B0</t>
  </si>
  <si>
    <t>4857544338604AB0</t>
  </si>
  <si>
    <t>RAB0000000201970</t>
  </si>
  <si>
    <t>DOUMBIA OUMAR</t>
  </si>
  <si>
    <t>DIVO ZAMALAMANBOUGOU MOSQUE WAKABIA</t>
  </si>
  <si>
    <t>RAB0000000201956</t>
  </si>
  <si>
    <t>BOUAKE KRABOUE</t>
  </si>
  <si>
    <t>RAB0000000201898</t>
  </si>
  <si>
    <t>TABLEAUTH BANZA EPOUSE BOTO-AKRE LEBA</t>
  </si>
  <si>
    <t>DIVO PLATEAU JUSTICE</t>
  </si>
  <si>
    <t>RAB0000000201960</t>
  </si>
  <si>
    <t>DIVO COMMERCE COCOCE</t>
  </si>
  <si>
    <t>RAB0000000201908</t>
  </si>
  <si>
    <t>OULAGNON FRANCK ERIC PACOME</t>
  </si>
  <si>
    <t>DIVO DISTRICT</t>
  </si>
  <si>
    <t>RAB0000000201934</t>
  </si>
  <si>
    <t>ATSE N'CHO BERTRAND</t>
  </si>
  <si>
    <t>RAB0000000201967</t>
  </si>
  <si>
    <t>COULIBALY HAMED YAYA</t>
  </si>
  <si>
    <t>RAB0000000201929</t>
  </si>
  <si>
    <t>LOBOGNON DAGO HUBERT</t>
  </si>
  <si>
    <t>DBA01, PCO046,LONG150M,BRIN 2,2 ANCIENS PB,1 NEW PM</t>
  </si>
  <si>
    <t>01/04/2025 : DBA 01 ,PCO 16,BRIN 3,LONG CÂBLE 150 M,2PB</t>
  </si>
  <si>
    <t>01/04/2025 : DBA 01,PCO 36,BRIN 2,LONG CÂBLE 200 M,PM NEW 2 ,1PB</t>
  </si>
  <si>
    <t>01/04/2025: DBA 01,PCO003,BRIN 4,LONG CÂBLE 150M,PB1</t>
  </si>
  <si>
    <t>DBA01_PCO086</t>
  </si>
  <si>
    <t>Client DIAKITÉ YOUSSOUF est injoignable/01/04/2025, DBA 01,BRIN 2,LONG CÂBLE 100 M,PB 1</t>
  </si>
  <si>
    <t>DBA01_PCO033</t>
  </si>
  <si>
    <t>01/04/2025,RAB 0000000201898,DBA 01 ,PCO 33,BRIN 1 ,PM NEW 1,PB 2</t>
  </si>
  <si>
    <t>01/04/2025: RAB 0000000201934,DBA 01,PCO 14,BRIN 6,LONG CÂBLE 300 M,PM ANCIEN 3,PB2</t>
  </si>
  <si>
    <t>DBA01_PCO039</t>
  </si>
  <si>
    <t xml:space="preserve">PCO en cour de déploiement  LONG 200M, 4 ANCIEN PB, DBA01/01/04/2025: RAB 0000000199864,DBA 01,PCO 39,BRIN 1,LONG CÂBLE 150 M,PB 2
</t>
  </si>
  <si>
    <t>48575443386340B0</t>
  </si>
  <si>
    <t>485754433863FFB0</t>
  </si>
  <si>
    <t>48575443385B09B0</t>
  </si>
  <si>
    <t>48575443386408B0</t>
  </si>
  <si>
    <t>48575443385833B0</t>
  </si>
  <si>
    <t>48575443385D42B0</t>
  </si>
  <si>
    <t>DBA01_PCO086, BRIN 3, LONG 100M, 1 ANCIEN PB</t>
  </si>
  <si>
    <t>RAB0000000202115</t>
  </si>
  <si>
    <t>DIVO MILLIONAIRE TERRAIN DE BASKET</t>
  </si>
  <si>
    <t>RAB0000000202121</t>
  </si>
  <si>
    <t>KOUAKOU N'GUESSAN DELON</t>
  </si>
  <si>
    <t>DIVO VATICAN CLINIQUE ZOHOUE</t>
  </si>
  <si>
    <t>RAB0000000202165</t>
  </si>
  <si>
    <t>YAPO BROU OLIVIER SERGE</t>
  </si>
  <si>
    <t>RAB0000000202207</t>
  </si>
  <si>
    <t>KOUAKOU STEPHANE</t>
  </si>
  <si>
    <t>RAB0000000202212</t>
  </si>
  <si>
    <t>SIDIBE KARIDIATOU</t>
  </si>
  <si>
    <t>RAB0000000202211</t>
  </si>
  <si>
    <t>TOURE BAKARI</t>
  </si>
  <si>
    <t>RAB0000000202194</t>
  </si>
  <si>
    <t>N'GUESSAN KONAN MATHIAS</t>
  </si>
  <si>
    <t>RAB0000000202230</t>
  </si>
  <si>
    <t>KADJO ETTIBOU DAMASE</t>
  </si>
  <si>
    <t>RAB0000000202169</t>
  </si>
  <si>
    <t>YAO AFFOUE ANNE ARIANE</t>
  </si>
  <si>
    <t>RAB0000000202203</t>
  </si>
  <si>
    <t>DJA BANZA ABRAHAM HIPPOLYTE</t>
  </si>
  <si>
    <t>02/04/2025: DMI 01 ,PCO 104,BRIN 8,LONG CÂBLE 350 M,PM NEW 2 ,1PB,2 ANCIENS PM</t>
  </si>
  <si>
    <t>DBA01_PCO058</t>
  </si>
  <si>
    <t>02/04/2025: DBA 01,PCO 58,BRIN 1,LONG CÂBLE 150,PM NEW 1</t>
  </si>
  <si>
    <t>02/04/2025: BRIN2,3NEWS PM,7ANCIENS,500M</t>
  </si>
  <si>
    <t>BRIN4,200M,3NEWSPM,1ANCIEN PB</t>
  </si>
  <si>
    <t>DMI01_PCO002</t>
  </si>
  <si>
    <t>02/04/2025: DMI 01 ,PCO002,LONG CÂBLE 300 M,PM NEW 3 ,1PB</t>
  </si>
  <si>
    <t>Noir</t>
  </si>
  <si>
    <t>485754433858BDB0</t>
  </si>
  <si>
    <t>48575443386286B0</t>
  </si>
  <si>
    <t>485754433862C0B0</t>
  </si>
  <si>
    <t>RAB0000000200722</t>
  </si>
  <si>
    <t>OKOUA SOKO FELIX</t>
  </si>
  <si>
    <t>MILLIONNAIRE ECOLE NAKANABOBI</t>
  </si>
  <si>
    <t>03/04/2025: DMI 01 ,PCO111,LONG CÂBLE 150M,2PB</t>
  </si>
  <si>
    <t>RAB0000000202263</t>
  </si>
  <si>
    <t>NABO BOUEKA BALY BRUNOT</t>
  </si>
  <si>
    <t>48575443573114AF</t>
  </si>
  <si>
    <t>03/04/2025: DMI 01,PCO 40,LONG CÂBLE 300M,BRIN6</t>
  </si>
  <si>
    <t>03/04/2025: DMI 01,PCO 45,LONG CÂBLE 300M,BRIN2,3NEWS</t>
  </si>
  <si>
    <t>03/04/2025: DBA01,PCO001,LONG CÂBLE 400M,BRIN2,4NEWS,3PB</t>
  </si>
  <si>
    <t>48575443385B0EB0</t>
  </si>
  <si>
    <t>48575443385B9EB0</t>
  </si>
  <si>
    <t>DBA01,PCO022, LONG 300, BRIN 2,/04/04/2025 : Il y a un blocage au niveau des installations de ce client,Le syndicat du marché demande une autorisation de la mairie</t>
  </si>
  <si>
    <t xml:space="preserve">DBA 01 ,PCO 23,6 NEWS PTX /  04/04/2025 : Ce CLIENT  est en déplacement actuellement </t>
  </si>
  <si>
    <t>DMI 01,PCO 65,BRIN 2,LONG CÂBLE 200 M,1PB,1PM NEW   /04/04/2025 : VD lundi pour ce client RAB0000000201207	KPOKOU ANGENOR</t>
  </si>
  <si>
    <t>RAB0000000202398</t>
  </si>
  <si>
    <t>DIVO JERUSALEM DISTRICT</t>
  </si>
  <si>
    <t>48575443385B7FB0</t>
  </si>
  <si>
    <t>48575443385E2BB0</t>
  </si>
  <si>
    <t>4857544338600DB0</t>
  </si>
  <si>
    <t>48575443385977B0</t>
  </si>
  <si>
    <t>48575443386187B0</t>
  </si>
  <si>
    <t>4857544338605CB0</t>
  </si>
  <si>
    <t>48575443385AABB0</t>
  </si>
  <si>
    <t>RAB0000000202491</t>
  </si>
  <si>
    <t>DIO JEAN CLAUDE</t>
  </si>
  <si>
    <t>RAB0000000202469</t>
  </si>
  <si>
    <t>ADIKO ADIKO SYRIAQUE</t>
  </si>
  <si>
    <t>DIVO MILLIONNAIRE HOTEL BOYA</t>
  </si>
  <si>
    <t>RAB0000000202578</t>
  </si>
  <si>
    <t>GNAKPA OUREGA GERVAIS</t>
  </si>
  <si>
    <t>RAB0000000202496</t>
  </si>
  <si>
    <t>DOLI SAMIR DONATIEN</t>
  </si>
  <si>
    <t>DIVO MILIONNAIRE NAKANABOBI</t>
  </si>
  <si>
    <t>RAB0000000202636</t>
  </si>
  <si>
    <t>OKOMIEN MARTIAL</t>
  </si>
  <si>
    <t>DIVO LIBREVILLE MAQUIS VOX</t>
  </si>
  <si>
    <t>RAB0000000194833</t>
  </si>
  <si>
    <t>KONAN KOUAKOU GILLES ANDERSON</t>
  </si>
  <si>
    <t>DIVO MILLIONAIRE BEGNAKROU</t>
  </si>
  <si>
    <t>RAB0000000199831</t>
  </si>
  <si>
    <t>GUE WOHI WILFRIED</t>
  </si>
  <si>
    <t>DBA01_PCO040</t>
  </si>
  <si>
    <t>DBA01, PCO034, LONG 200M, BRIN3, 2 NEW PM</t>
  </si>
  <si>
    <t>DMI01, PCO044, LONG 300 M, BRIN3, 6 ANCIENS PB</t>
  </si>
  <si>
    <t>48575443386041B0</t>
  </si>
  <si>
    <t>48575443385B5BB0</t>
  </si>
  <si>
    <t>48575443385942B0</t>
  </si>
  <si>
    <t>DBA01_PCO051</t>
  </si>
  <si>
    <t>48575443385882B0</t>
  </si>
  <si>
    <t>PCO en cour de déploiement, 1 NEW PM/     07/04/2025 : DBA 01,PCO 51,BRIN 1,LONG CÂBLE 100,PM NEW 1 (POTEAUX DÉJÀ),PB 1</t>
  </si>
  <si>
    <t>RAB0000000202859</t>
  </si>
  <si>
    <t>OUEDRAOGO MOUSSA</t>
  </si>
  <si>
    <t>RAB0000000202766</t>
  </si>
  <si>
    <t>KOUASSI KONAN</t>
  </si>
  <si>
    <t>RAB0000000202812</t>
  </si>
  <si>
    <t>ASSEI ATTOUNGBRE MATHIAS</t>
  </si>
  <si>
    <t>RAB0000000202769</t>
  </si>
  <si>
    <t>SERI SOLANGE</t>
  </si>
  <si>
    <t>RAB0000000202770</t>
  </si>
  <si>
    <t>FANI ABDOUL CHARAF</t>
  </si>
  <si>
    <t>RAB0000000202768</t>
  </si>
  <si>
    <t>SERY AMEDABELLE AUZICK</t>
  </si>
  <si>
    <t>DIVO BOUDOUKOU A+</t>
  </si>
  <si>
    <t>DIVO MAIRIE</t>
  </si>
  <si>
    <t>DIVO DIOULABOUGOU EN FACE DU FEUX DES EAUX ET FORETS</t>
  </si>
  <si>
    <t>DIVO VATICAN PMI</t>
  </si>
  <si>
    <t>48575443385B25B0</t>
  </si>
  <si>
    <t xml:space="preserve">DMI01 </t>
  </si>
  <si>
    <t>08/04/2025 :: DMI 01,PCO 046,brin3</t>
  </si>
  <si>
    <t>DBA01_PCO050</t>
  </si>
  <si>
    <t>08/04/2025 :: RAB 0000000 20 22 11,Client TOURÉ BAKARI ,DBA 01,PCO050,200M,1 NEWS PM,3PB</t>
  </si>
  <si>
    <t>DBA01, PCO040, LONG 300M, BRIN 01, 4 ANCIENS PB, 2 NEW PM, Nous donne rdv demain 09-04-2025</t>
  </si>
  <si>
    <t>09/04/2025 :: DBA 01,PCO 39,BRIN 2,1NEW PM</t>
  </si>
  <si>
    <t>DBA01_PCO037</t>
  </si>
  <si>
    <t>09/04/2025:: DBA 01 ,PCO 37,BRIN 1 ,LONG CÂBLE 50 M</t>
  </si>
  <si>
    <t>09/04/2025:: DBA 01 ,PCO48,BRIN4 ,LONG CÂBLE 300 M</t>
  </si>
  <si>
    <t>01/04/2025 : Client OULAGNON FRANCK ERIC PACÔME,RAB 0000000201908,est injoignable/  09/04/2025 ::  DBA 01,PCO 102,BRIN3,150M,01NEWS PM</t>
  </si>
  <si>
    <t>48575443386116B0</t>
  </si>
  <si>
    <t>RAB0000000203057</t>
  </si>
  <si>
    <t>KONE DRAMANE</t>
  </si>
  <si>
    <t>RAB0000000203058</t>
  </si>
  <si>
    <t>DIVO KONANKRO ST MARIE</t>
  </si>
  <si>
    <t>RAB0000000202932</t>
  </si>
  <si>
    <t>DJELI LOU ZINZI MARIE PAULE</t>
  </si>
  <si>
    <t>DIVO  TP</t>
  </si>
  <si>
    <t>RAB0000000202931</t>
  </si>
  <si>
    <t>SANGARE ADAMA</t>
  </si>
  <si>
    <t>DIVO ZAMALAMANBOUGOU EN FACE DE L'ANCIENNE GARE</t>
  </si>
  <si>
    <t xml:space="preserve">09/04/2025: DMI 01,PCO007,BRIN 2 </t>
  </si>
  <si>
    <t>DBA01,PCO070, LONG 200M, BRIN 2, 3 ANCIENS PB</t>
  </si>
  <si>
    <t>DBA01, PCO070, LONG 50M, BRIN 2, 1 ANCIEN PB</t>
  </si>
  <si>
    <t>48575443385709B0</t>
  </si>
  <si>
    <t>485754433857F7B0</t>
  </si>
  <si>
    <t>485754433860C0B0</t>
  </si>
  <si>
    <t>48575443385C45B0</t>
  </si>
  <si>
    <t>48575443386100B0</t>
  </si>
  <si>
    <t>48575443385A54B0</t>
  </si>
  <si>
    <t>RAB0000000203160</t>
  </si>
  <si>
    <t>DIARRASSOUBA ROKIA</t>
  </si>
  <si>
    <t>RAB0000000203122</t>
  </si>
  <si>
    <t>LASSINA KONATE</t>
  </si>
  <si>
    <t>RAB0000000203111</t>
  </si>
  <si>
    <t>GON KARAMOKO ARTHUR CEDRIC</t>
  </si>
  <si>
    <t>DIVO PALAIS DE JUSTICE</t>
  </si>
  <si>
    <t>10/04/2025::</t>
  </si>
  <si>
    <t xml:space="preserve">10/04/2025 :: </t>
  </si>
  <si>
    <t>RAB0000000203215</t>
  </si>
  <si>
    <t>KONAN KOUADIO GERMAIN</t>
  </si>
  <si>
    <t>DIVO PLATEAU INSPECTION</t>
  </si>
  <si>
    <t>RAB0000000203202</t>
  </si>
  <si>
    <t>PAPET HURBERT</t>
  </si>
  <si>
    <t>11/04/2025 :: DBA 01,PCO 68,BRIN02</t>
  </si>
  <si>
    <t>1/04/2025 ::</t>
  </si>
  <si>
    <t xml:space="preserve">11/04/2025 :: </t>
  </si>
  <si>
    <t>48575443385A72B0</t>
  </si>
  <si>
    <t>48575443386188B0</t>
  </si>
  <si>
    <t>485754433857CDB0</t>
  </si>
  <si>
    <t>RAB0000000203371</t>
  </si>
  <si>
    <t>KOUDOUFIO ADJOA</t>
  </si>
  <si>
    <t>DIVO BADA EN FACE DE LA STATION SHELL</t>
  </si>
  <si>
    <t>RAB0000000203365</t>
  </si>
  <si>
    <t>DIVO DIOULABOUGOU MOSQUEE WAKABIA</t>
  </si>
  <si>
    <t>RAB0000000203431</t>
  </si>
  <si>
    <t>DIOUMASSI FATIMA</t>
  </si>
  <si>
    <t>DIVO JERUSALEM COLLEGE RAPHA</t>
  </si>
  <si>
    <t>RAB0000000203439</t>
  </si>
  <si>
    <t>DOSSO MINATA</t>
  </si>
  <si>
    <t>RAB0000000203312</t>
  </si>
  <si>
    <t>SORO SALIMATA</t>
  </si>
  <si>
    <t>RAB0000000203363</t>
  </si>
  <si>
    <t>ZANFARA YSSOUF</t>
  </si>
  <si>
    <t>DIVO EN FACE DE LA GARE SBTA</t>
  </si>
  <si>
    <t>RAB0000000203462</t>
  </si>
  <si>
    <t>KOUASSI ADJOUA GERMAINE LARISSA</t>
  </si>
  <si>
    <t>DIVO KONANKRO CARREFOUR DJOUKA</t>
  </si>
  <si>
    <t>DBA01_PCO045</t>
  </si>
  <si>
    <t>DBA01,PCO045,BRIN2, LONG 500M, 5 ANCIEN PB , 1 NEW PM</t>
  </si>
  <si>
    <t>DMI01,PCO082, LONG 200M, BRIN1, 4 ANCIENS PB</t>
  </si>
  <si>
    <t>DBA01,PCO019, LONG 400M, BRIN5, 2 ANCIENS PB, 6 NEW PM</t>
  </si>
  <si>
    <t>DMI01,PCO051, LONG200M, BRIN 6, 3 ANCIENS PB, 1 NEW PM</t>
  </si>
  <si>
    <t>DBA01,PCO090, LONG 300M, BRIN 6, 6 ANCIENS PB, 1 NEW PM</t>
  </si>
  <si>
    <t>DBA01_PCO104</t>
  </si>
  <si>
    <t>DBA01,PCO104,LONG 200M, BRIN 2, 4 ANCIENS PB</t>
  </si>
  <si>
    <t>DMI01,PCO006, LONG 150M, BRIN 5, 2 ANCIENS PTX</t>
  </si>
  <si>
    <t>DMI01,PCO103,LONG 500M,BRIN6, 5 ANCIENS PB, 2 NEW PM</t>
  </si>
  <si>
    <t>DBA01,PCO103, LONG 500M, BRIN6, 7 ANCIENS PTX</t>
  </si>
  <si>
    <t>48575443385F89B0</t>
  </si>
  <si>
    <t>485754433857CFB0</t>
  </si>
  <si>
    <t>485754433863F7B0</t>
  </si>
  <si>
    <t>48575443385CE3B0</t>
  </si>
  <si>
    <t>48575443386378B0</t>
  </si>
  <si>
    <t>48575443385A77B0</t>
  </si>
  <si>
    <t>48575443385794B0</t>
  </si>
  <si>
    <t>48575443385E79B0</t>
  </si>
  <si>
    <t>485754433857B2B0</t>
  </si>
  <si>
    <t>48575443385E0AB0</t>
  </si>
  <si>
    <t>4857544338601FB0</t>
  </si>
  <si>
    <t>48575443385C1EB0</t>
  </si>
  <si>
    <t>48575443386413B0</t>
  </si>
  <si>
    <t>48575443385766B0</t>
  </si>
  <si>
    <t>RAB0000000203541</t>
  </si>
  <si>
    <t>CISSE KADIDJATOU</t>
  </si>
  <si>
    <t>DIV DIOULABOUGOU DERRIERE PHARMACIE DE LA MAIRE</t>
  </si>
  <si>
    <t>RAB0000000203543</t>
  </si>
  <si>
    <t>NDIAYE ELHADJI MALICK NDOYE</t>
  </si>
  <si>
    <t>RAB0000000203542</t>
  </si>
  <si>
    <t>FOFANA MAMADOU</t>
  </si>
  <si>
    <t>RAB0000000203629</t>
  </si>
  <si>
    <t>DOSSO DRAMANE</t>
  </si>
  <si>
    <t>DIVO MOSQUEE DIOULABOUGOU</t>
  </si>
  <si>
    <t>RAB0000000203619</t>
  </si>
  <si>
    <t>DJOUKA DJEDJE EUGENE</t>
  </si>
  <si>
    <t>DIVO KONANKRO CLINIQUE AHISSA</t>
  </si>
  <si>
    <t>RAB0000000203630</t>
  </si>
  <si>
    <t>KINDO BOUREIMA</t>
  </si>
  <si>
    <t>DIVO ZAMARAMANBOUGOU</t>
  </si>
  <si>
    <t>RAB0000000203620</t>
  </si>
  <si>
    <t>KONE HOUSSIQUE FELIX</t>
  </si>
  <si>
    <t>DIVO ZANMAMANBOUGOU BOULANGERIE</t>
  </si>
  <si>
    <t>DBA01_PCO020</t>
  </si>
  <si>
    <t>15/04/2025 :: DBA01,PCO020,BRIN1,1 NEWS,300M</t>
  </si>
  <si>
    <t>15/04/2025 :: DBA01,PCO046,BRIN3,150M</t>
  </si>
  <si>
    <t>15/04/2025:: Client FOFANA MAMADOU,DBA01,PCO50,BRIN2,100M</t>
  </si>
  <si>
    <t>DBA01,PCO071,LONG 150M, BRIN 4, 2 ANCIENS PB</t>
  </si>
  <si>
    <t>DBA01_PCO073</t>
  </si>
  <si>
    <t>DBA01, PCO073, LONG 150M, BRIN 1, 2 ANCIENS PB</t>
  </si>
  <si>
    <t>485754433863E3B0</t>
  </si>
  <si>
    <t>48575443385DF0B0</t>
  </si>
  <si>
    <t>48575443385A7AB0</t>
  </si>
  <si>
    <t>48575443385B16B0</t>
  </si>
  <si>
    <t>48575443385BBEB0</t>
  </si>
  <si>
    <t>RAB0000000203692</t>
  </si>
  <si>
    <t>KADIO N'DAH JEAN BAPTISTE</t>
  </si>
  <si>
    <t>RAB0000000203689</t>
  </si>
  <si>
    <t>TOTO BOHOUSSOU ALICE NADEGE</t>
  </si>
  <si>
    <t>RAB0000000203676</t>
  </si>
  <si>
    <t>DEZA ATTAYE BLANCHARD</t>
  </si>
  <si>
    <t>RAB0000000203690</t>
  </si>
  <si>
    <t>DIRRA BAKARY</t>
  </si>
  <si>
    <t>RAB0000000203691</t>
  </si>
  <si>
    <t>KOUAME OGOUBLI MATHIAS</t>
  </si>
  <si>
    <t>DIVO KONANKRO CHATEAU</t>
  </si>
  <si>
    <t>RAB0000000203846</t>
  </si>
  <si>
    <t>BAMBA KOUDOU IBRAHIM</t>
  </si>
  <si>
    <t>RAB0000000203925</t>
  </si>
  <si>
    <t>CISSE INZA</t>
  </si>
  <si>
    <t>RAB0000000203917</t>
  </si>
  <si>
    <t>BREGUEHI YEHIRI APPOLINAIRE</t>
  </si>
  <si>
    <t>RAB0000000203924</t>
  </si>
  <si>
    <t>HODONOU ORUNLA ERIC</t>
  </si>
  <si>
    <t>RAB0000000203923</t>
  </si>
  <si>
    <t>GAUZE JEAN EROINE</t>
  </si>
  <si>
    <t>DMI01_PCO010</t>
  </si>
  <si>
    <t>17/04/2025:: DMI 01,PCO010,BRIN2,300M</t>
  </si>
  <si>
    <t>DBA01_PCO018</t>
  </si>
  <si>
    <t>17/04/2025:: DBA01,PCO018,BRIN1,1NEWS,100M</t>
  </si>
  <si>
    <t>17/04/2025::  DBA01,PCO011,BRIN8,LONG 350M,1NEWS PTX</t>
  </si>
  <si>
    <t>DBA01_PCO084</t>
  </si>
  <si>
    <t>17/04/2025:: DBA01,PCO084,BRIN1,3NEWS,300M</t>
  </si>
  <si>
    <t xml:space="preserve">17/04/2025:: </t>
  </si>
  <si>
    <t>DBA01, PCO002, LONG 200M, BRIN1, 2 ANCIENS PB</t>
  </si>
  <si>
    <t>48575443385B9FB0</t>
  </si>
  <si>
    <t>485754433862C8B0</t>
  </si>
  <si>
    <t>48575443385ACAB0</t>
  </si>
  <si>
    <t>485754433857F1B0</t>
  </si>
  <si>
    <t>48575443385E82B0</t>
  </si>
  <si>
    <t xml:space="preserve">01/04/2025: Client DOUMBIA OUMAR ,RAB 0000000201970, DBA01, PCO090, LONG 300, BRIN 4 3 ANCIENS PB, 1 NEW PM
</t>
  </si>
  <si>
    <t>RAB0000000203955</t>
  </si>
  <si>
    <t>ABDEL NABI SAMIR</t>
  </si>
  <si>
    <t>RAB0000000203948</t>
  </si>
  <si>
    <t>ACHI ACHI VIGIL</t>
  </si>
  <si>
    <t>RAB0000000203951</t>
  </si>
  <si>
    <t>SOSSOU TCHEOUN</t>
  </si>
  <si>
    <t>RAB0000000203949</t>
  </si>
  <si>
    <t>KONE ISSA</t>
  </si>
  <si>
    <t>48575443385E85B0</t>
  </si>
  <si>
    <t>485754433857E4B0</t>
  </si>
  <si>
    <t>48575443385F87B0</t>
  </si>
  <si>
    <t>48575443385C66B0</t>
  </si>
  <si>
    <t>48575443385A14B0</t>
  </si>
  <si>
    <t>48575443385AE2B0</t>
  </si>
  <si>
    <t>RAB0000000204049</t>
  </si>
  <si>
    <t>SORO KOGNOHON CHARLES</t>
  </si>
  <si>
    <t>RAB0000000204046</t>
  </si>
  <si>
    <t>SYLLA YOUNOUSSA</t>
  </si>
  <si>
    <t>RAB0000000204089</t>
  </si>
  <si>
    <t>LETTE KABOBO JUSTIN</t>
  </si>
  <si>
    <t>RAB0000000204251</t>
  </si>
  <si>
    <t>PONY TAYORO ANGE FERNANDEZ</t>
  </si>
  <si>
    <t>DMI01, PCO022, LONG 150M, BRIN 2, 3 ANCIENS PB</t>
  </si>
  <si>
    <t>DMI01,PCO040, LONG 150 M, BRIN 6, 2 ANCIENS PB</t>
  </si>
  <si>
    <t>DBA01,PCO040, LONG 500M, BRIN 02, 5 ANCIENS PB</t>
  </si>
  <si>
    <t>48575443385BE7B0</t>
  </si>
  <si>
    <t>48575443386279B0</t>
  </si>
  <si>
    <t>4857544338613BB0</t>
  </si>
  <si>
    <t xml:space="preserve">DBA01,PCO043, LONG250M, BRIN 2, 3 ANCIENS PB , 1 NEW PM/23/04/2025 : RAB 0000000203629DOSSO DRAMANE ,,est injoignable
</t>
  </si>
  <si>
    <t>DBA01_PCO114</t>
  </si>
  <si>
    <t xml:space="preserve">PCO en cour de déploiement ,PM NEW 1 //24/04/2025 :: PCO114,BRIN1
</t>
  </si>
  <si>
    <t>23/04/2025:: DBA01,PCO078,BRIN7,100M,1 NEWS</t>
  </si>
  <si>
    <t>RAB0000000204321</t>
  </si>
  <si>
    <t>N'DRI YAO SERGE</t>
  </si>
  <si>
    <t>RAB0000000204315</t>
  </si>
  <si>
    <t>KOFFI FULGENCE FLANKLIN</t>
  </si>
  <si>
    <t>RAB0000000204287</t>
  </si>
  <si>
    <t>LEHETIEN HILI GNIMBEKAN STEPHANE</t>
  </si>
  <si>
    <t>RAB0000000204383</t>
  </si>
  <si>
    <t>ZOUNGRANA CECILE</t>
  </si>
  <si>
    <t>RAB0000000204354</t>
  </si>
  <si>
    <t>KANTE MAKAN</t>
  </si>
  <si>
    <t>DIVO ZANMANBOUGOU PRES DE LA PHARMACIE ESPERENCE</t>
  </si>
  <si>
    <t>DBA01,PCO101, LONG 150M, BRIN 5, 1 ANCIENS PB , 1 NEW PM</t>
  </si>
  <si>
    <t>DBA01_PCO109</t>
  </si>
  <si>
    <t xml:space="preserve">01/04/2025 : Client BOUAKÉ KRABOUE,RAB 0000000201956,est injoignable, DBA01, PCO 109, LONG 200M, BRIN 2, 1 ANCIEN PB, 2 NEW PM
</t>
  </si>
  <si>
    <t>DBA01,PCO109, LONG 150M, BRIN 1, 1 ANCIENS PB, 1 NEW PM</t>
  </si>
  <si>
    <t>DBA01_PCO083</t>
  </si>
  <si>
    <t>DBA01,PCO082, LONG 200M, BRIN 3, 1 ANCIEN PB, 2 NEW PM</t>
  </si>
  <si>
    <t>DMI01, PCO 006, LONG 350M, BRIN 6, 1 ANCIEN PB, 4 NEW PM</t>
  </si>
  <si>
    <t>485754433863CBB0</t>
  </si>
  <si>
    <t>RAB0000000204475</t>
  </si>
  <si>
    <t>SANLE VALENT DE SALES</t>
  </si>
  <si>
    <t>DIVO PLATEAU COLLEGE RACINE</t>
  </si>
  <si>
    <t>24/04/2025:: PCO086,100M,BRIN4</t>
  </si>
  <si>
    <t>24/04/2025:: PCO034,300M,BRIN4</t>
  </si>
  <si>
    <t>24/04/2025:: PCO015,300M,BRIN4</t>
  </si>
  <si>
    <t>4857544338637FB0</t>
  </si>
  <si>
    <t>48575443385D4EB0</t>
  </si>
  <si>
    <t>4857544338622CB0</t>
  </si>
  <si>
    <t>RAB0000000204490</t>
  </si>
  <si>
    <t>ASSI ADON LUC</t>
  </si>
  <si>
    <t>RAB0000000204578</t>
  </si>
  <si>
    <t>ADINGRA KOFFI CHRISTIAN VIANNEY</t>
  </si>
  <si>
    <t>25/04/2025:: DMI01,PCO044,BRIN4,400M</t>
  </si>
  <si>
    <t>DMI01_PCO085</t>
  </si>
  <si>
    <t>DMI01, PCO085, LONG 300M, BRIN 2, 1 ANCIEN PB, 3 NEW PM</t>
  </si>
  <si>
    <t>48575443385B05B0</t>
  </si>
  <si>
    <t>48575443385A76B0</t>
  </si>
  <si>
    <t>485754433859E9B0</t>
  </si>
  <si>
    <t>48575443385D96B0</t>
  </si>
  <si>
    <t>48575443385C8FB0</t>
  </si>
  <si>
    <t>48575443385A2DB0</t>
  </si>
  <si>
    <t>485754433857D9B0</t>
  </si>
  <si>
    <t>RAB0000000204632</t>
  </si>
  <si>
    <t>RAB0000000204736</t>
  </si>
  <si>
    <t>KAKOU ZOUZOUA DONATIEN</t>
  </si>
  <si>
    <t>DBA01,PCO066,LONG 500M, BRIN 2, 5 ANCIENS PTX, 1 NEW PM</t>
  </si>
  <si>
    <t>DBA01,PCO009,LONG100M, BRIN 1, 2 ANCIENS PTX? 2 NEW PM</t>
  </si>
  <si>
    <t>DBA01,PCO024,LONG 200%M, BRIN2, 2 ANCIENS PB, 2 NEW PM</t>
  </si>
  <si>
    <t>DBA01,PCO013, LONG 200M, BRIN 3 , 3 ANCIENS PB</t>
  </si>
  <si>
    <t>48575443385C40B0</t>
  </si>
  <si>
    <t>DBA01,PCO034, LONG 150M, BRIN 5, 3 ANCIENS PB</t>
  </si>
  <si>
    <t>48575443386095B0</t>
  </si>
  <si>
    <t>485754435ED1EAB2</t>
  </si>
  <si>
    <t>485754435ECE23B2</t>
  </si>
  <si>
    <t>485754435ECD54B2</t>
  </si>
  <si>
    <t>485754435EC299B2</t>
  </si>
  <si>
    <t>KOHUE LEGRE OSCAR CONSTANT (Transfert de ligne )</t>
  </si>
  <si>
    <t>RAB0000000204889</t>
  </si>
  <si>
    <t>COULIBALY SOUNGALO YAO</t>
  </si>
  <si>
    <t>RAB0000000204890</t>
  </si>
  <si>
    <t>DIVO SOCOCE</t>
  </si>
  <si>
    <t>RAB0000000204887</t>
  </si>
  <si>
    <t>TAINQUIN NATHALIE IRENE APIE</t>
  </si>
  <si>
    <t>DIVO HOTEL AMAHOYE</t>
  </si>
  <si>
    <t>RAB0000000204885</t>
  </si>
  <si>
    <t>DIVO COMMERCE GARE BG</t>
  </si>
  <si>
    <t>RAB0000000204884</t>
  </si>
  <si>
    <t>DIAWO SEYDOU</t>
  </si>
  <si>
    <t>DIVO ZAMANBOUGOU MOSQUEE WAKABIA</t>
  </si>
  <si>
    <t>RAB0000000204886</t>
  </si>
  <si>
    <t>DOH TAHIE MONDOHO ADELINE</t>
  </si>
  <si>
    <t>DIVO BADA COLLEGE AKONDA</t>
  </si>
  <si>
    <t>RAB0000000204888</t>
  </si>
  <si>
    <t>DIVO RESTAURANT AMAHOYE</t>
  </si>
  <si>
    <t>29/04/2025:: DBA01,PCO035,BRIN5,300M</t>
  </si>
  <si>
    <t>29/04/2025:: DBA01,PCO035,BRIN6,300M</t>
  </si>
  <si>
    <t>RAB0000000205505</t>
  </si>
  <si>
    <t>OUEDRAOGO ADAMA</t>
  </si>
  <si>
    <t>DIVO KONANKRO BOULANGERIE PARIS-CLASS</t>
  </si>
  <si>
    <t>RAB0000000205506</t>
  </si>
  <si>
    <t>DIVO JERUSALEM MAGASIN SOKA</t>
  </si>
  <si>
    <t xml:space="preserve">01/05/2025: </t>
  </si>
  <si>
    <t xml:space="preserve">01/05/2025:: </t>
  </si>
  <si>
    <t>DMI01_PCO079</t>
  </si>
  <si>
    <t>HU004</t>
  </si>
  <si>
    <t>485754435EBC28B2</t>
  </si>
  <si>
    <t>485754435ED6F5B2</t>
  </si>
  <si>
    <t>485754435EC68AB2</t>
  </si>
  <si>
    <t>485754435EC310B2</t>
  </si>
  <si>
    <t>485754435EC695B2</t>
  </si>
  <si>
    <t>485754435ED1C2B2</t>
  </si>
  <si>
    <t>485754435EBC61B2</t>
  </si>
  <si>
    <t>RAB0000000205673</t>
  </si>
  <si>
    <t>ZOUZOU KOUASSI INNOCENT</t>
  </si>
  <si>
    <t>KONANKRO EN FACE DU LYCEE 3</t>
  </si>
  <si>
    <t>03/05/2025:: DMI01,PCO044,BRIN4,300,1NEWS</t>
  </si>
  <si>
    <t>RAB0000000205855</t>
  </si>
  <si>
    <t>DIVO COMMERCE BON PRIX</t>
  </si>
  <si>
    <t>RAB0000000205858</t>
  </si>
  <si>
    <t>ZALZALI JAWAD</t>
  </si>
  <si>
    <t>RAB0000000205953</t>
  </si>
  <si>
    <t>AMIE DJOUA</t>
  </si>
  <si>
    <t>RAB0000000205946</t>
  </si>
  <si>
    <t>DAGO LATTIER CHRISTIAN</t>
  </si>
  <si>
    <t>DBA01,PCO012, BRIN , LONG 150M, 2 ANCIENS PB</t>
  </si>
  <si>
    <t>DBA01,PCO021, LONG 200M, BRIN  , 2 ANCIENS PB</t>
  </si>
  <si>
    <t>485754435ED687B2</t>
  </si>
  <si>
    <t>485754435ED083B2</t>
  </si>
  <si>
    <t>DMI01,PCO037, LONG 150M, BRIN 3, 2 ANCIENS PB, 1 NEW PM</t>
  </si>
  <si>
    <t>Doublon de commande</t>
  </si>
  <si>
    <t>RAB0000000206115</t>
  </si>
  <si>
    <t>GOLI STEPHANE YANNICK</t>
  </si>
  <si>
    <t>RAB0000000206061</t>
  </si>
  <si>
    <t>ADJOUMANI JEAN-BOSCO</t>
  </si>
  <si>
    <t>RAB0000000206059</t>
  </si>
  <si>
    <t>GUEI SEBOSSIE ANATOLE</t>
  </si>
  <si>
    <t>RAB0000000206058</t>
  </si>
  <si>
    <t>KASSAB HAIDAR</t>
  </si>
  <si>
    <t>DIVO COMMERCE MODIAL CYCLE</t>
  </si>
  <si>
    <t>RAB0000000206056</t>
  </si>
  <si>
    <t>OUATTARA SIAKA</t>
  </si>
  <si>
    <t>RAB0000000206065</t>
  </si>
  <si>
    <t>FABUNMI EPOUSE OBOUMOU GRACE MOTURAYO</t>
  </si>
  <si>
    <t>DIVO MILLIONNAIRE DERRIERE HOTEL HYAM</t>
  </si>
  <si>
    <t>DBA01,PCO034, LONG 150M, BRIN 6 , 4 ANCIENS PB</t>
  </si>
  <si>
    <t>DBA01,PCO014, LONG 500M, BRIN 6, 2 ANCIENS PB, 2 NEW PM</t>
  </si>
  <si>
    <t>DBA01, PCO001, LONG 150M, BRIN 3 , 2 ANCIENS PB</t>
  </si>
  <si>
    <t>DBA01,PCO101, LONG 250M, BRIN 6, 5 ANCIENS PTX , 1 NEW PM</t>
  </si>
  <si>
    <t>485754435EBF7FB2</t>
  </si>
  <si>
    <t>485754435EC88FB2</t>
  </si>
  <si>
    <t>485754435ECB1FB2</t>
  </si>
  <si>
    <t>485754435EDF57B2</t>
  </si>
  <si>
    <t>RAB0000000206215</t>
  </si>
  <si>
    <t>TAGRO WILLIAM ROMARIC-ELIE</t>
  </si>
  <si>
    <t>DIVO GARE DE SBTA ( ROYAL BANK CI)</t>
  </si>
  <si>
    <t>RAB0000000206212</t>
  </si>
  <si>
    <t>DOUMBIA BALLA</t>
  </si>
  <si>
    <t>DIVO ZAMANBOUGOU DEVANT PHARMACIE ESPERANCE</t>
  </si>
  <si>
    <t>RAB0000000206211</t>
  </si>
  <si>
    <t>KOUALOU BOUAZO ROGER</t>
  </si>
  <si>
    <t>DIVO GARE DE HIRE AU FEU</t>
  </si>
  <si>
    <t>RAB0000000206454</t>
  </si>
  <si>
    <t>DALLY EPSE DJOUKA KONEY GENEVIEVE</t>
  </si>
  <si>
    <t>RAB0000000206450</t>
  </si>
  <si>
    <t>COULIBALY KATAMINAN YARAFOLY ANICET PRIVAT</t>
  </si>
  <si>
    <t>RAB0000000206493</t>
  </si>
  <si>
    <t>FANNY AWA</t>
  </si>
  <si>
    <t>RAB0000000206500</t>
  </si>
  <si>
    <t>GAYE MAME CHEIKH</t>
  </si>
  <si>
    <t>DIVO BOUDOUKOU CITE DES GRACES</t>
  </si>
  <si>
    <t>DIVO JERUSALEM GARE DE KPAKOSSOU</t>
  </si>
  <si>
    <t>RAB0000000206655</t>
  </si>
  <si>
    <t>KOUADIO KPLI YAO HERMANN</t>
  </si>
  <si>
    <t>DIVO COMMERCE EN FACE DE L'AGENCE MOOV</t>
  </si>
  <si>
    <t>08/05/2025:: dmi01,pco103,brin7,500m,4 news pm</t>
  </si>
  <si>
    <t>08/05/2025:: DBA 01 ,PCO 082,BRIN6,100M,1 NEWS PM</t>
  </si>
  <si>
    <t>08/05/2025:: DBA 01,PCO 100,BRIN4,PM NEW 03 à implanter,150M</t>
  </si>
  <si>
    <t>08/05/2025:: DMI 01,PCO 051,BRIN7,LONG CÂBLE 150 m,PM NEW 01 à implanter</t>
  </si>
  <si>
    <t>08/05/2025:: DMI 01 ,PCO 044,BRIN6,LONG CÂBLE 500 m,PM NEW 01 à implanter</t>
  </si>
  <si>
    <t>08/05/2025:: DBA 01,PCO 084,BRIN2,PM NEW 01 à implanter,200M</t>
  </si>
  <si>
    <t>08/05/2025:: DBA 01,PCO015,BRIN5,50M,PB 01</t>
  </si>
  <si>
    <t>485754435ED1A6B2</t>
  </si>
  <si>
    <t>485754435EDA02B2</t>
  </si>
  <si>
    <t>RAB0000000206713</t>
  </si>
  <si>
    <t>N'GUESSAN GBE ANNE</t>
  </si>
  <si>
    <t>RAB0000000206839</t>
  </si>
  <si>
    <t>KEITA ABDRAHAMANE</t>
  </si>
  <si>
    <t>RAB0000000206828</t>
  </si>
  <si>
    <t>DAN LOUA ISAC</t>
  </si>
  <si>
    <t>RAB0000000206830</t>
  </si>
  <si>
    <t>DATO YORO OLIVIER</t>
  </si>
  <si>
    <t>RAB0000000206802</t>
  </si>
  <si>
    <t>ZOUGBA KOUASSI N'DAH EDOM FZBIEN</t>
  </si>
  <si>
    <t>48575443386061B0</t>
  </si>
  <si>
    <t>4857544338635CB0</t>
  </si>
  <si>
    <t>12/05/2025:: DMI01,PCO103,BRIN8,4 ANCIENS PM</t>
  </si>
  <si>
    <t>12/05/2025:: DMI01,PCO089,BRIN5,1 ANCIENS PM</t>
  </si>
  <si>
    <t>DMI01_PCO081</t>
  </si>
  <si>
    <t>12/05/2025:: DMI01,PCO081,BRIN1,2 ANCIEN PB</t>
  </si>
  <si>
    <t>12/05/2025:: DBA01,PCO023,BRIN3,250M</t>
  </si>
  <si>
    <t>12/05/2025:: DBA01,PCO023,BRIN4,250M</t>
  </si>
  <si>
    <t>12/05/2025:: DBA01,PCO098,BRIN 04,150M,1 NEWS PM</t>
  </si>
  <si>
    <t>48575443386322B0</t>
  </si>
  <si>
    <t>48575443385BE9B0</t>
  </si>
  <si>
    <t>485754433862BDB0</t>
  </si>
  <si>
    <t>48575443385C5BB0</t>
  </si>
  <si>
    <t>485754433859AAB0</t>
  </si>
  <si>
    <t>4857544338609FB0</t>
  </si>
  <si>
    <t>RAB0000000207092</t>
  </si>
  <si>
    <t>SOUMAHORO SOULEYMANE</t>
  </si>
  <si>
    <t>RAB0000000207124</t>
  </si>
  <si>
    <t>NDAO MOUSSA</t>
  </si>
  <si>
    <t>13/05/2025:: DBA01,PCO023,BRIN5,150M,2PB</t>
  </si>
  <si>
    <t>DBA01_PCO077</t>
  </si>
  <si>
    <t>13/05/2025:: DBA01,PCO077,BRIN1,100M,1PM</t>
  </si>
  <si>
    <t>48575443385B18B0</t>
  </si>
  <si>
    <t>48575443385C86B0</t>
  </si>
  <si>
    <t>RAB0000000207138</t>
  </si>
  <si>
    <t>BOUE THOMET DONATION</t>
  </si>
  <si>
    <t>DIVO KONANKRO GARE D'HIRE</t>
  </si>
  <si>
    <t>RAB0000000207145</t>
  </si>
  <si>
    <t>GRAH ZAGBA AKABLA DESIRE</t>
  </si>
  <si>
    <t>RAB0000000207139</t>
  </si>
  <si>
    <t>DOGBO N'DRE SERAPHIN</t>
  </si>
  <si>
    <t>DIVO VATICAN PMU</t>
  </si>
  <si>
    <t>RAB0000000207135</t>
  </si>
  <si>
    <t>BAMBA ABDOUL KARIM</t>
  </si>
  <si>
    <t>DIVO DIOULABOUGOU 2 EN FACE DE LA MOSQUEE</t>
  </si>
  <si>
    <t>RAB0000000207147</t>
  </si>
  <si>
    <t>TOURE MAIMOUNA KOU AKILOU</t>
  </si>
  <si>
    <t>RAB0000000207136</t>
  </si>
  <si>
    <t>RAB0000000207143</t>
  </si>
  <si>
    <t>GBAKA SAKENY ANGE FELIX</t>
  </si>
  <si>
    <t>RAB0000000207141</t>
  </si>
  <si>
    <t>EBY OUILI ASSETOU</t>
  </si>
  <si>
    <t>RAB0000000207146</t>
  </si>
  <si>
    <t>KOUADIO LOUKOU</t>
  </si>
  <si>
    <t>RAB0000000207237</t>
  </si>
  <si>
    <t>OUATTARA FOUSSENI</t>
  </si>
  <si>
    <t>RAB0000000207273</t>
  </si>
  <si>
    <t>KOUAKOU ADJOUMAN AFFOUE</t>
  </si>
  <si>
    <t>14/05/2025:: DMI01,PCO092,BRIN3,2 NEWS PM</t>
  </si>
  <si>
    <t>14/05/2025:: DMI01,PCO081,BRIN1,200M</t>
  </si>
  <si>
    <t>DMI01_PCO018</t>
  </si>
  <si>
    <t>DMI01,PCO018, LONG150 M, BRIN 1, 2 ANCIENS PB, 1 NEW PM</t>
  </si>
  <si>
    <t>DMI01,PCO019, LONG 200M, BRIN 6, 2 ANCIENS PB, 1 NEW PM</t>
  </si>
  <si>
    <t>DMI01_PCO036</t>
  </si>
  <si>
    <t>DMI01,PCO036, LONG 500M, BRIN 5, 1 ANCIEN PB</t>
  </si>
  <si>
    <t>48575443386039B0</t>
  </si>
  <si>
    <t>4857544338606DB0</t>
  </si>
  <si>
    <t>485754433856F0B0</t>
  </si>
  <si>
    <t>48575443386345B0</t>
  </si>
  <si>
    <t>485754433857B6B0</t>
  </si>
  <si>
    <t>RAB0000000207417</t>
  </si>
  <si>
    <t>ZOH KELANIAWE JEAN-PRINCE</t>
  </si>
  <si>
    <t>16/05/2025:: DMI01,PCO100,BRIN4,500M,6 NEWS PM</t>
  </si>
  <si>
    <t>16/05/2025:: DMI01,PCO099,BRIN6,100M</t>
  </si>
  <si>
    <t>16/05/2025:: DBA01,PCO098,BRIN4,100M,1NEWS PM</t>
  </si>
  <si>
    <t>16/05/2025::  DBA 01,PCO 086,BRIN4,100m</t>
  </si>
  <si>
    <t>48575443385AA9B0</t>
  </si>
  <si>
    <t>48575443385872B0</t>
  </si>
  <si>
    <t>4857544338586DB0</t>
  </si>
  <si>
    <t>4857544338622DB0</t>
  </si>
  <si>
    <t>RAB0000000207463</t>
  </si>
  <si>
    <t>DIGBEU FLAVIEN</t>
  </si>
  <si>
    <t>RAB0000000207465</t>
  </si>
  <si>
    <t>KOHA TOUANDJEDE JACQUES</t>
  </si>
  <si>
    <t>RAB0000000207467</t>
  </si>
  <si>
    <t>TRAORE DRISSA</t>
  </si>
  <si>
    <t>DIVO JERUSALEM NOUVEAU GOUDRON</t>
  </si>
  <si>
    <t>RAB0000000207464</t>
  </si>
  <si>
    <t>KOFFI YAO FRANCK ARTHUR</t>
  </si>
  <si>
    <t>DMI01,PCO051,LONG300M,BRIN8,5 ANCIENS PTX</t>
  </si>
  <si>
    <t>DBA01_PCO100,LONG 100M,BRIN 3, 2 ANCIENS PTX</t>
  </si>
  <si>
    <t>BDA01,PCO036,LONG500M,BRIN 4,5 ANCIENS PTX , 1 NEW PM</t>
  </si>
  <si>
    <t>DBA01,PCO036, LONG200M, BRIN 5, 2 ANCIENS PTX , 1 NEW PM</t>
  </si>
  <si>
    <t>485754433861E5B0</t>
  </si>
  <si>
    <t>48575443385706B0</t>
  </si>
  <si>
    <t>4857544338620CB0</t>
  </si>
  <si>
    <t xml:space="preserve">19/05/2025:: DBA01,PCO002,BRIN2,350M,1 NEWS,5 PB </t>
  </si>
  <si>
    <t>48575443385D64B0</t>
  </si>
  <si>
    <t>RAB0000000207782</t>
  </si>
  <si>
    <t>GBALE AURELIENISABELLE GISELE</t>
  </si>
  <si>
    <t>DIVO BADA CENTRE CULTUREL</t>
  </si>
  <si>
    <t>RAB0000000207833</t>
  </si>
  <si>
    <t>15/04/2025:: Client NDIAYE ELHADJI MALICK,Ces numéros sont incorrect/20/05/2025:: DBA01,PCO050,BRIN3,1,NEW PM,200M</t>
  </si>
  <si>
    <t>20/05/2025:: DMI01,PCO022,BRIN3,200M, 1NEWS</t>
  </si>
  <si>
    <t>48575443385FA5B0</t>
  </si>
  <si>
    <t>48575443385AE5B0</t>
  </si>
  <si>
    <t>48575443385AE3B0</t>
  </si>
  <si>
    <t>RAB0000000207846</t>
  </si>
  <si>
    <t>COULIBALY SETUON AMED FABIEN</t>
  </si>
  <si>
    <t>DIVO VATICAN EGLISE CMA</t>
  </si>
  <si>
    <t>RAB0000000207970</t>
  </si>
  <si>
    <t>MORY FOFANA</t>
  </si>
  <si>
    <t>RAB0000000207959</t>
  </si>
  <si>
    <t>NIAMKEY QUINCY-EXILIEN</t>
  </si>
  <si>
    <t>RAB0000000207947</t>
  </si>
  <si>
    <t>BOIDY EDMOND</t>
  </si>
  <si>
    <t>DIVO BADA EN FACE DE IVOGRAIN</t>
  </si>
  <si>
    <t>21/05/2025:: dmi01,pco087,brin2,150m</t>
  </si>
  <si>
    <t>21/05/2025:: DBA01,PCO019,brin2,300m</t>
  </si>
  <si>
    <t>21/05/2025:: DMI01,PCO043,brin8,300m</t>
  </si>
  <si>
    <t>21/05/2025:: DBA01,PCO003,brin5,400m,2 NEWS</t>
  </si>
  <si>
    <t>21/05/2025:: DBA01,PCO002,BRIN3,100M</t>
  </si>
  <si>
    <t>48575443385F9FB0</t>
  </si>
  <si>
    <t>48575443385E27B0</t>
  </si>
  <si>
    <t>48575443385AB7B0</t>
  </si>
  <si>
    <t>RAB0000000208113</t>
  </si>
  <si>
    <t>AKEIGBA ADELE KESSIE</t>
  </si>
  <si>
    <t>DIVO-INCONNU - DBA01</t>
  </si>
  <si>
    <t>RAB0000000208143</t>
  </si>
  <si>
    <t>ANOH N'GOAN</t>
  </si>
  <si>
    <t>23/05/2025:: DBA01,PCO100,BRIN4,200M,</t>
  </si>
  <si>
    <t>DMI01_PCO109</t>
  </si>
  <si>
    <t>22/05/2025:: DMI01,PCO109,BRIN1,100M,1PB</t>
  </si>
  <si>
    <t>RAB0000000208318</t>
  </si>
  <si>
    <t>KOUAKOU JEAN MARIUS</t>
  </si>
  <si>
    <t>DIVO BADA AGENCE CANAL</t>
  </si>
  <si>
    <t>RAB0000000208321</t>
  </si>
  <si>
    <t>DIVO COMMERCE AGENCE CANAL</t>
  </si>
  <si>
    <t>24/05/2025:: DBA01,PCO002,BRIN4,100M</t>
  </si>
  <si>
    <t>24/05/2025:: DMI01,PCO022,BRIN4,150M,1 NEW PM</t>
  </si>
  <si>
    <t>RAB0000000208544</t>
  </si>
  <si>
    <t>ADJABOU WANDETCHI SERGE</t>
  </si>
  <si>
    <t>RAB0000000208584</t>
  </si>
  <si>
    <t>TAYORO HENRI JOEL</t>
  </si>
  <si>
    <t>DIVO BOUDOUKOU VERS LE COLLEGE RACINE</t>
  </si>
  <si>
    <t>RAB0000000208644</t>
  </si>
  <si>
    <t>N'GUESSAN N'DRI JOSEPH</t>
  </si>
  <si>
    <t>DIVO KONANKRO GARE DE HIRE</t>
  </si>
  <si>
    <t>RAB0000000208657</t>
  </si>
  <si>
    <t>N'DRIN YAHOU CHARLES FREDERIC</t>
  </si>
  <si>
    <t>RAB0000000208658</t>
  </si>
  <si>
    <t>RAB0000000208713</t>
  </si>
  <si>
    <t>CISSE BAKARY</t>
  </si>
  <si>
    <t>RAB0000000208674</t>
  </si>
  <si>
    <t>BATISTA MARCELINO ULISSES</t>
  </si>
  <si>
    <t>DIVO PLATEAU EGLISE UNIVERSELLE</t>
  </si>
  <si>
    <t>RAB0000000208617</t>
  </si>
  <si>
    <t>COULIBALY MAKOYAKA</t>
  </si>
  <si>
    <t>DIVO DIOULABOUGOU DERRIERE AGENCE WAVE</t>
  </si>
  <si>
    <t>RAB0000000208638</t>
  </si>
  <si>
    <t>MOZOU SEMIN NICAISE</t>
  </si>
  <si>
    <t>RAB0000000208671</t>
  </si>
  <si>
    <t>TIECOURA N'GUESSAN AIMEE</t>
  </si>
  <si>
    <t>DBA01_PCO115</t>
  </si>
  <si>
    <t>30/05/2025:: DBA01,PCO115,BRIN1,100M,1 NEWS</t>
  </si>
  <si>
    <t>RAB0000000208945</t>
  </si>
  <si>
    <t>DOUA ALBAN MICHEL</t>
  </si>
  <si>
    <t>DIVO KONANKRO MAQUIS CP1</t>
  </si>
  <si>
    <t>RAB0000000208912</t>
  </si>
  <si>
    <t>CISSE EPOUSE BAKAYOKO ADJA ROKHAYA</t>
  </si>
  <si>
    <t>DIVO DIRECTION REGIONAL DU BUDGET</t>
  </si>
  <si>
    <t>RAB0000000208922</t>
  </si>
  <si>
    <t>TRAORE ALI</t>
  </si>
  <si>
    <t>31/05/2025:: DBA01,PCO020,BRIN2,50M</t>
  </si>
  <si>
    <t>31/05/2025:: DMI01,PCO069,BRIN3,200M</t>
  </si>
  <si>
    <t>31/05/2025:: DMI01,PCO015,BRIN4,100M</t>
  </si>
  <si>
    <t>31/05/2025:: DBA01,PCO040,BRIN3,200M</t>
  </si>
  <si>
    <t>31/05/2025:: DBA01,PCO109,BRIN3,300M</t>
  </si>
  <si>
    <t>DBA01_PCO052</t>
  </si>
  <si>
    <t>31/05/2025:: DBA01,PCO052,BRIN2,100M</t>
  </si>
  <si>
    <t>48575443151B74B4</t>
  </si>
  <si>
    <t>48575443150E97B4</t>
  </si>
  <si>
    <t>48575443151B31B4</t>
  </si>
  <si>
    <t>48575443151302B4</t>
  </si>
  <si>
    <t>485754431519CDB4</t>
  </si>
  <si>
    <t>485754431517F8B4</t>
  </si>
  <si>
    <t>48575443151126B4</t>
  </si>
  <si>
    <t>48575443151E04B4</t>
  </si>
  <si>
    <t xml:space="preserve">Client KONAN KOUAKOU GILLES ANDERSON,HORS ZONE , DMI01,PCO100,LONG 600, BRIN 6, 1 ANCIEN PB, 3 NEW PM
</t>
  </si>
  <si>
    <t>RAB0000000209052</t>
  </si>
  <si>
    <t>N'DIAYE MALICK LUC FREDERIC</t>
  </si>
  <si>
    <t>DIVO LIBREVILLE RUES DES RETRAITE</t>
  </si>
  <si>
    <t>48575443150B87B4</t>
  </si>
  <si>
    <t>16/05/2025:: CE CLIENT EST INJOIGNABLEBRIN2</t>
  </si>
  <si>
    <t>48575443151690B4</t>
  </si>
  <si>
    <t>DMI01_PCO034</t>
  </si>
  <si>
    <t>02/06/2025;; DMI01,PCO034,300M,3NEWS PM</t>
  </si>
  <si>
    <t>48575443150C06B4</t>
  </si>
  <si>
    <t>4857544315175EB4</t>
  </si>
  <si>
    <t>4857544315194EB4</t>
  </si>
  <si>
    <t>48575443150B6FB4</t>
  </si>
  <si>
    <t>48575443151D7CB4</t>
  </si>
  <si>
    <t>48575443151B13B4</t>
  </si>
  <si>
    <t>48575443150BF4B4</t>
  </si>
  <si>
    <t>RAB0000000209327</t>
  </si>
  <si>
    <t>GBABOUE GROGA GUY ERMANO</t>
  </si>
  <si>
    <t>RAB0000000209267</t>
  </si>
  <si>
    <t>DIVO BOUDOUKOU EGLISE CELESTE</t>
  </si>
  <si>
    <t>DIVO KONANKRO NON LOIN DE BAOBAB</t>
  </si>
  <si>
    <t>RAB0000000209418</t>
  </si>
  <si>
    <t>NDIAYE ABDOURAHMANE</t>
  </si>
  <si>
    <t>RAB0000000209422</t>
  </si>
  <si>
    <t>MAIGA MARICHATOU</t>
  </si>
  <si>
    <t>RAB0000000209454</t>
  </si>
  <si>
    <t>AKA EUGENE</t>
  </si>
  <si>
    <t>04/06/2025:: DMI01,PCO006,200M,</t>
  </si>
  <si>
    <t>48575443151A34B4</t>
  </si>
  <si>
    <t>RAB0000000209638</t>
  </si>
  <si>
    <t>CODO DEGAUD RENE</t>
  </si>
  <si>
    <t>RAB0000000209691</t>
  </si>
  <si>
    <t>COULIBALY MINATA</t>
  </si>
  <si>
    <t>ZAMMENBOUGOU EN FACE DE PHARMACIE</t>
  </si>
  <si>
    <t>05/06/2025:: DMI01,PCO069,BRIN5,200M</t>
  </si>
  <si>
    <t>05/06/2025:: DBA01,PCO101,BRIN7,150M</t>
  </si>
  <si>
    <t>DMI01_PCO075</t>
  </si>
  <si>
    <t>05/06/2025:: DMI01,PCO075,BRIN1,50M</t>
  </si>
  <si>
    <t>05/06/2025:: DBA01,PCO014,BRIN7,500M,2 PB,5 PM ANCIEN</t>
  </si>
  <si>
    <t>48575443150B68B4</t>
  </si>
  <si>
    <t>4857544315183CB4</t>
  </si>
  <si>
    <t>485754431512ADB4</t>
  </si>
  <si>
    <t>485754431512D1B4</t>
  </si>
  <si>
    <t>48575443150CF4B4</t>
  </si>
  <si>
    <t>48575443150BD1B4</t>
  </si>
  <si>
    <t>DBA01_PCO049</t>
  </si>
  <si>
    <t>DBA01,PCO049, LONG 400M, BRIN 1, 2 ANCIEN PB, 4 NEW PM</t>
  </si>
  <si>
    <t>RAB0000000209744</t>
  </si>
  <si>
    <t>TOURE KADY ADIARA OLIVIA CHARLENE</t>
  </si>
  <si>
    <t xml:space="preserve">08/06/2025:: DBA01,PCO037,BRIN2,200M,PM NEW 01 à implanter </t>
  </si>
  <si>
    <t xml:space="preserve">08/06/2025:: DBA01,PCO084,BRIN3,300M,PM NEW 04 à implanter </t>
  </si>
  <si>
    <t>08/06/2025:: DBA01,PCO053,BRIN2,50M,PB 01</t>
  </si>
  <si>
    <t>485754431513EAB4</t>
  </si>
  <si>
    <t xml:space="preserve">10/06/2025:: DMI01,PCO044,BRIN7,500M,PM NEW 05 à implanter </t>
  </si>
  <si>
    <t>48575443151A19B4</t>
  </si>
  <si>
    <t>RAB0000000210107</t>
  </si>
  <si>
    <t>ZONGO ALASSANE KALRAOGO</t>
  </si>
  <si>
    <t>RAB0000000210082</t>
  </si>
  <si>
    <t>DJEKET DADIE LAURENT</t>
  </si>
  <si>
    <t>DIVO VATICAN CARREFOUR DU MARCHE</t>
  </si>
  <si>
    <t>11/06/2025::  DMI01,PCO069,BRIN4,50M</t>
  </si>
  <si>
    <t>48575443151B7AB4</t>
  </si>
  <si>
    <t>48575443151DF5B4</t>
  </si>
  <si>
    <t>RAB0000000210231</t>
  </si>
  <si>
    <t>GROGUHET ROMEO LANDRY KPASSA</t>
  </si>
  <si>
    <t>RAB0000000210190</t>
  </si>
  <si>
    <t>YOUAN LOU KOHOU</t>
  </si>
  <si>
    <t>RAB0000000210224</t>
  </si>
  <si>
    <t>DIABY FANTA</t>
  </si>
  <si>
    <t>RAB0000000210319</t>
  </si>
  <si>
    <t>KOUAME BONI SIMON PIERRE</t>
  </si>
  <si>
    <t>RAB0000000210317</t>
  </si>
  <si>
    <t>KOUAME N'GORAN</t>
  </si>
  <si>
    <t>DIVO BADA STATION SHELL</t>
  </si>
  <si>
    <t>RAB0000000210315</t>
  </si>
  <si>
    <t>KONON ERICK</t>
  </si>
  <si>
    <t>RAB0000000210311</t>
  </si>
  <si>
    <t>RAMANU ABDOULAYE</t>
  </si>
  <si>
    <t>DIVO LIBREVILLE PORKODJO</t>
  </si>
  <si>
    <t>48575443151751B4</t>
  </si>
  <si>
    <t>DBA01,PCO040,BRIN4,200M</t>
  </si>
  <si>
    <t>13/06/2025:: DBA01,PCO003,BRIN6,500M,PM déjà implanté: 04</t>
  </si>
  <si>
    <t>DMI01_PCO076</t>
  </si>
  <si>
    <t>31/05/2025:: Client DOUA ALBAN MICHEL 
INJOIGNABLE//13/06/2025:: DMI01,PCO076,BRIN1,1 NEW PM</t>
  </si>
  <si>
    <t>13/06/2025:: dmi01,pco049,brin2,150m</t>
  </si>
  <si>
    <t xml:space="preserve">13/06/2025:: DMI01,pco049,brin3,300m,PM NEW 04 à implanter </t>
  </si>
  <si>
    <t>13/06/2025:: DMI01,PCO022,BRIN5,300M</t>
  </si>
  <si>
    <t>14/06/2025:: DMI01,PCO006,BRIN8,300M,1 NEWS PM</t>
  </si>
  <si>
    <t>14/06/2025:: DMI01,PCO023,BRIN3,400M</t>
  </si>
  <si>
    <t>RAB0000000210533</t>
  </si>
  <si>
    <t>ZEGA GADOU KOUASSI FABRICE</t>
  </si>
  <si>
    <t>RAB0000000210441</t>
  </si>
  <si>
    <t>ZAMBLE TRA BI IRIE FRANCK</t>
  </si>
  <si>
    <t>RAB0000000210430</t>
  </si>
  <si>
    <t>TRAORE IDRISSA</t>
  </si>
  <si>
    <t>RAB0000000210508</t>
  </si>
  <si>
    <t>TOURE  ALASSANE</t>
  </si>
  <si>
    <t>DIVO ZAMANLANBOUGOU PHARMACIE EXPERANCE</t>
  </si>
  <si>
    <t>RAB0000000210627</t>
  </si>
  <si>
    <t>ZABLI DJOUKOUEHI SAMUEL</t>
  </si>
  <si>
    <t>DIVO VATICAN BNET</t>
  </si>
  <si>
    <t>DMI01,PCO044,LONG 400M, BRIN 8, 6 ANCIENS PB, 1 NEW PM</t>
  </si>
  <si>
    <t>DBA01, PCO059, LONG 250, BRIN 3, 4 ANCIENS PTX</t>
  </si>
  <si>
    <t>DMI01,PCO081, LONG 300M, BRIN 3, 2 ANCIENS PB, 3 NEW PM</t>
  </si>
  <si>
    <t>DBA01,PCO082, LONG 200M, BRIN 6, 2 ANCIENS PTX, 1 NEW PM</t>
  </si>
  <si>
    <t>16/06/2025:: DMI01,PCO106,BRIN2,200M</t>
  </si>
  <si>
    <t>RAB0000000210756</t>
  </si>
  <si>
    <t>DJISSI ABELE PULCHERIE AGATHE</t>
  </si>
  <si>
    <t>RAB0000000210780</t>
  </si>
  <si>
    <t>BABO GABY GEORGES</t>
  </si>
  <si>
    <t>DIVO HOTELS LA KOKETTE</t>
  </si>
  <si>
    <t>RAB0000000210764</t>
  </si>
  <si>
    <t>NEKUESSI BLAKON PAULINE</t>
  </si>
  <si>
    <t>RAB0000000210980</t>
  </si>
  <si>
    <t>CISSE NAKOGNON AMY</t>
  </si>
  <si>
    <t>RAB0000000210885</t>
  </si>
  <si>
    <t>SABA BOUKARY</t>
  </si>
  <si>
    <t xml:space="preserve">18/06/2025:: DMI01,PCO100,BRIN6,200M,2 PTX </t>
  </si>
  <si>
    <t>18/06/2025:: DBA01,PCO115,BRIN2,400M</t>
  </si>
  <si>
    <t xml:space="preserve">18/06/2025:: DMI01,PCO007,BRIN3,500M,05 NEWS PM,4 PTX </t>
  </si>
  <si>
    <t>DMI01_PCO008</t>
  </si>
  <si>
    <t>18/06/2025::DMI01,PCO008,150M,BRIN1,1 NEWS,2PB</t>
  </si>
  <si>
    <t>18/06/2025:: DBA01,PCO024,BRIN4,100M,1PB</t>
  </si>
  <si>
    <t>RAB0000000211044</t>
  </si>
  <si>
    <t>PARAISO MOHAMED GUSTAVE LOUCKMAN</t>
  </si>
  <si>
    <t>RAB0000000211041</t>
  </si>
  <si>
    <t>LAH ABOUBACAR</t>
  </si>
  <si>
    <t>RAB0000000211037</t>
  </si>
  <si>
    <t>COULIBALY AMINATA</t>
  </si>
  <si>
    <t>19/06/2025:: DBA01,PCO080,BRIN5,150M,PB2</t>
  </si>
  <si>
    <t>19/06/2025:: DBA01,PCO002,BRIN5,100M,PB1</t>
  </si>
  <si>
    <t>20/06/2025:: DBA01,PCO082,250M,BRIN7,1 NEWS PTX</t>
  </si>
  <si>
    <t>RAB0000000211115</t>
  </si>
  <si>
    <t>EHOUMAN EHOUMANBRA ALEXIA LORAINE</t>
  </si>
  <si>
    <t>RAB0000000211172</t>
  </si>
  <si>
    <t>DIVO PLATEAU CAREFFOUR DEPUTE</t>
  </si>
  <si>
    <t>RAB0000000211276</t>
  </si>
  <si>
    <t>SOMTORE ADAMA</t>
  </si>
  <si>
    <t>DIVO ZAMANBOUGOU</t>
  </si>
  <si>
    <t>485754435EDF54B2</t>
  </si>
  <si>
    <t>Le client est dans une zone ou il y'a risque d'électrocution,haute tension</t>
  </si>
  <si>
    <t>27/06/2025:: DBA01,PCO040,BRIN4,300M,4 ANCIENS PTX</t>
  </si>
  <si>
    <t xml:space="preserve"> 485754435ED461B2</t>
  </si>
  <si>
    <t>485754435EDA6CB2</t>
  </si>
  <si>
    <t>485754435ECAA8B2</t>
  </si>
  <si>
    <t>485754435EBC55B2</t>
  </si>
  <si>
    <t>RAB0000000211888</t>
  </si>
  <si>
    <t>DIOMANDE SIAKA</t>
  </si>
  <si>
    <t>DIVO ZAMALABANBOUGO</t>
  </si>
  <si>
    <t>RAB0000000211892</t>
  </si>
  <si>
    <t>DIVO COMMERCE PAIN D'AFRIQUE</t>
  </si>
  <si>
    <t>RAB0000000211872</t>
  </si>
  <si>
    <t>DEA WATAKI</t>
  </si>
  <si>
    <t>485754435ECC42B2</t>
  </si>
  <si>
    <t>485754435ECA3FB2</t>
  </si>
  <si>
    <t>485754435EC5B4B2</t>
  </si>
  <si>
    <t>485754435EC8D3B2</t>
  </si>
  <si>
    <t>DMI01,PCO052, LONG 500M, BRIN 8, 7 ANCIENS PB</t>
  </si>
  <si>
    <t>01/05/2025 Hors zone, 28/06/2025; DBA01,PCO003, LONG 150M, BRIN 6, 1 ANCIEN PB</t>
  </si>
  <si>
    <t>RAB0000000212095</t>
  </si>
  <si>
    <t>KOUASSI AHOU CARINE</t>
  </si>
  <si>
    <t>BOUDOUKOU DIVO</t>
  </si>
  <si>
    <t>RAB0000000212163</t>
  </si>
  <si>
    <t>KOKORA OUAGOH LUC TOUSSAINT</t>
  </si>
  <si>
    <t>DIVO BADA VILLAGE</t>
  </si>
  <si>
    <t>RAB0000000212074</t>
  </si>
  <si>
    <t>kraboualy sinaly</t>
  </si>
  <si>
    <t>28/06/2025:: DMI01,PCO121,BRIN2,400M,5 NEWS PM,2 PB</t>
  </si>
  <si>
    <t>29/06/2025:: DBA01,PCO040,BRIN6,,4 NEWS PM,2PB,</t>
  </si>
  <si>
    <t>29/06/2025:: DBA01,PCO050,BRIN4,,1 NEWS PM,4PM</t>
  </si>
  <si>
    <t>29/06/2025:: DBA01,PCO081,BRIN3,250M,PB3</t>
  </si>
  <si>
    <t>29/06/2025:: DBA01,PCO073,BRIN2,150M,PB2</t>
  </si>
  <si>
    <t>DBA01,PCO073,BRIN3,250M,3 NEWS,1PB</t>
  </si>
  <si>
    <t>CLIENT INJOIGNABLE LE 18/03/2025,ETUDE PROJETEE</t>
  </si>
  <si>
    <t>20/06/2025// CLIENT INJOIGNABLE, PCO PROJETEE</t>
  </si>
  <si>
    <t xml:space="preserve"> 18/03/2025 CLIENT INJOIGNABLE //11/06/2025 : , BRIN8,PCO040,200M</t>
  </si>
  <si>
    <t>RAB0000000194610</t>
  </si>
  <si>
    <t>MOREIRA KOSSI GILDAS</t>
  </si>
  <si>
    <t>30/06/2025::Client ne décroche pas aux appels</t>
  </si>
  <si>
    <t>19/06/2025:: CLIENT INJOIGNABLE,ETUDE PROJETEE,30/06/2025:: DBA01,PCO023,BRIN6,150M,1 NEW PM</t>
  </si>
  <si>
    <t>RAB0000000212414</t>
  </si>
  <si>
    <t>DOGUI DJEREKE PIERRE</t>
  </si>
  <si>
    <t>RAB0000000212416</t>
  </si>
  <si>
    <t>FAWAZ MOHAMAD</t>
  </si>
  <si>
    <t>02/07/2025,DBA01,PCO036,BRIN6,300M</t>
  </si>
  <si>
    <t>RAB0000000212650</t>
  </si>
  <si>
    <t>FOFANA MOHAMED LAMINE KOUNOUFO</t>
  </si>
  <si>
    <t>DIVO JERUSALEEM COLLEGE RAPHA</t>
  </si>
  <si>
    <t>RAB0000000212623</t>
  </si>
  <si>
    <t>CAMARA BANGALY</t>
  </si>
  <si>
    <t>DIVO GARE ST</t>
  </si>
  <si>
    <t>DAGO FERDINAND</t>
  </si>
  <si>
    <t>DIVO VATICAN ECOLE PRIMAIRE NO CANA BOBI</t>
  </si>
  <si>
    <t>RAB0000000212691</t>
  </si>
  <si>
    <t>03/07/2025:: DBA01,PCO104,BRIN3,200M,1 NEW PM</t>
  </si>
  <si>
    <t>DMI01_PCO113</t>
  </si>
  <si>
    <t>03/07/2025::DBA01,PCO79,BRIN4,200M</t>
  </si>
  <si>
    <t>03/07/2025:: DMI01,PCO,BRIN 1,300M,2 NEW,2 ANCIENS</t>
  </si>
  <si>
    <t>RAB0000000212899</t>
  </si>
  <si>
    <t>BLE EPSE DAKOURI KOUASSI REINE JOSEE MARIA</t>
  </si>
  <si>
    <t>DIVO BELLEVILLE RUE DES RETRAITES</t>
  </si>
  <si>
    <t>RAB0000000212833</t>
  </si>
  <si>
    <t>SACKO FOUSSENY</t>
  </si>
  <si>
    <t>04/07/2025::DBA01,PCO023,LONG 150M, 2 ANCIENS PTX, BRIN 7</t>
  </si>
  <si>
    <t>04/07/2025::DMI01,PCO023,LONG 200M, BRIN 6,1 ANCIEN PB, 2 NEW PM</t>
  </si>
  <si>
    <t>RAB0000000213016</t>
  </si>
  <si>
    <t>EMIVEGNI HOUEHANOU VALENTIN</t>
  </si>
  <si>
    <t>DIVO KONANKRO BAOBAB</t>
  </si>
  <si>
    <t>RAB0000000213098</t>
  </si>
  <si>
    <t>BAKAYOKO ABOULAYE</t>
  </si>
  <si>
    <t>DIVO VATICAN ECOLE PRIMAIRE</t>
  </si>
  <si>
    <t>RAB0000000213043</t>
  </si>
  <si>
    <t>DIALLO MOCTAR</t>
  </si>
  <si>
    <t>RAB0000000213036</t>
  </si>
  <si>
    <t>BLINION DIGBEU OLIVIER</t>
  </si>
  <si>
    <t>RAB0000000213116</t>
  </si>
  <si>
    <t>KOUDOU ELYSE</t>
  </si>
  <si>
    <t>RAB0000000213157</t>
  </si>
  <si>
    <t>BAH KOULADE THOMAS</t>
  </si>
  <si>
    <t>DIVO PLATEAU TOURAKO</t>
  </si>
  <si>
    <t>RAB0000000213127</t>
  </si>
  <si>
    <t>HAIDARA MAMADOU LAMINE</t>
  </si>
  <si>
    <t>DIVO JERUSALEEM COLLEGE LE BON BERGER</t>
  </si>
  <si>
    <t>06/07/2025::DBA01,PCO104,BRIN3,150M,PB02</t>
  </si>
  <si>
    <t>06/07/2025:: DBA01,PCO114,BRIN2,150M</t>
  </si>
  <si>
    <t>06/07/2025:: DBA01,PCO016,BRIN5,200M,PM NEW 01 à implanter ,PB02</t>
  </si>
  <si>
    <t>06/07/2025:: DMI01,PCO097,BRIN2,200M,PM NEW 01 à implanter ,PB 02</t>
  </si>
  <si>
    <t>06/07/2025:: DMI01,PCO097,BRIN2,200M,PB 03</t>
  </si>
  <si>
    <t>48575443F826FBAC</t>
  </si>
  <si>
    <t>48575443EF46FEAB</t>
  </si>
  <si>
    <t>4857544325DB72AD</t>
  </si>
  <si>
    <t>4857544352E32FAA</t>
  </si>
  <si>
    <t>RAB0000000213503</t>
  </si>
  <si>
    <t>DIVO BELLEVILLE PONT AMEDEE</t>
  </si>
  <si>
    <t>RAB0000000213552</t>
  </si>
  <si>
    <t>ZOUKPO JEAN BENJAMIN</t>
  </si>
  <si>
    <t>RAB0000000213562</t>
  </si>
  <si>
    <t>DALLET ANGE MARIE MADELEINE</t>
  </si>
  <si>
    <t>DMI01_PCO077</t>
  </si>
  <si>
    <t>10/07/2025:: DMI 01,PCO 077,BRIN 2,100M</t>
  </si>
  <si>
    <t>10/07/2025:: DBA 01,PCO 014,BRIN 8,200M,PB3</t>
  </si>
  <si>
    <t>10/07/2025:: DBA 01,PCO 040,BRIN 7,LONG CÂBLE 150 m</t>
  </si>
  <si>
    <t>RAB0000000213787</t>
  </si>
  <si>
    <t>FOFANA ROKIA</t>
  </si>
  <si>
    <t>RAB0000000213789</t>
  </si>
  <si>
    <t>DAHIGO ADRIENNE</t>
  </si>
  <si>
    <t>RAB0000000213788</t>
  </si>
  <si>
    <t>DIANE DOMBA</t>
  </si>
  <si>
    <t>DIVO KONANKRO CONTROLE FINANCIER</t>
  </si>
  <si>
    <t>RAB0000000213790</t>
  </si>
  <si>
    <t>BOUNE MOUSSA</t>
  </si>
  <si>
    <t>11/07/2025:: DMI 01,PCO 075,BRIN 3,LONG CÂBLE 100 m,PB02</t>
  </si>
  <si>
    <t>11/07/2025:: DMI 01,PCO007,BRIN 4,LONG CÂBLE 500 m,PB03,PM déjà implanté: 04</t>
  </si>
  <si>
    <t>11/07/2025:: DBA 01,PCO 003,BRIN 8,LONG CÂBLE 200 m,PM NEW 02 à implanter,PB 02</t>
  </si>
  <si>
    <t xml:space="preserve">CLIENT RECRUTE HORS ZONE FTTH,12/07/2025:: DBA 01,PCO 016,BRIN 6,LONG CÂBLE 200 m,PM NEW 03 à implanter,PB 01
</t>
  </si>
  <si>
    <t>RAB0000000214019</t>
  </si>
  <si>
    <t>FATIGA MARIAM</t>
  </si>
  <si>
    <t>DIVO ZANMANBOUGOU</t>
  </si>
  <si>
    <t>12/07/2025:: DBA 01,PCO 069,BRIN 2,200M,1 NEW PM</t>
  </si>
  <si>
    <t>RAB0000000214406</t>
  </si>
  <si>
    <t>CISSE LOSSENI</t>
  </si>
  <si>
    <t>RAB0000000214373</t>
  </si>
  <si>
    <t>TRAORE MANE</t>
  </si>
  <si>
    <t>RAB0000000214474</t>
  </si>
  <si>
    <t>KOFFI KOUADIO</t>
  </si>
  <si>
    <t>DIVO VATICAN CLINIQUE ZOE</t>
  </si>
  <si>
    <t>RAB0000000214405</t>
  </si>
  <si>
    <t>ZOH KELANIAWE JEAN PRINCE</t>
  </si>
  <si>
    <t>RAB0000000214412</t>
  </si>
  <si>
    <t>COULIBALY PESSY JEAN YVES</t>
  </si>
  <si>
    <t>DBA01_PCO105</t>
  </si>
  <si>
    <t>17/07/2025:: DBA 01,PCO 105,BRIN 1</t>
  </si>
  <si>
    <t>17/07/2025:: DBA 01,PCO 090,BRIN 8</t>
  </si>
  <si>
    <t>17/07/2025:: DMI 01,PCO 088,BRIN 2,400M</t>
  </si>
  <si>
    <t>17/07/2025:: DMI 01,PCO 086,BRIN 1,500M</t>
  </si>
  <si>
    <t>DMI01_PCO102</t>
  </si>
  <si>
    <t>17/07/2025:: DMI 01,PCO102,BRIN 1,500M</t>
  </si>
  <si>
    <t>485754431D922EB3</t>
  </si>
  <si>
    <t>485754431D8E8DB3</t>
  </si>
  <si>
    <t>485754431D8710B3</t>
  </si>
  <si>
    <t>485754431D931DB3</t>
  </si>
  <si>
    <t>485754431D9671B3</t>
  </si>
  <si>
    <t>485754431D912BB3</t>
  </si>
  <si>
    <t>485754431D8EC5B3</t>
  </si>
  <si>
    <t>485754431D958FB3</t>
  </si>
  <si>
    <t>485754431D94D6B3</t>
  </si>
  <si>
    <t>485754431D91FDB3</t>
  </si>
  <si>
    <t>485754431D9368B3</t>
  </si>
  <si>
    <t>485754431D8DEEB3</t>
  </si>
  <si>
    <t>485754431D8B3DB3</t>
  </si>
  <si>
    <t>485754431D8B5BB3</t>
  </si>
  <si>
    <t>485754431D9219B3</t>
  </si>
  <si>
    <t>485754431D907AB3</t>
  </si>
  <si>
    <t>DBA01,PCO081, LONG 200M, BRIN 2, 3 ANCIENS PB</t>
  </si>
  <si>
    <t>485754431D92D7B3</t>
  </si>
  <si>
    <t>RAB0000000214638</t>
  </si>
  <si>
    <t>CHEN ELI</t>
  </si>
  <si>
    <t>DIVO LEGBREVILLE</t>
  </si>
  <si>
    <t>RAB0000000214653</t>
  </si>
  <si>
    <t>RAB0000000214659</t>
  </si>
  <si>
    <t>KOUADIO YAO DESCARD</t>
  </si>
  <si>
    <t>DIVO MILLIONNAIRE NON LOIN DU TERRAIN</t>
  </si>
  <si>
    <t>RAB0000000202173</t>
  </si>
  <si>
    <t>TOTO DERGE N'GUESSAN DIBY</t>
  </si>
  <si>
    <t>RAB0000000214091</t>
  </si>
  <si>
    <t>YAO MARIUS CESAR</t>
  </si>
  <si>
    <t>485754431D8D64B3</t>
  </si>
  <si>
    <t>485754431D88D2B3</t>
  </si>
  <si>
    <t>485754431D8AD1B3</t>
  </si>
  <si>
    <t>485754431D9379B3</t>
  </si>
  <si>
    <t>485754431D8DBDB3</t>
  </si>
  <si>
    <t>485754431D8F2AB3</t>
  </si>
  <si>
    <t>485754431D8ABAB3</t>
  </si>
  <si>
    <t>485754431D8CD8B3</t>
  </si>
  <si>
    <t>485754431D95DEB3</t>
  </si>
  <si>
    <t>485754431D8BC3B3</t>
  </si>
  <si>
    <t>485754431D8B91B3</t>
  </si>
  <si>
    <t>485754431D8E80B3</t>
  </si>
  <si>
    <t>485754431D8742B3</t>
  </si>
  <si>
    <t>485754431D92B6B3</t>
  </si>
  <si>
    <t>485754431D917EB3</t>
  </si>
  <si>
    <t>485754431D8A0CB3</t>
  </si>
  <si>
    <t>DBA01,PCO020, LONG 500M, BRIN 3, 5 ANCIEN PB, 2 NEW PM</t>
  </si>
  <si>
    <t>RAB0000000214686</t>
  </si>
  <si>
    <t>COULIBALY ZIE HAMED</t>
  </si>
  <si>
    <t>DIVO BADA MAQUIS PORCODJO</t>
  </si>
  <si>
    <t>RAB0000000214709</t>
  </si>
  <si>
    <t>ATTIE NOUAMA JEAN-PIERRE</t>
  </si>
  <si>
    <t>DIVO VATICAN PORKODJO</t>
  </si>
  <si>
    <t>RAB0000000214739</t>
  </si>
  <si>
    <t>BELEM ABDOULAYE</t>
  </si>
  <si>
    <t>DIVO COMMERCE (EN HAUT DE LA BANQUE POPULAIRE)</t>
  </si>
  <si>
    <t>Avec PCO</t>
  </si>
  <si>
    <t>485754431D89A1B3</t>
  </si>
  <si>
    <t>485754431D94D1B3</t>
  </si>
  <si>
    <t>485754431D8E42B3</t>
  </si>
  <si>
    <t>RAB0000000215034</t>
  </si>
  <si>
    <t>KOUAME BI N'DRI FRANCOIS</t>
  </si>
  <si>
    <t>DIVO ( PLATEAU)</t>
  </si>
  <si>
    <t>RAB0000000215041</t>
  </si>
  <si>
    <t>MASSAYOUGOU RODOLPHE JEAN</t>
  </si>
  <si>
    <t>21/07/2025:::Hors Zone</t>
  </si>
  <si>
    <t>DBA01,PCO002,LONG 400M,6 ANCIENS PTX</t>
  </si>
  <si>
    <t>21/07/2025:::DMI01,PCO069, LONG 150M, BRIN 4, 1 NEW PM</t>
  </si>
  <si>
    <t>21/07/2025::: DMI01,PCO049, LONG 500M, BRIN4, 5 PTX</t>
  </si>
  <si>
    <t>485754431D903EB3</t>
  </si>
  <si>
    <t>485754431D8B7BB3</t>
  </si>
  <si>
    <t>DBA01,PCO081,LONG 50M, BRIN 6,1 ANCIEN PB</t>
  </si>
  <si>
    <t>DBA01,PCO036,LONG 150M, BRIN 7, 3 ANCIENS PTX</t>
  </si>
  <si>
    <t>DBA01,PCO002,LONG 200M, BRIN 6, 2 ANCIEN PB</t>
  </si>
  <si>
    <t>485754431D88E5B3</t>
  </si>
  <si>
    <t>485754431D92CAB3</t>
  </si>
  <si>
    <t>485754431D962BB3</t>
  </si>
  <si>
    <t>RAB0000000215157</t>
  </si>
  <si>
    <t>SOULEYMANE OUEDRAOGO</t>
  </si>
  <si>
    <t>DIVO COMMERCE FACE DE LANCINNE GARS BG</t>
  </si>
  <si>
    <t>RAB0000000215269</t>
  </si>
  <si>
    <t>BLEU MASSOUO DEHAKADO S.</t>
  </si>
  <si>
    <t>DIVO VATICAN CITE BNET</t>
  </si>
  <si>
    <t>RAB0000000215155</t>
  </si>
  <si>
    <t>DIVO LIBREVILLE PORKODJO 1</t>
  </si>
  <si>
    <t>DBA01,PCO024,LONG 50M, BRIN 5, 1 ANCIEN PB</t>
  </si>
  <si>
    <t>DMI01,PCO045,LONG 400M, 2 ANCIENS PB , 4 NEW PM</t>
  </si>
  <si>
    <t>21/07/2025::: CLIENT INJOIGNABLE , 22/07/2025:: CLIENT TOUJOURS INJOIGNABLE, 23/07/2025:: DMI01,PCO049, LONG 500M, BRIN 5, 4 ANCIENS PTX</t>
  </si>
  <si>
    <t>23/07/2025:::DMI01,PCO083,LONG 500M, BRIN 1, 7 ANCIENS PTX, MANQUE DE CABLE DE 500M</t>
  </si>
  <si>
    <t xml:space="preserve">02/04/2025:Client KOUAKOU N'GUESSAN,RAB 0000000202121,est injoignable //11/02/2025:: DMI01,PCO039,BRIN3,50M,  PAS D'ELECTRICITE CHEZ LE CLIENT , IL DIT QU'IL NOUS REVIENS QUAND C'EST BON
</t>
  </si>
  <si>
    <t>485754431D9228B3</t>
  </si>
  <si>
    <t>485754431D8E44B3</t>
  </si>
  <si>
    <t>485754431D886AB3</t>
  </si>
  <si>
    <t>485754431D95FDB3</t>
  </si>
  <si>
    <t>485754431D8FD0B3</t>
  </si>
  <si>
    <t>485754431D93AFB3</t>
  </si>
  <si>
    <t>485754431D9421B3</t>
  </si>
  <si>
    <t>RAB0000000215368</t>
  </si>
  <si>
    <t>KOUADIO KOUAHO AMENI ARSENE</t>
  </si>
  <si>
    <t>RAB0000000215395</t>
  </si>
  <si>
    <t>TA BI TA KENNY ADOU STEPHANE</t>
  </si>
  <si>
    <t>DIVO VATICAN PORKODJO 2</t>
  </si>
  <si>
    <t>RAB0000000215384</t>
  </si>
  <si>
    <t>YEO QUIDOU</t>
  </si>
  <si>
    <t>DIVO KONANKRO CARREFOU ONU</t>
  </si>
  <si>
    <t>RAB0000000215304</t>
  </si>
  <si>
    <t>HANZEGNON ANTHONY CLAUVIS</t>
  </si>
  <si>
    <t>DIVO BADA IFI</t>
  </si>
  <si>
    <t>RAB0000000215352</t>
  </si>
  <si>
    <t>MALICK SEGA DEMBELE</t>
  </si>
  <si>
    <t>DIVO (PLATEAU)</t>
  </si>
  <si>
    <t>485754431D91F2B3</t>
  </si>
  <si>
    <t>485754431D9084B3</t>
  </si>
  <si>
    <t>485754431D90C1B3</t>
  </si>
  <si>
    <t>485754431D941DB3</t>
  </si>
  <si>
    <t>485754431D8B47B3</t>
  </si>
  <si>
    <t>485754431D888EB3</t>
  </si>
  <si>
    <t>RAB0000000215455</t>
  </si>
  <si>
    <t>YAO LOUKOU JEAN DIDIER MEDARD</t>
  </si>
  <si>
    <t>DIVO KONANKRO - TP (LYCEE 3)</t>
  </si>
  <si>
    <t>RAB0000000215442</t>
  </si>
  <si>
    <t>LEBE JEAN CYRILLE</t>
  </si>
  <si>
    <t>DIVO KONANKRO VATICAN</t>
  </si>
  <si>
    <t>24/07/2025</t>
  </si>
  <si>
    <t>25/07/2025</t>
  </si>
  <si>
    <t>26/07/2025:: DMI 01 ,PCO 076,BRIN 2,LONG CÂBLE 450 m,PM NEW 03 à implanter,PB 04</t>
  </si>
  <si>
    <t>26/07/2025:: DMI 01,PCO 043,BRIN 8,LONG CÂBLE 450 m,PM NEW 02 à implanter,PM déjà implanté: 01</t>
  </si>
  <si>
    <t>26/07/2025:: DBA 01,PCO 040,BRIN 8,LONG CÂBLE 500 m,</t>
  </si>
  <si>
    <t xml:space="preserve"> </t>
  </si>
  <si>
    <t>RAB0000000215696</t>
  </si>
  <si>
    <t>RAB0000000215674</t>
  </si>
  <si>
    <t>KOUADIO KOUASSI DESIRE</t>
  </si>
  <si>
    <t>DIVO VATICAN PRES DE MA CLINIQUE ZOE</t>
  </si>
  <si>
    <t>RAB0000000215535</t>
  </si>
  <si>
    <t>DIVO HOTEL IROKO</t>
  </si>
  <si>
    <t xml:space="preserve">31/05/2025:: Client: N'GUESSAN N'DRI JOSEPH,Le client est dans une zone ou il y'a risque d'électrocution,haute tension//26/07/2025:: DBA 01 ,PCO039,BRIN4,450M
</t>
  </si>
  <si>
    <t>26/07/2025:: DMI 01,PCO 092,BRIN 4,LONG CÂBLE 450 m,PM NEW 03 à implanter</t>
  </si>
  <si>
    <t>26/07/2025:: DBA01,PCO013,BRIN4,200M,PM NEW 01 à implanter</t>
  </si>
  <si>
    <t>DMI01_PCO091</t>
  </si>
  <si>
    <t xml:space="preserve">26/07/2025:: DMI 01,PCO 091,BRIN 1,LONG CÂBLE 350 m,PM NEW 02 à implanter </t>
  </si>
  <si>
    <t xml:space="preserve">31/05/2025:: Client: N'DRIN YAHOU CHARLES FREDERIC,Le client est dans une zone ou il y'a risque d'électrocution,haute tension//26/07/2025:: DMI 01 ,PCO 091,BRIN 2,LONG CÂBLE 300 m,PM NEW 05 à implanter
</t>
  </si>
  <si>
    <t xml:space="preserve">27/07/2025:: DMI 01,PCO077,BRIN2,450M,PM NEW 01à implanter </t>
  </si>
  <si>
    <t>485754431D9169B3</t>
  </si>
  <si>
    <t>485754431D90ECB3</t>
  </si>
  <si>
    <t>485754431D8BD1B3</t>
  </si>
  <si>
    <t>485754431D8D0FB3</t>
  </si>
  <si>
    <t>485754431D91FBB3</t>
  </si>
  <si>
    <t>485754431D88A2B3</t>
  </si>
  <si>
    <t>485754431D9354B3</t>
  </si>
  <si>
    <t>485754431D8ED6B3</t>
  </si>
  <si>
    <t>RAB0000000215851</t>
  </si>
  <si>
    <t>SOKO YVES ZAHI</t>
  </si>
  <si>
    <t>DIVO VATICAN NOKANA</t>
  </si>
  <si>
    <t>RAB0000000215817</t>
  </si>
  <si>
    <t>KOKO KASSI</t>
  </si>
  <si>
    <t>DIVO RUE DES RETRAITES</t>
  </si>
  <si>
    <t>29/07/2025::DMI01,PCO109, LONG 50M, BRIN 2, 1 ANCIEN PB</t>
  </si>
  <si>
    <t>485754431D8C61B3</t>
  </si>
  <si>
    <t>485754431D8999B3</t>
  </si>
  <si>
    <t>485754431D8DC4B3</t>
  </si>
  <si>
    <t>RAB0000000215865</t>
  </si>
  <si>
    <t>SAKO NIIZIE ZITA MARGUERITE</t>
  </si>
  <si>
    <t>DIVO KONANKRO ATOUKASSE</t>
  </si>
  <si>
    <t>30/07/2025:: DMI 01,PCO 076,BRIN 3,LONG CÂBLE 150 m,PM NEW 01 à implanter,PM déjà implanté: 01,PB 02</t>
  </si>
  <si>
    <t>30/07/2025:: DMI 01,PCO 034,BRIN 3,LONG CÂBLE 150 m</t>
  </si>
  <si>
    <t>485754431D92E8B3</t>
  </si>
  <si>
    <t>485754431D883BB3</t>
  </si>
  <si>
    <t>485754431D9517B3</t>
  </si>
  <si>
    <t>485754431D8B98B3</t>
  </si>
  <si>
    <t>485754431D8D9DB3</t>
  </si>
  <si>
    <t>RAB0000000216098</t>
  </si>
  <si>
    <t>KOFFI YAKOBI</t>
  </si>
  <si>
    <t>RAB0000000215887</t>
  </si>
  <si>
    <t>ZADI JEAN BAPTISTE</t>
  </si>
  <si>
    <t>RAB0000000216117</t>
  </si>
  <si>
    <t>KOUASSI N'DOUA SYLVAIN</t>
  </si>
  <si>
    <t>DIVO PLATEAU AGENCE CMU</t>
  </si>
  <si>
    <t>RAB0000000216029</t>
  </si>
  <si>
    <t>TOHE BA MICHEL</t>
  </si>
  <si>
    <t>RAB0000000215884</t>
  </si>
  <si>
    <t>AGBO VOLGAGE</t>
  </si>
  <si>
    <t>RAB0000000215986</t>
  </si>
  <si>
    <t xml:space="preserve">31/07/2025:: DBA 01, PCO 104,BRIN 5,LONG CÂBLE 150m
</t>
  </si>
  <si>
    <t>31/07/2025::  DBA 01, PCO036,BRIN 8,LONG CÂBLE 300m,PM NEW 02 à implanter</t>
  </si>
  <si>
    <t xml:space="preserve">31/07/2025:: DMI 01, PCO 102,BRIN 3,LONG CÂBLE 200m,PM NEW 01 à implanter </t>
  </si>
  <si>
    <t>DBA01_PCO026</t>
  </si>
  <si>
    <t>DMI01_PCO127</t>
  </si>
  <si>
    <t>RAB0000000216149</t>
  </si>
  <si>
    <t>KONAN HOLLYPHRI SANY CELEST</t>
  </si>
  <si>
    <t>RAB0000000216228</t>
  </si>
  <si>
    <t>N'GUESSAN KOUAME STEPHANE</t>
  </si>
  <si>
    <t>RAB0000000216205</t>
  </si>
  <si>
    <t>N'DRY N'DA AUDE CHARLENE</t>
  </si>
  <si>
    <t>01/08/20025:: DBA01,PCO015,BRIN6,250M,PM NEW 03 à implanter</t>
  </si>
  <si>
    <t>01/08/2025::DMI 01, PCO039,BRIN 2,LONG CÂBLE 200m,PM NEW 01 à implanter</t>
  </si>
  <si>
    <t>485754431D9569B3</t>
  </si>
  <si>
    <t>485754431D8BAEB3</t>
  </si>
  <si>
    <t>485754431D900EB3</t>
  </si>
  <si>
    <t>485754431D921CB3</t>
  </si>
  <si>
    <t>485754431D8892B3</t>
  </si>
  <si>
    <t>DDI01</t>
  </si>
  <si>
    <t>DDI01_PCO104</t>
  </si>
  <si>
    <t>DDI01_PCO106</t>
  </si>
  <si>
    <t>RAB0000000216357</t>
  </si>
  <si>
    <t>KOUAME AYA FLORE  EPSE VEI</t>
  </si>
  <si>
    <t>DIVO COMMERCE NON LOIN DE LA SOUS PREFECTURE</t>
  </si>
  <si>
    <t>RAB0000000216349</t>
  </si>
  <si>
    <t>KONE MARIAME</t>
  </si>
  <si>
    <t>DIVO DIOULABOUGOU PHARMACIE DE LA MAIRIE</t>
  </si>
  <si>
    <t>RAB0000000216317</t>
  </si>
  <si>
    <t>GROUPE MEDICO-CHIRURGICAL ARCHE DE ZOHE</t>
  </si>
  <si>
    <t>DIVO VATICAN ARCHE DE ZOHE</t>
  </si>
  <si>
    <t>RAB0000000216561</t>
  </si>
  <si>
    <t>GNONSON BOHIN KEAPOHET MELCHI</t>
  </si>
  <si>
    <t>DIVO MILLIONNAIRE DERRIERE L'HOTEL BOYA</t>
  </si>
  <si>
    <t>RAB0000000216482</t>
  </si>
  <si>
    <t>KONAN KOFFI ABRAHAM</t>
  </si>
  <si>
    <t>DIVO KONANKRO LYCEE MODERNE 3</t>
  </si>
  <si>
    <t>RAB0000000216416</t>
  </si>
  <si>
    <t>OUATTARA YELOUHOUYETA RAOUL RICHARD</t>
  </si>
  <si>
    <t>DIVO COMMANDANT DERRIERE LA KOKETTE</t>
  </si>
  <si>
    <t>RAB0000000216423</t>
  </si>
  <si>
    <t>DEMBELE DRAMANE</t>
  </si>
  <si>
    <t>RAB0000000216371</t>
  </si>
  <si>
    <t>ADJI DEPRI MOISE CARLOS</t>
  </si>
  <si>
    <t>RAB0000000216623</t>
  </si>
  <si>
    <t>KANTE KHADY</t>
  </si>
  <si>
    <t>RAB0000000215280</t>
  </si>
  <si>
    <t>CORCHER NDEDE JEAN PAUL</t>
  </si>
  <si>
    <t>Sans PCO</t>
  </si>
  <si>
    <t>RAB0000000216617</t>
  </si>
  <si>
    <t>BAHI FABIAN DE GNANDRE</t>
  </si>
  <si>
    <t>RAB0000000216779</t>
  </si>
  <si>
    <t>YEO NEMINGNON ISSA</t>
  </si>
  <si>
    <t>DIVO COMMERCE SOUS PREFECTURE</t>
  </si>
  <si>
    <t>RAB0000000215494</t>
  </si>
  <si>
    <t>BOUA ADOLPHE</t>
  </si>
  <si>
    <t>DIVO (BONDOUKOU RACINE)</t>
  </si>
  <si>
    <t>05/08/2025:: DMI 01,PCO 023,BRIN 4,LONG CÂBLE 100 m,1PB</t>
  </si>
  <si>
    <t>05/08/2025:: DMI 01,PCO 088,BRIN 3,LONG CÂBLE 450 m,5PB,1PM</t>
  </si>
  <si>
    <t>485754431D955AB3</t>
  </si>
  <si>
    <t>05/08/2025:: DBA 01,PCO018,BRIN2,200M,PB 2</t>
  </si>
  <si>
    <t>05/08/2025:: DBA01,PCO016,BRIN8,300M,3PB</t>
  </si>
  <si>
    <t>05/08/2025:: DBA01,PCO016,200M,2PB</t>
  </si>
  <si>
    <t>06/08/2025:: DBA 01,PCO 51,BRIN 02,LONG CÂBLE 100M,1PB</t>
  </si>
  <si>
    <t>06/08/2025:: DMI01,PCO79,BRIN1,LONG CÂBLE 50M,1PB</t>
  </si>
  <si>
    <t>06/08/2025:: DMI01,PCO49,BRIN6,LONG CÂBLE 150M,PM NEW 1,PB1</t>
  </si>
  <si>
    <t>06/08/2025::  DMI01,PCO008,BRIN2,LONG CÂBLE 200M,PM NEW 1,PB2</t>
  </si>
  <si>
    <t>06/08/2025::  DBA 01,PCO 115,LONG CÂBLE 200M,1PB,PM ANCIEN 2</t>
  </si>
  <si>
    <t>06/08/2025:: DBA 01,PCO085,BRIN 2,LONG CÂBLE 250M,PB 4</t>
  </si>
  <si>
    <t>06/08/2025:: DBA 01,PCO18,LONG CÂBLE 200M,2PB</t>
  </si>
  <si>
    <t>485754434232A0B1</t>
  </si>
  <si>
    <t>48575443422E38B1</t>
  </si>
  <si>
    <t>48575443423D99B1</t>
  </si>
  <si>
    <t>48575443422FD6B1</t>
  </si>
  <si>
    <t>485754434234AEB1</t>
  </si>
  <si>
    <t>48575443425472B1</t>
  </si>
  <si>
    <t>48575443422C9EB1</t>
  </si>
  <si>
    <t>485754431D887EB3</t>
  </si>
  <si>
    <t>48575443423A40B1</t>
  </si>
  <si>
    <t>485754434243A3B1</t>
  </si>
  <si>
    <t>485754431D933FB3</t>
  </si>
  <si>
    <t>RAB0000000217125</t>
  </si>
  <si>
    <t>KOMENAN KOMENAN BENJAMIN</t>
  </si>
  <si>
    <t>RAB0000000216797</t>
  </si>
  <si>
    <t>TCHOUMOU WILSON JEAN MICHEL HERMANN</t>
  </si>
  <si>
    <t>RAB0000000216800</t>
  </si>
  <si>
    <t>OBIA ANGE MICHEL</t>
  </si>
  <si>
    <t>RAB0000000216860</t>
  </si>
  <si>
    <t>TOHOURI GAHI LUCIEN</t>
  </si>
  <si>
    <t>DIVO BADA 2 EXTENSION</t>
  </si>
  <si>
    <t>RAB0000000217225</t>
  </si>
  <si>
    <t>GLADE LILIANE DESIRE</t>
  </si>
  <si>
    <t>DIVO MILIONNAIRE HOTEL BOYA</t>
  </si>
  <si>
    <t>RAB0000000216958</t>
  </si>
  <si>
    <t>BORO ISMAEL</t>
  </si>
  <si>
    <t>DIVO BELLE VILLE RUE DES RETRAITE</t>
  </si>
  <si>
    <t>RAB0000000216951</t>
  </si>
  <si>
    <t>DIE CHEIK CHARIFOU ANGE BAMBA</t>
  </si>
  <si>
    <t>DIVO VATICAN NOKANA BOBY</t>
  </si>
  <si>
    <t>08/08/2025:: DBA01,PCO100,BRIN6,500M,4 NEWS PM,4 ANCIENS PTX</t>
  </si>
  <si>
    <t>08/08/2025:: DMI01,PCO102,BRIN3,300M,2 NEWS,2PB</t>
  </si>
  <si>
    <t>08/08/2025:: DMI01,PCO049,BRIN07,400M,PM NEW 01,PB 04</t>
  </si>
  <si>
    <t>08/0/2025:: DMI01,PCO034,BRIN4,300M,2NEWSPM,3 ANCIENS PTX</t>
  </si>
  <si>
    <t>485754434244D4B1</t>
  </si>
  <si>
    <t>RAB0000000217386</t>
  </si>
  <si>
    <t>ABDALLA ABDELKHALEK</t>
  </si>
  <si>
    <t>DIVO MILLIONNAIRE NON LOIN DE BOYA</t>
  </si>
  <si>
    <t>RAB0000000217539</t>
  </si>
  <si>
    <t>YAO KOUAME WILFRIED SILVERE</t>
  </si>
  <si>
    <t>RAB0000000217378</t>
  </si>
  <si>
    <t>KOUASSI ZAHUI HERVE</t>
  </si>
  <si>
    <t>RAB0000000217486</t>
  </si>
  <si>
    <t>KONIN EPSE AKPOUE BONSON LEONIE N'GOUAN</t>
  </si>
  <si>
    <t>DIVO COMMERCE PRES DE SOCOCE</t>
  </si>
  <si>
    <t>RAB0000000217399</t>
  </si>
  <si>
    <t>LOGBO BOKE KEVIN</t>
  </si>
  <si>
    <t>RAB0000000217284</t>
  </si>
  <si>
    <t>KONAN AGOHI EULOGE</t>
  </si>
  <si>
    <t>DIVO JERUSALEEM DERRIERE L'ECOLE PRIMAIRE</t>
  </si>
  <si>
    <t>09/08/2025:: DBA01,PCO007,BRIN5,500M,6 NEWS PM</t>
  </si>
  <si>
    <t>09/08/2025:: DBA01,PCO002,BRIN8,300M6 ANCIENS PTX</t>
  </si>
  <si>
    <t>09/08/2025:: DMI01,PCO100,BRIN8,500M,6 NEWS PM</t>
  </si>
  <si>
    <t>09/08/2025:: DMI01,PCO085,BRIN3,150M,1 NEWS PM</t>
  </si>
  <si>
    <t>48575443420A24B1</t>
  </si>
  <si>
    <t>48575443421AEEB1</t>
  </si>
  <si>
    <t>485754434211FEB1</t>
  </si>
  <si>
    <t>4857544342076AB1</t>
  </si>
  <si>
    <t>48575443421381B1</t>
  </si>
  <si>
    <t>4857544342057BB1</t>
  </si>
  <si>
    <t>485754434214E1B1</t>
  </si>
  <si>
    <t>48575443420CEDB1</t>
  </si>
  <si>
    <t>48575443420484B1</t>
  </si>
  <si>
    <t>HUB00,</t>
  </si>
  <si>
    <t>10/08/2025::DMI01,PCO01, LONG 300M, BRIN 3, 6 ANCIENS PTX</t>
  </si>
  <si>
    <t>09/08/2025:: LE CLIENT NE RÉPOND PAS AUX  APPELS, 10/08/2025::DMI01,PCO007, LONG 250M, BRIN6,4 ANCIENS PB</t>
  </si>
  <si>
    <t>08/08/2025:: CLIENT INJOIGNABLE, 10/08/2025::DMI01,PCO012, LONG 400M, BRIN 5, 7 ANCIENS PTX</t>
  </si>
  <si>
    <t>4857544342085DB1</t>
  </si>
  <si>
    <t>48575443420939B1</t>
  </si>
  <si>
    <t>485754434201A4B1</t>
  </si>
  <si>
    <t>RAB0000000217719</t>
  </si>
  <si>
    <t>MEITE MAMADOU</t>
  </si>
  <si>
    <t>DIVO PLATEAU ECOLE PRIMAIRE</t>
  </si>
  <si>
    <t>RAB0000000217674</t>
  </si>
  <si>
    <t>TRAORE YACOUBA</t>
  </si>
  <si>
    <t>DIVO JERUSALEEM DISTRICT DE POLICE</t>
  </si>
  <si>
    <t>12/08/2025:: DBA01,PCO033,BRIN2,200M</t>
  </si>
  <si>
    <t>12/08/2025:: DBA01,PCO103,BRIN2,500M</t>
  </si>
  <si>
    <t>08/08/2025:: CLIENT INJOIGNABLE,12/08/2025:: DMI01,PCO1113,BRIN2,300M</t>
  </si>
  <si>
    <t>4857544342030FB1</t>
  </si>
  <si>
    <t>48575443420F4EB1</t>
  </si>
  <si>
    <t>RAB0000000217784</t>
  </si>
  <si>
    <t>LACINA COULIBALY</t>
  </si>
  <si>
    <t>RAB0000000217785</t>
  </si>
  <si>
    <t>KOUAME MOUSTAPHA N'DIAYE SIMPLICE</t>
  </si>
  <si>
    <t>RAB0000000217796</t>
  </si>
  <si>
    <t>KOUAME KOUAKOU MICHAEL ULRICH</t>
  </si>
  <si>
    <t>DIVO BELLE VILLE MAQUIS BOSS</t>
  </si>
  <si>
    <t>RAB0000000217890</t>
  </si>
  <si>
    <t>TRAORE IIBRAHIM KALIL</t>
  </si>
  <si>
    <t>DIVO ZANBLANBOUGOU</t>
  </si>
  <si>
    <t>RAB0000000217920</t>
  </si>
  <si>
    <t>AMIA BONI LEON</t>
  </si>
  <si>
    <t>13/08/2025:: DMI01,PCO077,BRIN3,150M,2PB</t>
  </si>
  <si>
    <t>13/08/2025:: DMI01,PCO070,BRIN3,100M,1PB</t>
  </si>
  <si>
    <t>13/08/2025:: DMI01,PCO012,BRIN6,500M,3PB,5 NEWS PM</t>
  </si>
  <si>
    <t>13/08/2025:: DMI01,PCO113,BRIN3,150M,2 PTX</t>
  </si>
  <si>
    <t>485754431D92C4B3</t>
  </si>
  <si>
    <t>48575443421045B1</t>
  </si>
  <si>
    <t>485754431D92C0B3</t>
  </si>
  <si>
    <t>485754434204F8B1</t>
  </si>
  <si>
    <t>485754431D8EB0B3</t>
  </si>
  <si>
    <t>4857544342191CB1</t>
  </si>
  <si>
    <t>LE CLIENT A ÉTÉ RECRUTE, HORS ZONE FTTH</t>
  </si>
  <si>
    <t>DMI01,PCO043,LONG200M , 1 ANCIEN PB, 1 NEW PM BRIN 4 /04/04/2025: Le local où l'installation doit être faite est en travaux pour le client : DOH N'GORAN ATTOKPA KOFFI GUSTAVE//27/06/2025::le client as pris rendez vous le 11/07/2025</t>
  </si>
  <si>
    <t>5.244252,.3899939</t>
  </si>
  <si>
    <t>Etude non réalisée</t>
  </si>
  <si>
    <t>06/07/2025:: CLIENT HORS ZONE</t>
  </si>
  <si>
    <t>31/07/2025:: DMI01,PCO103,PCO SATURE //01/08/2025:: DESAT AVEC LE PCO127</t>
  </si>
  <si>
    <t>06/08/2025:: DMI01,PCO071,BRIN3,LONG CÂBLE 300M,PM NEW 2,PB2</t>
  </si>
  <si>
    <t>13/08/2025:: DBA01,PCO078,BRIN8,200M,1PB,PM ANCIEN 2</t>
  </si>
  <si>
    <t>RAB0000000218000</t>
  </si>
  <si>
    <t>BROU KOUAME JEAN MARTIAL</t>
  </si>
  <si>
    <t>RAB0000000218065</t>
  </si>
  <si>
    <t>DAGO ZADRO COLLETTE</t>
  </si>
  <si>
    <t>RAB0000000218087</t>
  </si>
  <si>
    <t>RAB0000000218138</t>
  </si>
  <si>
    <t>DIVO COMMERCE RUE BON PRIX</t>
  </si>
  <si>
    <t>RAB0000000218084</t>
  </si>
  <si>
    <t>DIABATE SOULEYMANE</t>
  </si>
  <si>
    <t>13/08/2025</t>
  </si>
  <si>
    <t>15/08/2025</t>
  </si>
  <si>
    <t>15/08/2025:::DBA01,PCO017,LONG 200M,BRIN5,2ANCIENS PB</t>
  </si>
  <si>
    <t>15/08/2025:::DMI01,PCO081,LONG 600M, BRIN 4,2 ANCIENS PB, 3 ANCIENS PM , 5 NEW PM</t>
  </si>
  <si>
    <t>485754431D8FA5B3</t>
  </si>
  <si>
    <t>48575443420521B1</t>
  </si>
  <si>
    <t>14/08/2025:: LE CLIENT EST INJOIGNABLE/18/08/2025:: DBA01,PCO045,400M,3 NEWS,PB 4</t>
  </si>
  <si>
    <t>485754434211ECB1</t>
  </si>
  <si>
    <t>RAB0000000218591</t>
  </si>
  <si>
    <t>SOUMAHORO IBRAHIMA</t>
  </si>
  <si>
    <t>RAB0000000218592</t>
  </si>
  <si>
    <t>BAYILI BASSOLE FERNAND</t>
  </si>
  <si>
    <t>20/08/2025:: DMI01,PCO049,BRIN8,400M</t>
  </si>
  <si>
    <t>20/08/2025:: DMI01,PCO102,BRIN4,300M</t>
  </si>
  <si>
    <t>485754431D8E6EB3</t>
  </si>
  <si>
    <t>48575443420E4FB1</t>
  </si>
  <si>
    <t>DMI01_PCO125</t>
  </si>
  <si>
    <t>DMI01_PCO108</t>
  </si>
  <si>
    <t>LE CLIENT A ÉTÉ RECRUTE, HORS ZONE FTTH/22/08/2025:: DESATURATION DE PCO</t>
  </si>
  <si>
    <t>DMI01_PCO128</t>
  </si>
  <si>
    <t>DBA01_PCO027</t>
  </si>
  <si>
    <t>HORS ZONE PCO SATURE,22/08/2025:: DESATURATION PCO</t>
  </si>
  <si>
    <t>RAB0000000218957</t>
  </si>
  <si>
    <t>KOITA YACOUBA</t>
  </si>
  <si>
    <t>20/08/2025</t>
  </si>
  <si>
    <t>22/08/2025</t>
  </si>
  <si>
    <t>RAB0000000219080</t>
  </si>
  <si>
    <t>DEMBELE FOUSSENI</t>
  </si>
  <si>
    <t>DIVO DIOULABOUGOU AGENCE WAVE</t>
  </si>
  <si>
    <t>21/08/2025</t>
  </si>
  <si>
    <t>RAB0000000219096</t>
  </si>
  <si>
    <t>DRISSA BIBATA</t>
  </si>
  <si>
    <t>RAB0000000218794</t>
  </si>
  <si>
    <t>DAGO DIDO PACOME</t>
  </si>
  <si>
    <t>DIVO VATICAN CMA</t>
  </si>
  <si>
    <t>18/08/2025</t>
  </si>
  <si>
    <t>RAB0000000218807</t>
  </si>
  <si>
    <t>YOUL ERY HORTENSE</t>
  </si>
  <si>
    <t>RAB0000000218779</t>
  </si>
  <si>
    <t>KHATTAR FAWAZ ALI</t>
  </si>
  <si>
    <t>RAB0000000218837</t>
  </si>
  <si>
    <t>KHONTE LASSANA</t>
  </si>
  <si>
    <t>RAB0000000218806</t>
  </si>
  <si>
    <t>BADO JEAN BAPTISTE</t>
  </si>
  <si>
    <t>DIVO GARE D'HIRE</t>
  </si>
  <si>
    <t>22/08/2025:: DBA01,PCO17,BRIN6,200M,1 NEWS PM</t>
  </si>
  <si>
    <t>22/08/2025:: DBA01,PCO17,BRIN7,300M,3 NEWS PM</t>
  </si>
  <si>
    <t>22/08/2025:: DMI01,PCO071,150M,1 NEWS PM</t>
  </si>
  <si>
    <t>DBA01_PCO055</t>
  </si>
  <si>
    <t>22/08/2025::  DBA01,PCO055,BRIN01,100M</t>
  </si>
  <si>
    <t>22/08/2025:: DMI01,PCO007,200M,2 NEWS PM</t>
  </si>
  <si>
    <t>22/08/2025:: DBA01,PCO071,BRIN5,100M</t>
  </si>
  <si>
    <t>485754431D8B9DB3</t>
  </si>
  <si>
    <t>485754431D891FB3</t>
  </si>
  <si>
    <t>485754431D953FB3</t>
  </si>
  <si>
    <t>485754431D953CB3</t>
  </si>
  <si>
    <t>485754431D88B9B3</t>
  </si>
  <si>
    <t>485754431D8821B3</t>
  </si>
  <si>
    <t>RAB0000000199834</t>
  </si>
  <si>
    <t>RAB0000000217886</t>
  </si>
  <si>
    <t>LOKROU NIBLE ANATOLE</t>
  </si>
  <si>
    <t>DIVO PLATEAU AMAHOYE</t>
  </si>
  <si>
    <t>RAB0000000218220</t>
  </si>
  <si>
    <t>SIMAGA HATOUMA</t>
  </si>
  <si>
    <t>DIVO ZAMAMBOUGOU</t>
  </si>
  <si>
    <t>24/08/2025:: DBA01,PCO035,BRIN7,350M</t>
  </si>
  <si>
    <t>24/08/2025:: DBA01,PCO086,BRIN05,2 NEWS PM</t>
  </si>
  <si>
    <t>485754431D922AB3</t>
  </si>
  <si>
    <t>485754431D870FB3</t>
  </si>
  <si>
    <t>24/08/2025:: CLIENT REPONDS PAS AUX APPELS/25/08/2025: DMI01,PCO092,BRIN5,150M</t>
  </si>
  <si>
    <t>485754431D875AB3</t>
  </si>
  <si>
    <t>DBA01_PCO025</t>
  </si>
  <si>
    <t>485754431D8FA0B3</t>
  </si>
  <si>
    <t>26/08/2025:::DBA01,PCO025,LONG300M,BRIN 01, 4 ANCIENS PB</t>
  </si>
  <si>
    <t>25/08/2025</t>
  </si>
  <si>
    <t>26/08/2025</t>
  </si>
  <si>
    <t>RAB0000000219467</t>
  </si>
  <si>
    <t>EHOULE ANDOH JEAN PAUL</t>
  </si>
  <si>
    <t>DIVO KONANKRO ONU</t>
  </si>
  <si>
    <t>RAB0000000219427</t>
  </si>
  <si>
    <t>COULIBALY SARHA VALERIE</t>
  </si>
  <si>
    <t>RAB0000000219443</t>
  </si>
  <si>
    <t>TOURE BAMORI</t>
  </si>
  <si>
    <t>26/08/2025:: DBA01,PCO071,LONG150M,BRIN6, 2 ANCIENS PB</t>
  </si>
  <si>
    <t>26/08/2025:: DBA01,PCO019,BRIN8,200M,1 NEWS PM,PB2</t>
  </si>
  <si>
    <t>26/08/2025:: le client est hors zone</t>
  </si>
  <si>
    <t>485754431D952AB3</t>
  </si>
  <si>
    <t>485754431D9281B3</t>
  </si>
  <si>
    <t>4857544357328CAF</t>
  </si>
  <si>
    <t>RAB0000000219617</t>
  </si>
  <si>
    <t>TINET DESIRE LE ROI</t>
  </si>
  <si>
    <t>RAB0000000219710</t>
  </si>
  <si>
    <t>COULIBALY BARAKISSA</t>
  </si>
  <si>
    <t>RAB0000000219600</t>
  </si>
  <si>
    <t>OKOBE OKOBE HYCINTHE DESIRE</t>
  </si>
  <si>
    <t>DIVO MILLIONNAIRE TERRAIN</t>
  </si>
  <si>
    <t>28/08/2025:: DBA01,PCO051,BRIN3,150M</t>
  </si>
  <si>
    <t>28/08/2025:: DMI01,PCO080,BRIN1,50M</t>
  </si>
  <si>
    <t>DMI01_PCO080</t>
  </si>
  <si>
    <t>485754431D9521B3</t>
  </si>
  <si>
    <t>485754431D8841B3</t>
  </si>
  <si>
    <t>485754431D8B12B3</t>
  </si>
  <si>
    <t>RAB0000000200468</t>
  </si>
  <si>
    <t>485754431D9345B3</t>
  </si>
  <si>
    <t>DBA_PCO063</t>
  </si>
  <si>
    <t>27/08/2025::: DBA01,PCO063,LONG 300M, BRIN 2</t>
  </si>
  <si>
    <t>27/08/2025::: DBA01,PCO063,LONG 300M, BRIN 1</t>
  </si>
  <si>
    <t>RAB0000000219728</t>
  </si>
  <si>
    <t>KAMANAN AHISSIA GISELE EPSE LECADOU</t>
  </si>
  <si>
    <t>RAB0000000219786</t>
  </si>
  <si>
    <t>TAPSOBA BARTHELEMY</t>
  </si>
  <si>
    <t>RAB0000000219805</t>
  </si>
  <si>
    <t>ATTOKPA KOUASSI JOSEPH</t>
  </si>
  <si>
    <t>DIVO BADA HOTEL IKO</t>
  </si>
  <si>
    <t>DBA01_PCO063</t>
  </si>
  <si>
    <t>28/08/2025:: DMI01,PCO092,BRIN5,250M,PM NEW 1,2PB</t>
  </si>
  <si>
    <t>28/08/2025::   DMI01,PCO017,BRIN1,200M,PM NEW 1,2PB</t>
  </si>
  <si>
    <t>28/08/2025::   DBA01,PCO025,LONG 250M, BRIN 2</t>
  </si>
  <si>
    <t>48575443420AE1B1</t>
  </si>
  <si>
    <t>4857544342101FB1</t>
  </si>
  <si>
    <t>485754434204FBB1</t>
  </si>
  <si>
    <t>DBA01_PCO062</t>
  </si>
  <si>
    <t>DBA01_PCO064</t>
  </si>
  <si>
    <t>48575443420825B1</t>
  </si>
  <si>
    <t>485754434218CAB1</t>
  </si>
  <si>
    <t>PCO Saturé</t>
  </si>
  <si>
    <t>28/08/2025:: LES PCO LES PLUS PROCHE SONT SATURÉ</t>
  </si>
  <si>
    <t>48575443421048B1</t>
  </si>
  <si>
    <t>HORS ZONE PCO SATURE,22/08/2025:: DESATURATION PCO 29/08/2025::: DBA01,PCO025,BRIN 3, LONG 300M</t>
  </si>
  <si>
    <t>RAB0000000220047</t>
  </si>
  <si>
    <t>BOTY KOUEKI THERESE</t>
  </si>
  <si>
    <t>RAB0000000219990</t>
  </si>
  <si>
    <t>GBOCHO YAPO DESIRE</t>
  </si>
  <si>
    <t>RAB0000000220027</t>
  </si>
  <si>
    <t>ORO HERVE</t>
  </si>
  <si>
    <t>DIVO PLATEAU AMAOYE</t>
  </si>
  <si>
    <t>RAB0000000220080</t>
  </si>
  <si>
    <t>KOUDOU GNAGBO SEBASTIEN</t>
  </si>
  <si>
    <t>DIVO PLATEAU RHDP</t>
  </si>
  <si>
    <t>RAB0000000220026</t>
  </si>
  <si>
    <t>DIBI KADJO MICHEL</t>
  </si>
  <si>
    <t>DIVO KONANKRO BELLE VILLE</t>
  </si>
  <si>
    <t>28/08/2025</t>
  </si>
  <si>
    <t>30/08/2025</t>
  </si>
  <si>
    <t>29/08/2025</t>
  </si>
  <si>
    <t>31/08/2025::::DBA01,PCO062,LONG 300M, BRIN , 3 ANCIENS PB, 2 ANCIENS PM</t>
  </si>
  <si>
    <t>31/08/2025:::DMI01,PCO078,BRIN2,LONG400M,3 ANCIENS PB, 3 NEW PM</t>
  </si>
  <si>
    <t>37/08/2025:::DMI01,PCO099, LONG 400M,BRIN 7,3 ANCIESN PTX,2 NEW PM</t>
  </si>
  <si>
    <t>31/08/2025:::CLIENT HORS ZONE</t>
  </si>
  <si>
    <t>31/09/2025:::DBA01,PCO034,LONG200M,BRIN7,3 ANCIENS PB</t>
  </si>
  <si>
    <t>485754434218EDB1</t>
  </si>
  <si>
    <t>48575443420834B1</t>
  </si>
  <si>
    <t>48575443421962B1</t>
  </si>
  <si>
    <t>48575443420A0CB1</t>
  </si>
  <si>
    <t>LE CLIENT OUEDRAOGO YACOUBA EST HORS ZONE,IMMEUBLE,DEPLOIEMENT 2025</t>
  </si>
  <si>
    <t>21/03/2025 : Client DIAWARA AMEDY,RAB 0000000201194,( ANCIENNE GARE UTB ),HORS ZONE,29/06/2025:: CLIENT INJOIGNABLE,DEPLOIEMENT 2025</t>
  </si>
  <si>
    <t>RAB0000000220417</t>
  </si>
  <si>
    <t>OSSOHOU YAPI ULRICH DELMAS</t>
  </si>
  <si>
    <t>DIVO VATICAN NOKANAN BOBI</t>
  </si>
  <si>
    <t>RAB0000000220351</t>
  </si>
  <si>
    <t>PALE OLLO MICHEL</t>
  </si>
  <si>
    <t>Hors zone couverture sous plaque</t>
  </si>
  <si>
    <t>03/09/2025:: DBA01,PCO016 PROCHE SATURÉ</t>
  </si>
  <si>
    <t>DMI01_PCO112</t>
  </si>
  <si>
    <t xml:space="preserve">03/09/2025:: DMI01,PCO112,BRIN01,300M,3 NEWS PM </t>
  </si>
  <si>
    <t>RAB0000000220452</t>
  </si>
  <si>
    <t>SIAKA KOBEHI ALEXIS CLAVERS</t>
  </si>
  <si>
    <t>RAB0000000220455</t>
  </si>
  <si>
    <t>BOUKE GNONHANNOUIN ANASTHASIE VALAIRE</t>
  </si>
  <si>
    <t>03/09/2025:: DMI01,PCO083,BRIN3,450M</t>
  </si>
  <si>
    <t>03/09/2025:: DMI01,PCO099,BRIN8,250M</t>
  </si>
  <si>
    <t>485754434203C5B1</t>
  </si>
  <si>
    <t>485754434210F1B1</t>
  </si>
  <si>
    <t>4857544342052BB1</t>
  </si>
  <si>
    <t>Problème riverain</t>
  </si>
  <si>
    <t>RAB0000000220497</t>
  </si>
  <si>
    <t>TOH DONELY MARYLINE</t>
  </si>
  <si>
    <t>DIVO VATICAN EN FACE DE L'EGLISE CEMA</t>
  </si>
  <si>
    <t>RAB0000000220488</t>
  </si>
  <si>
    <t>BEKROU OTCHEADA LAURE CONSTANCE</t>
  </si>
  <si>
    <t>05/09/2025 ::DMI01,PCO088,BRIN4,200M</t>
  </si>
  <si>
    <t>05/09/2025:: DMI01,PCO102,BRIN05,500M</t>
  </si>
  <si>
    <t>4857544342132DB1</t>
  </si>
  <si>
    <t>485754434215FFB1</t>
  </si>
  <si>
    <t>RAB0000000220856</t>
  </si>
  <si>
    <t>SIDIBE LAMINE</t>
  </si>
  <si>
    <t>DIVO ZANMANBOUGOU MOSQUEE</t>
  </si>
  <si>
    <t>RAB0000000220726</t>
  </si>
  <si>
    <t>KOFFI N'DRI CHRISTIANE</t>
  </si>
  <si>
    <t>RAB0000000220899</t>
  </si>
  <si>
    <t>EPONOU HERVE STEPHANE</t>
  </si>
  <si>
    <t>DIVO KONANKRO PEAGE</t>
  </si>
  <si>
    <t>RAB0000000220934</t>
  </si>
  <si>
    <t>DOBRE DAHION ANDREA LAURENCE</t>
  </si>
  <si>
    <t>06/09/2025:: DMI01,PCO078,200M,BRIN3</t>
  </si>
  <si>
    <t>06/09/2025::  DBA01,PCO086,BRIN6,400M,3 NEWS PM</t>
  </si>
  <si>
    <t>Indisponibilité de PON</t>
  </si>
  <si>
    <t>48575443421418B1</t>
  </si>
  <si>
    <t>485754434208FBB1</t>
  </si>
  <si>
    <t>RAB0000000221346</t>
  </si>
  <si>
    <t>YVETTE CLAIRE IBO</t>
  </si>
  <si>
    <t>RAB0000000221306</t>
  </si>
  <si>
    <t>DIVO MILLIONAIRE TERRAIN</t>
  </si>
  <si>
    <t>RAB0000000221347</t>
  </si>
  <si>
    <t>HORI SATCHI FERNAND VICTORIA</t>
  </si>
  <si>
    <t>DIVO PLATEAU SODECI</t>
  </si>
  <si>
    <t>10/09/2025:: DMI01,PCO076,400M,PM NEW 2</t>
  </si>
  <si>
    <t>10/09/2025:: DBA01,PCO062,5 NEWS PM,500M,BRIN3</t>
  </si>
  <si>
    <t>RAB0000000221440</t>
  </si>
  <si>
    <t>KONE ZOUMANA</t>
  </si>
  <si>
    <t>DIVO LIBANAIS TRS</t>
  </si>
  <si>
    <t>RAB0000000221488</t>
  </si>
  <si>
    <t>GOUAMENE ASTRID FANNY</t>
  </si>
  <si>
    <t>DIVO PLATEAU DERRIERE LE STADE MUNICIPALE</t>
  </si>
  <si>
    <t>RAB0000000221442</t>
  </si>
  <si>
    <t>AMOAKON GNANGOUAN MADELEINE</t>
  </si>
  <si>
    <t>RAB0000000221518</t>
  </si>
  <si>
    <t>GOUAMENE FANNY MARIA ASTRID</t>
  </si>
  <si>
    <t>DIVO PLATEAU HOTEL KOUYO</t>
  </si>
  <si>
    <t>48575443421940B1</t>
  </si>
  <si>
    <t>485754434206FFB1</t>
  </si>
  <si>
    <t>RAB0000000221674</t>
  </si>
  <si>
    <t>KOMENAN KACOU MEH RAYMOND YVES CESAR</t>
  </si>
  <si>
    <t>DIVO VATICAN NOKONA BOBI</t>
  </si>
  <si>
    <t>RAB0000000221628</t>
  </si>
  <si>
    <t>SIDIBE SOULEYMANE</t>
  </si>
  <si>
    <t>DIVO ZAMANMANBOUGOYU</t>
  </si>
  <si>
    <t>11/09/2025::  DBA01,PCO063,300M,3 NEWS PM</t>
  </si>
  <si>
    <t>11/09/2025::  DBA01,PCO045,BRIN4,500M,2 NEWS PM,3 ANCIENS PM</t>
  </si>
  <si>
    <t>11/09/2025::  DBA01,PCO104,BRIN6,300M,2 NEWS PM</t>
  </si>
  <si>
    <t>11/09/2025:: DMI01,PCO097,BRIN3,100M,2PB</t>
  </si>
  <si>
    <t>11/09/2025:: DBA01,PCO086,BRIN7,1 NEWS PM,</t>
  </si>
  <si>
    <t>4857544342183CB1</t>
  </si>
  <si>
    <t>48575443420A18B1</t>
  </si>
  <si>
    <t>48575443421138B1</t>
  </si>
  <si>
    <t>48575443421B15B1</t>
  </si>
  <si>
    <t>4857544342029EB1</t>
  </si>
  <si>
    <t>RAB0000000221782</t>
  </si>
  <si>
    <t>KINDO MOUSSA</t>
  </si>
  <si>
    <t>DIVO BADA NON LOIN DE L'AGENCE MTN</t>
  </si>
  <si>
    <t>RAB0000000221696</t>
  </si>
  <si>
    <t>RAB0000000221761</t>
  </si>
  <si>
    <t>SOUDET OUOMBLEGNON MARCELLIN</t>
  </si>
  <si>
    <t>12/09/2025::  DMI01,PCO022,300M,3 ANCIENS PB</t>
  </si>
  <si>
    <t>12/09/2025::  DBA01,PCO020,300M,BRIN4,5PB</t>
  </si>
  <si>
    <t>12/09/2025:: DMI01,PCO046,BRIN4,300M,2NEWS PM,PM ANCIEN 01,3PB</t>
  </si>
  <si>
    <t>48575443420519B1</t>
  </si>
  <si>
    <t>4857544342124DB1</t>
  </si>
  <si>
    <t>48575443420579B1</t>
  </si>
  <si>
    <t>RAB0000000221874</t>
  </si>
  <si>
    <t>YAMEOGO AMENAN KOUASSI</t>
  </si>
  <si>
    <t>DIVO BADA NON LOIN DU CAMP CRS</t>
  </si>
  <si>
    <t>RAB0000000221875</t>
  </si>
  <si>
    <t>N'GUESSAN YAO JEAN BERBARD</t>
  </si>
  <si>
    <t>RAB0000000221946</t>
  </si>
  <si>
    <t>CISSE MOHAMED SEKOU</t>
  </si>
  <si>
    <t>DIVO-LEGBREVILLE</t>
  </si>
  <si>
    <t>RAB0000000222060</t>
  </si>
  <si>
    <t>EPILA NIAMKE FERNAND</t>
  </si>
  <si>
    <t>15/09/2025:: DBA01,PCO104,400M,BRIN6,2 NEWS PM</t>
  </si>
  <si>
    <t>CLIENT INJOIGNABLE /16/09/2025:: DBA01,PCO051,250M,2 NEWS PM,BRIN04</t>
  </si>
  <si>
    <t>Le client ne décroche pas</t>
  </si>
  <si>
    <t>16/09/2025:: DBA01,PCO045,BRIN4,100M</t>
  </si>
  <si>
    <t>485754434212B1B1</t>
  </si>
  <si>
    <t>48575443421287B1</t>
  </si>
  <si>
    <t>485754434210F3B1</t>
  </si>
  <si>
    <t>BLAnc</t>
  </si>
  <si>
    <t>CLIENT RECRUTE HORS ZONE FTTH//18/09/2025:: DBA01,PCO074,BRIN2,50M</t>
  </si>
  <si>
    <t>48575443420742B1</t>
  </si>
  <si>
    <t>RAB0000000222513</t>
  </si>
  <si>
    <t>SOW ABDOURAHMANE</t>
  </si>
  <si>
    <t>DIVO DIALOGUE 2</t>
  </si>
  <si>
    <t>RAB0000000222499</t>
  </si>
  <si>
    <t>DAH ZEINY</t>
  </si>
  <si>
    <t>RAB0000000222503</t>
  </si>
  <si>
    <t>KONAN KOUADIO BRUNO</t>
  </si>
  <si>
    <t>DIVO DIALOGUE 1</t>
  </si>
  <si>
    <t>RAB0000000222511</t>
  </si>
  <si>
    <t>TOURE MAIMOUNA</t>
  </si>
  <si>
    <t>DIVO ZAMMANBOUGOU</t>
  </si>
  <si>
    <t>RAB0000000222502</t>
  </si>
  <si>
    <t>DOHOU KOUAME ALEX</t>
  </si>
  <si>
    <t>RAB0000000222505</t>
  </si>
  <si>
    <t>KOUAME AFFOUE MARIE LOUISE</t>
  </si>
  <si>
    <t>DIVO COMMERCE CONSTRUCTION</t>
  </si>
  <si>
    <t>RAB0000000222512</t>
  </si>
  <si>
    <t>YAO KOUASSI ANICET</t>
  </si>
  <si>
    <t>RAB0000000222501</t>
  </si>
  <si>
    <t>DIOMANDE AMARA</t>
  </si>
  <si>
    <t>RAB0000000222504</t>
  </si>
  <si>
    <t>KOUABENA SALOMON</t>
  </si>
  <si>
    <t>DIVO KANANKRO ONU</t>
  </si>
  <si>
    <t>RAB0000000222506</t>
  </si>
  <si>
    <t>OUATTARA SOULEYMANE</t>
  </si>
  <si>
    <t>DIVO JERUSALEEM HOTEL ASSOUBA</t>
  </si>
  <si>
    <t>RAB0000000222508</t>
  </si>
  <si>
    <t>OYETUNDE SAKY BENJAMIN</t>
  </si>
  <si>
    <t>RAB0000000222507</t>
  </si>
  <si>
    <t>OUATTARA AMI</t>
  </si>
  <si>
    <t>RAB0000000222509</t>
  </si>
  <si>
    <t>SORO DOTANA AROUNA</t>
  </si>
  <si>
    <t>RAB0000000222510</t>
  </si>
  <si>
    <t>IBRAHIMA SORY KEITA</t>
  </si>
  <si>
    <t>DIVO DIALOGUE 2 PETIT PARCHE</t>
  </si>
  <si>
    <t>RAB0000000222500</t>
  </si>
  <si>
    <t>DEMBELE MAMADOU</t>
  </si>
  <si>
    <t>DIVO DIOULABOU PRES DE AHOUKOUA</t>
  </si>
  <si>
    <t>19/09/2025:: DMI01,PCO042,BRIN3,150M</t>
  </si>
  <si>
    <t>19/09/2025:: DBA01,PCO054,BRIN2,100M,2PB</t>
  </si>
  <si>
    <t>19/09/2025: DBA01,PCO104,BRIN8,250M,1 NEWS</t>
  </si>
  <si>
    <t>DDI01_PCO003</t>
  </si>
  <si>
    <t>19/09/2025:: DD01,PCO003,BRN01,250M,PB 03</t>
  </si>
  <si>
    <t>DDI01_PCO006</t>
  </si>
  <si>
    <t>19/09/2025:: DD01,PCO006,BRIN1,250M</t>
  </si>
  <si>
    <t>DDI01_PCO001</t>
  </si>
  <si>
    <t>19/09/2025:: DDI01,PCO001,BRIN1,100M</t>
  </si>
  <si>
    <t>19/09/2025:: DDI01,PCO001,BRIN2,250M</t>
  </si>
  <si>
    <t>09/09/2025:: CLIENT HORS ZONE</t>
  </si>
  <si>
    <t>19/09/2025:: DDI01,PCO001,BRIN3,200M</t>
  </si>
  <si>
    <t>4857544342193DB1</t>
  </si>
  <si>
    <t>48575443420AA4B1</t>
  </si>
  <si>
    <t>48575443421933B1</t>
  </si>
  <si>
    <t>48575443420C0BB1</t>
  </si>
  <si>
    <t>4857544342149AB1</t>
  </si>
  <si>
    <t>48575443420863B1</t>
  </si>
  <si>
    <t>RAB0000000222930</t>
  </si>
  <si>
    <t>GNONZIBO ALBERT</t>
  </si>
  <si>
    <t>DIVO VATICAN ECOLE NOKANA BOBI</t>
  </si>
  <si>
    <t>RAB0000000222917</t>
  </si>
  <si>
    <t>GNAHOUA GNAHOUA PHILEMON BERTE</t>
  </si>
  <si>
    <t>RAB0000000222911</t>
  </si>
  <si>
    <t>SAMOURA MAHAMADOU</t>
  </si>
  <si>
    <t>DIVO ZAMANBOUGOU MOSQUEE</t>
  </si>
  <si>
    <t>RAB0000000223000</t>
  </si>
  <si>
    <t>OZOUKOU DIEUDONNE</t>
  </si>
  <si>
    <t>18/09/2025</t>
  </si>
  <si>
    <t>20/09/2025</t>
  </si>
  <si>
    <t>19/09/2025</t>
  </si>
  <si>
    <t>20/09/2025::  DMI01,PCO098,200M,BRIN2</t>
  </si>
  <si>
    <t>19/09/2025:: DD01,PCO001,BRIN4,200M,1 NEWS PM</t>
  </si>
  <si>
    <t>20/09/2025:: DMI01,PCO099,PCO SATURE</t>
  </si>
  <si>
    <t>20/09/2025:: DBA01,PCO064,BRIN3,150M,1 NEWS PM</t>
  </si>
  <si>
    <t>20/09/2025::  DBA01,PCO077,BRIN2,200M</t>
  </si>
  <si>
    <t>DBA01_PCO089</t>
  </si>
  <si>
    <t>19/09/2025:: LE CLIENT EST INJOIGNABLE/20/09/2025:: DBA01,PCO089,BRIN1,150M</t>
  </si>
  <si>
    <t>48575443420628B1</t>
  </si>
  <si>
    <t>DBA01_PCO028</t>
  </si>
  <si>
    <t>06/08/2025:: Client KONAN KOFFI ABRAHAM,PCO 44 le plus proche saturé,/22/09/2025:: DBA01,PCO028,BRIN01,350M</t>
  </si>
  <si>
    <t>19/09/2025:: DBA01,PCO062,350M,BRIN4,4 NEWS PM</t>
  </si>
  <si>
    <t>22/08/2025:: PCO A DESATURE/22/09/2025:: DBA01,PCO026,BRIN02,250M</t>
  </si>
  <si>
    <t>48575443420A0FB1</t>
  </si>
  <si>
    <t>485754434206B7B1</t>
  </si>
  <si>
    <t>19/09/2025:: CLIENT : KOUAMÉ AFFOU MARIE LOUISE ,PCO044 SATURE ,DBA01,PCO026,LONG350M,BRIN 1</t>
  </si>
  <si>
    <t>485754434212B7B1</t>
  </si>
  <si>
    <t>48575443420237B1</t>
  </si>
  <si>
    <t>4857544342199EB1</t>
  </si>
  <si>
    <t>485754434212D2B1</t>
  </si>
  <si>
    <t>RAB0000000223152</t>
  </si>
  <si>
    <t>BA OUSMANE AMADOU</t>
  </si>
  <si>
    <t>RAB0000000223184</t>
  </si>
  <si>
    <t>GUEU JOEL</t>
  </si>
  <si>
    <t>DIVO NON LOIN DE LA STATION SCHELL</t>
  </si>
  <si>
    <t>RAB0000000223330</t>
  </si>
  <si>
    <t>TRAORE MAWA</t>
  </si>
  <si>
    <t>DIVO RESIDENTIEL GARAGE ESPOIR</t>
  </si>
  <si>
    <t>RAB0000000223189</t>
  </si>
  <si>
    <t>DIAKITE OUSMANE</t>
  </si>
  <si>
    <t>RAB0000000223249</t>
  </si>
  <si>
    <t>ZHUPING SHENG</t>
  </si>
  <si>
    <t>DIVO PLATEAU GRAND MOULIN</t>
  </si>
  <si>
    <t>RAB0000000223390</t>
  </si>
  <si>
    <t>KONE ABOU</t>
  </si>
  <si>
    <t>DIVO DIALOGUE 2 PETIT</t>
  </si>
  <si>
    <t>RAB0000000223274</t>
  </si>
  <si>
    <t>KOUANDA ABDOULAYE</t>
  </si>
  <si>
    <t>4857544342195AB1</t>
  </si>
  <si>
    <t xml:space="preserve">15/09/2025:: LE CLIENT EST INJOIGNABLE, 25/09/2025::: DMI01,PCO009,LONG 300M, 4 ANCIEN PB </t>
  </si>
  <si>
    <t>25/09/2025:: DBA01,PCO023,LONG200M,2 ANCIENS PB,1 NEW PM, BRIN 03</t>
  </si>
  <si>
    <t>25/09/2025:::DBA01,PCO064,LONG350M,BRIN 03, 1 ANCIEN PB, 5 NEW PM</t>
  </si>
  <si>
    <t>4857544342053CB1</t>
  </si>
  <si>
    <t>RAB0000000223415</t>
  </si>
  <si>
    <t>DOUMBIA NOUKESSA</t>
  </si>
  <si>
    <t>RAB0000000223401</t>
  </si>
  <si>
    <t>DIARRASSOUBA KARIM</t>
  </si>
  <si>
    <t>DIVO DIALOGUE 2 PETIT MARCHE</t>
  </si>
  <si>
    <t>RAB0000000223448</t>
  </si>
  <si>
    <t>SANA ZOUBERE</t>
  </si>
  <si>
    <t>DBA01_PCO113</t>
  </si>
  <si>
    <t>25/09/2025:: DBA01,PCO113,BRIN1,250M</t>
  </si>
  <si>
    <t>25/09/2025:: DBA01,PCO086,BRIN8,300M</t>
  </si>
  <si>
    <t>DD01</t>
  </si>
  <si>
    <t>DD01_PCO001</t>
  </si>
  <si>
    <t>26/09/2025:: DD01,PCO001,BRIN05,100M,</t>
  </si>
  <si>
    <t>26/09/2025:: DD01,PCO001,BRIN06,100M,</t>
  </si>
  <si>
    <t>485754434211E7B1</t>
  </si>
  <si>
    <t>48575443420C70B1</t>
  </si>
  <si>
    <t>485754434213BEB1</t>
  </si>
  <si>
    <t>48575443421803B1</t>
  </si>
  <si>
    <t>48575443420DEDB1</t>
  </si>
  <si>
    <t>485754434218B7B1</t>
  </si>
  <si>
    <t>48575443420970B1</t>
  </si>
  <si>
    <t>48575443420D3DB1</t>
  </si>
  <si>
    <t>26/09/2025:: DBA01,PCO020,BRIN05,500M,3 NEWS PM</t>
  </si>
  <si>
    <t>RAB0000000223516</t>
  </si>
  <si>
    <t>MOHAMED MOULAYE SLEIMANE</t>
  </si>
  <si>
    <t>DIVO  LIBREVILLE PHARMACIE</t>
  </si>
  <si>
    <t>RAB0000000223565</t>
  </si>
  <si>
    <t>TRAORE SALIMATA</t>
  </si>
  <si>
    <t>RAB0000000223572</t>
  </si>
  <si>
    <t>TOUNKARA ABDOULAYE</t>
  </si>
  <si>
    <t>DDI01_PCO022</t>
  </si>
  <si>
    <t>26/09/2025:: DDI01,PCO022,BRIN1,100M</t>
  </si>
  <si>
    <t>DDI01_PCO018</t>
  </si>
  <si>
    <t>26/09/2025:: DDI01,PCO018,BRIN1,150M</t>
  </si>
  <si>
    <t>DDI01_PCO017</t>
  </si>
  <si>
    <t>19/09/2025:: DMI01,PCO076,BRIN5,350M,20/09/2025:: CLIENT EN DEPLACEMENT,RDV LUNDI/27/09/2025:: DDI01,PCO017,BRIN1,100M</t>
  </si>
  <si>
    <t>RAB0000000223742</t>
  </si>
  <si>
    <t>KOUAKOU KOUAKOU</t>
  </si>
  <si>
    <t>RAB0000000223669</t>
  </si>
  <si>
    <t>SAWADOGO LASSANE</t>
  </si>
  <si>
    <t>DIVO DIALOGUE NON LOIN DE LA GARE SBTA</t>
  </si>
  <si>
    <t>RAB0000000223692</t>
  </si>
  <si>
    <t>GONLY MINWOUGBE CYRILLE</t>
  </si>
  <si>
    <t>DIVO PLATEAU CARREFOUR DEPUTE</t>
  </si>
  <si>
    <t>RAB0000000223734</t>
  </si>
  <si>
    <t>DOSSO SYNDOU</t>
  </si>
  <si>
    <t>RAB0000000223704</t>
  </si>
  <si>
    <t>KARAMOKO MADOGNIN</t>
  </si>
  <si>
    <t>RAB0000000223834</t>
  </si>
  <si>
    <t>DIALLO ABOU</t>
  </si>
  <si>
    <t>RAB0000000223607</t>
  </si>
  <si>
    <t>FOFANA AFFOUSSATA</t>
  </si>
  <si>
    <t>RAB0000000223809</t>
  </si>
  <si>
    <t>BILLY GUY ELISEE KAZIRI</t>
  </si>
  <si>
    <t>48575443420800B1</t>
  </si>
  <si>
    <t>48575443421309B1</t>
  </si>
  <si>
    <t>485754434205F8B1</t>
  </si>
  <si>
    <t>485754434219D8B1</t>
  </si>
  <si>
    <t>10/09/2025:: CLIENT PONY TAYORO ANGE FERNANDEZ,PCO104 SATURE/26/09/2025:: ZONE NON PREVUE</t>
  </si>
  <si>
    <t>29/08/2025:: ZONE PCO SATURE POUR LE CLIENT YOUL ERY HORTENSE /26/09/2025:: servey ok en cours désaturation</t>
  </si>
  <si>
    <t>RAB0000000223970</t>
  </si>
  <si>
    <t>CISSE MARIAME</t>
  </si>
  <si>
    <t>DIVO DIALOGUE PETIT MARCHE</t>
  </si>
  <si>
    <t>RAB0000000224013</t>
  </si>
  <si>
    <t>SEBIME SEMOU</t>
  </si>
  <si>
    <t>RAB0000000223992</t>
  </si>
  <si>
    <t>KOITA OUMAR</t>
  </si>
  <si>
    <t>29/09/2025:: DBA01,PCO049,BRIN2,150M</t>
  </si>
  <si>
    <t>29/09/2025:: DBA01,PCO062,BRIN5,300M</t>
  </si>
  <si>
    <t>29/09/2025:: DBA01,PCO017,BRIN8,250M</t>
  </si>
  <si>
    <t>DDI01_PCO010</t>
  </si>
  <si>
    <t>29/09/2025:: DDI01,PCO010,BRIN1,1 NEWS PM,150M</t>
  </si>
  <si>
    <t>DDI01_PCO009</t>
  </si>
  <si>
    <t>29/09/2025:: DDI01,PCO009,BRIN1,100M</t>
  </si>
  <si>
    <t>29/09/2025:: DDI01,PCO009,BRIN2,100M</t>
  </si>
  <si>
    <t>29/09/2025::  DBA01,PCO026,BRIN3,300M</t>
  </si>
  <si>
    <t>48575443420F7EB1</t>
  </si>
  <si>
    <t>4857544342083BB1</t>
  </si>
  <si>
    <t>48575443420691B1</t>
  </si>
  <si>
    <t>RAB0000000224159</t>
  </si>
  <si>
    <t>SIAKA DOUMBIA</t>
  </si>
  <si>
    <t>RAB0000000224190</t>
  </si>
  <si>
    <t>DONGO FRANCK BORIS AXEL</t>
  </si>
  <si>
    <t>DIVO PLATEAU EN FACE DE LA CIE</t>
  </si>
  <si>
    <t>RAB0000000224188</t>
  </si>
  <si>
    <t>HIECRE SYLVERE LANDRY</t>
  </si>
  <si>
    <t>DIVO VATICAN EGLISE CATHOLIQUE</t>
  </si>
  <si>
    <t>RAB0000000224189</t>
  </si>
  <si>
    <t>FOFANA ABOU</t>
  </si>
  <si>
    <t>DIVO CLINIQUE KANTE</t>
  </si>
  <si>
    <t>30/09/2025:: DBA01,PCO033,BRIN3,300M</t>
  </si>
  <si>
    <t>4857544342193BB1</t>
  </si>
  <si>
    <t>485754434216EDB1</t>
  </si>
  <si>
    <t>48575443420F2EB1</t>
  </si>
  <si>
    <t>485754434215E1B1</t>
  </si>
  <si>
    <t>RAB0000000268829</t>
  </si>
  <si>
    <t>N'GUETTIA KOUAME KOSSONOU</t>
  </si>
  <si>
    <t>DIVO PLATEAU SIEGE RHDP</t>
  </si>
  <si>
    <t>RAB0000000268884</t>
  </si>
  <si>
    <t>KRA KOFFI JEAN EUDES TRESOR</t>
  </si>
  <si>
    <t>DIVO BELLEVILLE RUES DES RETRAITES</t>
  </si>
  <si>
    <t>RAB0000000268885</t>
  </si>
  <si>
    <t>DIVO LIBREVILLE MOSQUEE</t>
  </si>
  <si>
    <t>RAB0000000268889</t>
  </si>
  <si>
    <t>OUEDRAOGO IBRAHIM</t>
  </si>
  <si>
    <t>LIBREVILLE PORKODJO</t>
  </si>
  <si>
    <t>RAB0000000268912</t>
  </si>
  <si>
    <t>BLEY ZEZE CHARLES ROMUALD</t>
  </si>
  <si>
    <t>DIVO PLATEAU TOURAGO</t>
  </si>
  <si>
    <t>RAB0000000268914</t>
  </si>
  <si>
    <t>COULIBALY MOUSTAPHA</t>
  </si>
  <si>
    <t>DIVO DIALOGUE</t>
  </si>
  <si>
    <t>RAB0000000268920</t>
  </si>
  <si>
    <t>KOUADIO KOUASSI MALACE</t>
  </si>
  <si>
    <t>DIVO VATICAN PATMOS</t>
  </si>
  <si>
    <t>RAB0000000268929</t>
  </si>
  <si>
    <t>DIARRA BINTOU MADIOU</t>
  </si>
  <si>
    <t>DIVO ZANMANBOUGOU ECOLE ISLAMIQUE</t>
  </si>
  <si>
    <t>RAB0000000268932</t>
  </si>
  <si>
    <t>DIOMANDE GBONGUE ISMAEL HAMED</t>
  </si>
  <si>
    <t>DIVO DIOULABOUGOU MOSQUEE</t>
  </si>
  <si>
    <t>RAB0000000268923</t>
  </si>
  <si>
    <t>YAO GOGO EUGENE</t>
  </si>
  <si>
    <t>RAB0000000268926</t>
  </si>
  <si>
    <t>KEITA MOUSSA</t>
  </si>
  <si>
    <t>DIVO DIALOGUE CLINIQUE KANTE</t>
  </si>
  <si>
    <t>RAB0000000268945</t>
  </si>
  <si>
    <t>COULIBALY ISSIF</t>
  </si>
  <si>
    <t>02/10/2025:: DBA 01,PCO 062,LONG CÂBLE 500 M,PM NEW 03,PM ANCIEN 05</t>
  </si>
  <si>
    <t>02/10/2025:: DBA01,PCO045,BRIN05,350M</t>
  </si>
  <si>
    <t>RAB0000000268984</t>
  </si>
  <si>
    <t>SANA ADAMA</t>
  </si>
  <si>
    <t>DIALOGUE CLINIQUE KANTE</t>
  </si>
  <si>
    <t>02/10/2025:: DMI 01,PCO045,LONG CÂBLE 350 M,BRIN 05,</t>
  </si>
  <si>
    <t>02/10/2025:: DMI01,PCO037,BRIN05,200M</t>
  </si>
  <si>
    <t>02/10/2025:: DMI 01,PCO 034,BRIN 05,LONG CÂBLE 200 M</t>
  </si>
  <si>
    <t>26/09/2025:: CLIENT INJOIGNABLE,29/09/2025:: LE CLIENT EST INJOIGNABLE/02/10/2025:: DMI01,PCO045,BRIN6,150M</t>
  </si>
  <si>
    <t>02/10/2025:: DBA 01,PCO084,BRIN4,250M,PM NEW 02,PM ANCIEN 01</t>
  </si>
  <si>
    <t>DDI01_PCO021</t>
  </si>
  <si>
    <t>03/10/2025:: DDI 01,PCO 021,BRIN 01,LONG CÂBLE 300M</t>
  </si>
  <si>
    <t>02/10/2025:: DBA01,PCO049,BRIN3,300M,PM NEW 02,PM ANCIEN 3,PB 02</t>
  </si>
  <si>
    <t>4857544342156EB1</t>
  </si>
  <si>
    <t>4857544342178AB1</t>
  </si>
  <si>
    <t>DDI01_PCO011</t>
  </si>
  <si>
    <t>29/09/2025:: LE CLIENT EST INJOIGNABLE/03/10/2025:: DDI01,PCO011,50M,BRIN1,50M,PB01</t>
  </si>
  <si>
    <t>48575443421067B1</t>
  </si>
  <si>
    <t>48575443420DC6B1</t>
  </si>
  <si>
    <t>48575443421A64B1</t>
  </si>
  <si>
    <t>RAB0000000269362</t>
  </si>
  <si>
    <t>OUATTARA ABDOULAYE</t>
  </si>
  <si>
    <t>RAB0000000269360</t>
  </si>
  <si>
    <t>OUATTARA ISSA</t>
  </si>
  <si>
    <t>DIVO DIALOGUE 2 PHARMACIE INCHALLAH</t>
  </si>
  <si>
    <t>RAB0000000269451</t>
  </si>
  <si>
    <t>DJISSAH DAGO ANTOINE</t>
  </si>
  <si>
    <t>DIVO BOUDOUKOU ANCIEN BANDJIDROM</t>
  </si>
  <si>
    <t>RAB0000000269574</t>
  </si>
  <si>
    <t>KONAN ADJOUA AMANDINE</t>
  </si>
  <si>
    <t>04/10/2025::: DDI01,PCO017,150M,PB02</t>
  </si>
  <si>
    <t>04/10/2025:: DBA01,PCO098,BRIN05,300M,1 NEWS PM,1PM</t>
  </si>
  <si>
    <t>04/10/2025:: DBA01,PCO20,BRIN4,350M,PM NEW 01,PM ANCIEN 02,5 PB</t>
  </si>
  <si>
    <t>48575443420CC1B1</t>
  </si>
  <si>
    <t>RAB0000000269685</t>
  </si>
  <si>
    <t>DODO ABY YVES DIDIER</t>
  </si>
  <si>
    <t>DIVO DIALOGUE 2 BOULANGERIE SOKA</t>
  </si>
  <si>
    <t>RAB0000000269689</t>
  </si>
  <si>
    <t>OSSOFI WILLIAMS</t>
  </si>
  <si>
    <t>DIVO DIALOGUE 2 PHARMACIE KININYA</t>
  </si>
  <si>
    <t xml:space="preserve">04/10/2025:: CLIENT : OUATTARA ISSA,PHARMACIES INCHALLAH,HORS ZONE , DIALOGUE 2 ,DDI01,PCO017,BRIN02,400M,PB 09
</t>
  </si>
  <si>
    <t>02/10/2025:: COULIBALY ISSUF,HORS ZONE,DIALOGUE,PHARMACIE INCHALLAH/06/10/2025:: DDI01,PCO017,BRIN3,300M,PB 08</t>
  </si>
  <si>
    <t>48575443421A96B1</t>
  </si>
  <si>
    <t>48575443421821B1</t>
  </si>
  <si>
    <t>485754434204E0B1</t>
  </si>
  <si>
    <t>HZ 07/10/2025;::DDI01,PCO001,LONG400M,BRIN04,1 ANCIEN PB,3 ANCIENS PM,2 NEW PM</t>
  </si>
  <si>
    <t>DD01_PCO022</t>
  </si>
  <si>
    <t>25/09/2025:: CLIENT INJOIGNABLE ,07/10/2025:::DDI01,PCO022,LONG300M,BRIN03,1 ANCIEN PB, 1 NEW PM</t>
  </si>
  <si>
    <t>25/09/2025:: CLIENT INJOIGNABLE ,07/10/2025:::::DDI01,PCO022,LONG250M,BRIN02,1 ANCIEN PB,2 NEW PM</t>
  </si>
  <si>
    <t>19/09/2025:: LE CLIENT EST INJOIGNABLE 07/10/2025::DBA01,PCO001,LONG400M,BRIN04,06 ANCIENS PB,1 ANCIEN PM</t>
  </si>
  <si>
    <t>485754434213D8B1</t>
  </si>
  <si>
    <t>4857544342179EB1</t>
  </si>
  <si>
    <t>RAB0000000269845</t>
  </si>
  <si>
    <t>OTRO CEDRIC OLIVIER</t>
  </si>
  <si>
    <t>RAB0000000269857</t>
  </si>
  <si>
    <t>DIAGOURAGA MOHAMED</t>
  </si>
  <si>
    <t>RAB0000000269862</t>
  </si>
  <si>
    <t>YACOUBA DABRE</t>
  </si>
  <si>
    <t>RAB0000000269886</t>
  </si>
  <si>
    <t>CISSE MAMOUDOU</t>
  </si>
  <si>
    <t>DIVO DJOULABOU</t>
  </si>
  <si>
    <t>RAB0000000269875</t>
  </si>
  <si>
    <t>BALLO MORIBA</t>
  </si>
  <si>
    <t>485754431A835AB4</t>
  </si>
  <si>
    <t>485754431A81EAB4</t>
  </si>
  <si>
    <t>485754431A816EB4</t>
  </si>
  <si>
    <t>485754431A81DDB4</t>
  </si>
  <si>
    <t>DDI01_PCO115</t>
  </si>
  <si>
    <t>08/10/2025::DDI01,PCO115,LONG100M,BRIN02,1 ANCIEN PB</t>
  </si>
  <si>
    <t>DDI01_PCO015</t>
  </si>
  <si>
    <t>08/10/2025::DDI01,PCO015,LONG100M,BRIN01,1 ANCIEN PB</t>
  </si>
  <si>
    <t>485754431A880DB4</t>
  </si>
  <si>
    <t>08/10/2025::DDI01,PCO115,LONG150M,BRIN01, 2 ANCIEN PB</t>
  </si>
  <si>
    <t>485754431A85A3B4</t>
  </si>
  <si>
    <t>485754431A82BDB4</t>
  </si>
  <si>
    <t>DMI01_PCO095</t>
  </si>
  <si>
    <t>04/10/2025:: CLIENT : KOUADIO KOUASSI MALACE,RAB : 0000000268920,ZONE DE DÉPLOIEMENT,DMI01,PCO095,LONG250M,1 ANCIEN PB, 3 NEW PM</t>
  </si>
  <si>
    <t>06/08/2025:: Client KONAN SANY CÉLESTE EST HORS ZONE 08/10/2025::DMI01,PCO095,LONG150,BRIN 01,2 ANCIEN PB, 1 NEW PM</t>
  </si>
  <si>
    <t>DBA01_PCO044</t>
  </si>
  <si>
    <t>08/10/2025:::DBA01,PCO044,LONG300,BRIN01,2ANCIENS PB,2 NEW PM</t>
  </si>
  <si>
    <t>485754431A7EE4B4</t>
  </si>
  <si>
    <t>485754431A7FECB4</t>
  </si>
  <si>
    <t>485754431A837FB4</t>
  </si>
  <si>
    <t>RAB0000000270053</t>
  </si>
  <si>
    <t>DIVO LIBANAIS GARE DE TAXI</t>
  </si>
  <si>
    <t>RAB0000000270099</t>
  </si>
  <si>
    <t>ALLA KOUAME DENIS</t>
  </si>
  <si>
    <t>06/09/2025:: PCO040 SATURE/10/10/2025:: DBA01,PCO027,300M.1 NEWS PM</t>
  </si>
  <si>
    <t>RAB0000000270140</t>
  </si>
  <si>
    <t>ATTIE NOUAMA</t>
  </si>
  <si>
    <t>RAB0000000270190</t>
  </si>
  <si>
    <t>BEDI WAZA</t>
  </si>
  <si>
    <t>RAB0000000270153</t>
  </si>
  <si>
    <t>TRAORE IBRAHIM</t>
  </si>
  <si>
    <t>485754431A83A8B4</t>
  </si>
  <si>
    <t>485754431A87ADB4</t>
  </si>
  <si>
    <t>RAB0000000270335</t>
  </si>
  <si>
    <t>COULIBALY AICHATOU</t>
  </si>
  <si>
    <t>DIVO CAVALLY</t>
  </si>
  <si>
    <t>RAB0000000270308</t>
  </si>
  <si>
    <t>COULIBALY ALI</t>
  </si>
  <si>
    <t>LIBANAIS ECOLE PRIMAIRE</t>
  </si>
  <si>
    <t>RAB0000000270628</t>
  </si>
  <si>
    <t>KERE LASSINA</t>
  </si>
  <si>
    <t>DIVO LIBANAIS PHARMACIE FATIMA</t>
  </si>
  <si>
    <t>RAB0000000270361</t>
  </si>
  <si>
    <t>COULIBALY IBRAHEMA</t>
  </si>
  <si>
    <t>DIVO LIBANAIS AU FEU</t>
  </si>
  <si>
    <t>RAB0000000270340</t>
  </si>
  <si>
    <t>EDEH YAWOVI DODJI</t>
  </si>
  <si>
    <t>DIVO LIBANAIS</t>
  </si>
  <si>
    <t>RAB0000000270477</t>
  </si>
  <si>
    <t>DJIGUIMDE SOULEYMANE</t>
  </si>
  <si>
    <t>DIVO LIBANAIS BOULANGERIE</t>
  </si>
  <si>
    <t>RAB0000000270470</t>
  </si>
  <si>
    <t>SAMAKE LACINE</t>
  </si>
  <si>
    <t>RAB0000000270644</t>
  </si>
  <si>
    <t>NIANG ALASSANE</t>
  </si>
  <si>
    <t>RAB0000000270583</t>
  </si>
  <si>
    <t>SIDI AHMED KONE</t>
  </si>
  <si>
    <t>RAB0000000270726</t>
  </si>
  <si>
    <t>KONE MAHAMOUD</t>
  </si>
  <si>
    <t>DIVO COMMERCE DJASSA</t>
  </si>
  <si>
    <t>RAB0000000270488</t>
  </si>
  <si>
    <t>SOUMAHORO MINKORO</t>
  </si>
  <si>
    <t>RAB0000000270242</t>
  </si>
  <si>
    <t>TCHIEMON FINDIBE</t>
  </si>
  <si>
    <t>RAB0000000270731</t>
  </si>
  <si>
    <t>KONATE LASSINA</t>
  </si>
  <si>
    <t>RAB0000000270245</t>
  </si>
  <si>
    <t>CISSE AMADOU</t>
  </si>
  <si>
    <t>RAB0000000270292</t>
  </si>
  <si>
    <t>DAO ABOUDRAMANE</t>
  </si>
  <si>
    <t>DIVO LIBANAIS A COTE DE L'ECOLE PRIMAIRE</t>
  </si>
  <si>
    <t>RAB0000000270631</t>
  </si>
  <si>
    <t>KOUASSI ARNAUD FRANCOIS STEPAHNE</t>
  </si>
  <si>
    <t>DIVO LIBANAIS ECOLE PRIMAIRE</t>
  </si>
  <si>
    <t>RAB0000000270660</t>
  </si>
  <si>
    <t>KAMENAN N'GUESSAN HERVE</t>
  </si>
  <si>
    <t>BOUDOUGOU A COTE DU COLLEGE RACINE</t>
  </si>
  <si>
    <t>RAB0000000270283</t>
  </si>
  <si>
    <t>SOUMANO AICHA</t>
  </si>
  <si>
    <t>11/10/2025:: DBA01,PCO105,BRIN02,150M,PB1</t>
  </si>
  <si>
    <t>DDI01_PCO065</t>
  </si>
  <si>
    <t>11/10/2025:: DDI01,PCO065,BRIN01,200M</t>
  </si>
  <si>
    <t>DDI01_PCO082</t>
  </si>
  <si>
    <t>11/10/2025:: DDI01,PCO082,BRIN03,100M</t>
  </si>
  <si>
    <t>DDI01_PCO084</t>
  </si>
  <si>
    <t>11/10/2025:: DDI01,PCO084,BRIN 01,250M,1 NEWS PM</t>
  </si>
  <si>
    <t>485754431A8157B4</t>
  </si>
  <si>
    <t>485754431A8608B4</t>
  </si>
  <si>
    <t>485754431A8566B4</t>
  </si>
  <si>
    <t>485754431A838DB4</t>
  </si>
  <si>
    <t>485754431A8639B4</t>
  </si>
  <si>
    <t>485754431A84F3B4</t>
  </si>
  <si>
    <t>RAB0000000270788</t>
  </si>
  <si>
    <t>CISSE AISSE</t>
  </si>
  <si>
    <t>RAB0000000270843</t>
  </si>
  <si>
    <t>KOFFI BEYAMBA RAOUL</t>
  </si>
  <si>
    <t>DIVO COMMANDANT GARAGE ESPOIR</t>
  </si>
  <si>
    <t>RAB0000000270815</t>
  </si>
  <si>
    <t>DIABY MOUSTAPHA</t>
  </si>
  <si>
    <t>485754431A820FB4</t>
  </si>
  <si>
    <t>485754431A8526B4</t>
  </si>
  <si>
    <t>485754431A82B6B4</t>
  </si>
  <si>
    <t>DBA01_PCO061</t>
  </si>
  <si>
    <t>15/10/2025:: client : NIANG ALASSANE 
DBA 01
RAB 00000002706
PCO 61
D 02 
BRIN 01
LONG CÂBLE 250 M
PM NEW 00
PB 05</t>
  </si>
  <si>
    <t>14/10/2025::Client :KAMENAN N'GUESSAN HERVE 
DBA 01
RAB 00000002706
PCO 008 
D 01 
BRIN 01
LONG CÂBLE 250 M
PM NEW 00
PB 03</t>
  </si>
  <si>
    <t>DBA01_PCO075</t>
  </si>
  <si>
    <t>14/10/2024::Client : SOUMAHORO MINKORO
DBA 01
RAB 00000002704
PCO 075
D 03
BRIN 01
LONG CÂBLE 250 M
PM NEW 01
PB 03</t>
  </si>
  <si>
    <t>14/10/2025:: Client : KONÉ MAHAMOUD 
DBA 01
RAB 00000002707
PCO 022
D 01
BRIN 04
LONG CÂBLE 300 M
PM 01
PB 04</t>
  </si>
  <si>
    <t>14/10/2025:: Client : TCHIEMON FINDIBE 
DM1 01
RAB 00000002702
PCO 081
D 03
BRIN 05
LONG CÂBLE 100M
PM 00
PB 02</t>
  </si>
  <si>
    <t>485754431A80D5B4</t>
  </si>
  <si>
    <t>485754431A817DB4</t>
  </si>
  <si>
    <t>15/10/2025:: Client TRAORÉ IBRAHIM 
RAB 0000000270153
DBA 01 
PCO 82
D 03 
BRIN 6
LONG CÂBLE 200M
PM NEW 1 
PB 1</t>
  </si>
  <si>
    <t>15/10/2025:: Client SIDI AHMED KONE
RAB 0000000270583
DBA 01 
PCO 77
D 03 
BRIN 03
LONG CÂBLE 150 M
PM NEW 0 
PB 0
PM ANCIEN 1</t>
  </si>
  <si>
    <t>15/10/2025:: Client CISSÉ AISSE,CLIENT INJOIGNABLE</t>
  </si>
  <si>
    <t>DDI01_PCO090</t>
  </si>
  <si>
    <t>15/10/2025:: Client DJIGUIMDE SOULEYMANE 
RAB 0000000270477
DDI 01 
PCO 90
D 03 
BRIN 01
LONG CÂBLE 300 M
PM NEW 02
PB 01</t>
  </si>
  <si>
    <t>DDI01_PCO066</t>
  </si>
  <si>
    <t>15/10/2025:: Client DAO ABOURAME 
RAB 0000000270292
DDI 01 
PCO 66
D 03 
BRIN 01
LONG CÂBLE 200 M
PM NEW 0 
PB 2</t>
  </si>
  <si>
    <t>DDI01_PCO127</t>
  </si>
  <si>
    <t>15/10/2025:: Client KERE LASSINA
RAB 0000000270628
DDI 01 
PCO 127
D 04
BRIN 01
LONG CÂBLE 200 M
PM NEW 0 
PB 2</t>
  </si>
  <si>
    <t>15/10/2025:: Client CISSÉ AISSE 
RAB 0000000270843
DBA 01 
PCO 82
D 03 
BRIN 08
LONG CÂBLE 300 M
PM NEW 1 
PB 1 
PM ANCIEN 2</t>
  </si>
  <si>
    <t>RAB0000000271095</t>
  </si>
  <si>
    <t>ODJODE KOUASSI ABEL</t>
  </si>
  <si>
    <t>RAB0000000271051</t>
  </si>
  <si>
    <t>BAMBA MAMADOU</t>
  </si>
  <si>
    <t>RAB0000000271007</t>
  </si>
  <si>
    <t>TAGBO DAGO HERVE</t>
  </si>
  <si>
    <t>DIVO PLATEAU CARREFOUR AMAWOYE</t>
  </si>
  <si>
    <t>RAB0000000271054</t>
  </si>
  <si>
    <t>DIVO DIALOGUE 2PETIT MARCHE</t>
  </si>
  <si>
    <t>RAB0000000271053</t>
  </si>
  <si>
    <t>KOUDOU FRANCK-EVIL DAGO</t>
  </si>
  <si>
    <t>15/10/2025:: KOUDOU FRANCK- EVIL DAGO 
RAB : 0000000271053
HORS ZONE</t>
  </si>
  <si>
    <t>15/10.2025:: Client TAGBO DAGO HERVE
RAB 0000000271007
DBA 01 
PCO 35
D 02
BRIN 08
LONG CÂBLE 250 M
PM NEW 2
PB 1
PM ANCIEN 00</t>
  </si>
  <si>
    <t>DDI01_PCO044</t>
  </si>
  <si>
    <t>15/10/2025:: Client ODJODE KOUASSI ABEL
RAB 0000000271095
DDI 01 
PCO 44
D 02 
LONG CÂBLE 250 M
PM NEW 2
PB 1</t>
  </si>
  <si>
    <t>DDI01_PCO042</t>
  </si>
  <si>
    <t>15/10/2025:: Client DODO ABY YVES DIDIER 
RAB 0000000269685
DDI 01 
PCO 42
D 02
BRIN 01
LONG CÂBLE 150
PM NEW 0 
PB 2</t>
  </si>
  <si>
    <t>485754431A83D7B4</t>
  </si>
  <si>
    <t>485754431A8388B4</t>
  </si>
  <si>
    <t xml:space="preserve">485754431A82C2B4 </t>
  </si>
  <si>
    <t>RAB0000000271123</t>
  </si>
  <si>
    <t>FOUNGBE DANIEL</t>
  </si>
  <si>
    <t>DIVO PLATEAU EN FACE DU GMA</t>
  </si>
  <si>
    <t>RAB0000000271232</t>
  </si>
  <si>
    <t>RAB0000000271183</t>
  </si>
  <si>
    <t>BAGAYOKO ADAMA</t>
  </si>
  <si>
    <t>DIVO DIALOGUE 2 RADIO DJIBOUA</t>
  </si>
  <si>
    <t>RAB0000000271184</t>
  </si>
  <si>
    <t>AHIMON MAPHOET N'SOU ISABELLE</t>
  </si>
  <si>
    <t>DIVO LIBANAIS FATIMA</t>
  </si>
  <si>
    <t>RAB0000000271185</t>
  </si>
  <si>
    <t>DIARRA YOUSSOUFOU</t>
  </si>
  <si>
    <t>RAB0000000271209</t>
  </si>
  <si>
    <t>CAMARA IBRAHIM</t>
  </si>
  <si>
    <t>DIVO LIBANAIS NON LOIN DE LA PHARMACIE</t>
  </si>
  <si>
    <t>RAB0000000271204</t>
  </si>
  <si>
    <t>SORO WATA ALLEN JOEL</t>
  </si>
  <si>
    <t>DIVO BADA PRES DE L'AGENCE MTN</t>
  </si>
  <si>
    <t>RAB0000000271251</t>
  </si>
  <si>
    <t>DOUE KEN DENSON</t>
  </si>
  <si>
    <t>DIVO COMMERCE HOTEL IROKO</t>
  </si>
  <si>
    <t>485754431A8446B4</t>
  </si>
  <si>
    <t>485754431A8164B4</t>
  </si>
  <si>
    <t>485754431A848EB4</t>
  </si>
  <si>
    <t xml:space="preserve">11/09/2025::  ZONE DE DDI 01 HUB 04,PCO EN DÉPLOIEMENT BRIN 01
</t>
  </si>
  <si>
    <t>485754431A85F0B4</t>
  </si>
  <si>
    <t>485754431A7F24B4</t>
  </si>
  <si>
    <t>16/10/2025:: DBA 01 
PCO 064
D 02 
LONG CÂBLE 200M
PM NEW 1
PB 1
PM ANCIEN 1</t>
  </si>
  <si>
    <t>485754431A8664B4</t>
  </si>
  <si>
    <t>17/10/2025:: Client BAMBA MAMADOU
RAB 0000000271051
DDI 01 
PCO 22
D 01
BRIN 5
LONG CÂBLE 300 M
PM NEW 1 
PB 1 
PM ANCIEN 3</t>
  </si>
  <si>
    <t>17/10/2025:: Client OSSOFI WILLIANS 
RAB 0000000269689
DDI 01 
PCO 21
D 01 
BRIN 2
LONG CÂBLE 300 M
PM NEW 0 
PB 4</t>
  </si>
  <si>
    <t>DDI01_PCO005</t>
  </si>
  <si>
    <t>17/10/2025:: Client BAGAYOKO ADAMA 
RAB 0000000271183
DDI 01 
PCO 05
D 01 
BRIN 01
LONG CÂBLE 300M
PM NEW 0 
PB 04</t>
  </si>
  <si>
    <t>DDI01_PCO014</t>
  </si>
  <si>
    <t>17/10/2025:: Client DIALLO ABOU
RAB 0000000271232
DDI 01 
PCO 14
D 01 
BRIN 1
LONG CÂBLE 150 M
PM NEW 0 
PB 2</t>
  </si>
  <si>
    <t>17/10/2025:: Client ALLA KOUAME DENIS 
RAB 0000000270099
DDI 01 
PCO 115
D 04
BRIN 3
LONG CÂBLE 50 M
PM NEW 0 
PB 1</t>
  </si>
  <si>
    <t>DDI01_PCO116</t>
  </si>
  <si>
    <t>PLAQUE EN DEPLOIEMENT /18/10/2025:: Client FOFANA ABOU 
RAB 0000000224189
DDI 01 
PCO 116
D 04
BRIN 1
LONG CÂBLE 200 M
PM NEW 1 
PB 2</t>
  </si>
  <si>
    <t>RAB0000000271379</t>
  </si>
  <si>
    <t>TRAORE ABOUBACAR</t>
  </si>
  <si>
    <t>DIVO CAVALLI</t>
  </si>
  <si>
    <t>RAB0000000271368</t>
  </si>
  <si>
    <t>DOSSO IBRAHIM HIKWA</t>
  </si>
  <si>
    <t>RAB0000000271358</t>
  </si>
  <si>
    <t>LOUAN SADIA ALPHONSE</t>
  </si>
  <si>
    <t>RAB0000000271407</t>
  </si>
  <si>
    <t>YACOUBA SYLLA</t>
  </si>
  <si>
    <t>DIVO LIBANAIS EN FACE DE L ACOLE PRIMAIRE</t>
  </si>
  <si>
    <t>RAB0000000271377</t>
  </si>
  <si>
    <t>BAMBA LOUH WILFRIED</t>
  </si>
  <si>
    <t>RAB0000000271373</t>
  </si>
  <si>
    <t>DAO ABOUBACAR</t>
  </si>
  <si>
    <t>DIVO CAVALI</t>
  </si>
  <si>
    <t>RAB0000000271355</t>
  </si>
  <si>
    <t>N'GUESSAN OKANI PACOME</t>
  </si>
  <si>
    <t>RAB0000000271390</t>
  </si>
  <si>
    <t>AMEMASOR DODZI AMOS</t>
  </si>
  <si>
    <t>DIVO VATICAN NOUVEAU GOUDRON</t>
  </si>
  <si>
    <t>DDI01_PCO120</t>
  </si>
  <si>
    <t>02/10/2025:: SANA ADAMA ,RAB 0000000268984,ZONE DE DÉPLOIEMENT,DIALOGUE 1 , CLINIQUE KANTÉ/18/10/2025:: Client SANA ADAMA 
RAB 0000000268984
DDI 01 
PCO 116
D 04 
BRIN 2
LONG CÂBLE 250 M
PM NEW 0 
PB 3</t>
  </si>
  <si>
    <t>DDI01_PCO097</t>
  </si>
  <si>
    <t>15/10/2025:: Client TRAORÉ YACOUBA,Le client à reporté son étude à une date ultérieure/17/10/2025:: Client TRAORÉ YACOUBA 
RAB 0000000270053
DDI 01 
PCO 97
D 04 
BRIN 1
LONG CÂBLE 250 M
PM NEW 0 
PB 2</t>
  </si>
  <si>
    <t>26/07/2025:: DBA01,PCO004 SATURE //01/08/2025:: DESAT DE PCO04 AVEC LE PCO026/17/10/2025:: Client SINDJALIM EDJADETCHAM
RAB 0000000215696
DBA 01 
PCO 26
D 01 
BRIN 4
LONG CÂBLE 350 M
PM NEW 1 
PB 2 
PM ANCIEN 2</t>
  </si>
  <si>
    <t>17/10/2025:: Client DOUÉ KEN DENSON 
RAB 0000000271251
DBA 01 
PCO 13
D 01 
BRIN 5
LONG CÂBLE 350 M
PM NEW 0 
PB 3 
PM ANCIEN 2</t>
  </si>
  <si>
    <t>17/10/2025:: Client SORO WATA ALLEN JOËL
RAB 0000000271204
DMI 01 
PCO 22
D 01 
BRIN 7
LONG CÂBLE 200 M
PM NEW 0 
PB 1 
PM ANCIEN 1</t>
  </si>
  <si>
    <t>485754431A8004B4</t>
  </si>
  <si>
    <t>485754431A8489B4</t>
  </si>
  <si>
    <t>48575443146F7BB4</t>
  </si>
  <si>
    <t>485754431A7F08B4</t>
  </si>
  <si>
    <t>485754431A8481B4</t>
  </si>
  <si>
    <t>48575443146FB2B4</t>
  </si>
  <si>
    <t>RAB0000000271558</t>
  </si>
  <si>
    <t>NDIAYE ABOU</t>
  </si>
  <si>
    <t>RAB0000000271604</t>
  </si>
  <si>
    <t>DIABY MARIAME</t>
  </si>
  <si>
    <t>RAB0000000271461</t>
  </si>
  <si>
    <t>DIAGNE MOHAMADOU JOSEPH</t>
  </si>
  <si>
    <t>RAB0000000271633</t>
  </si>
  <si>
    <t>KOUAKOU BAH ELIE</t>
  </si>
  <si>
    <t>RAB0000000271607</t>
  </si>
  <si>
    <t>KONE ADAMA</t>
  </si>
  <si>
    <t>RAB0000000271613</t>
  </si>
  <si>
    <t>CAMARA ASSATA</t>
  </si>
  <si>
    <t>DDI01_PCO034</t>
  </si>
  <si>
    <t>48575443146E20B4</t>
  </si>
  <si>
    <t>48575443146D5EB4</t>
  </si>
  <si>
    <t>4857544314703AB4</t>
  </si>
  <si>
    <t>vert</t>
  </si>
  <si>
    <t>485754431A7EAEB4</t>
  </si>
  <si>
    <t>02/10/2025:: KEITA MOUSSA ,ZONE DE DÉPLOIEMENT,DIALOGUE 1 , CLINIQUE KANTÉ/17/10/2025:: Client KEITA MOUSSA 
RAB 0000000268926
DDI 01 
PCO 120
D 04
BRIN 1
LONG CÂBLE 200 M
PM NEW 1 
PB 1</t>
  </si>
  <si>
    <t>485754431468DBB4</t>
  </si>
  <si>
    <t>4857544314710DB4</t>
  </si>
  <si>
    <t>4857544339B721B4</t>
  </si>
  <si>
    <t>4857544339B604B4</t>
  </si>
  <si>
    <t>48575443146AF7B4</t>
  </si>
  <si>
    <t>4857544339AD2BB4</t>
  </si>
  <si>
    <t>LE CLIENT A ÉTÉ RECRUTE, HORS ZONE FTTH 18/10/2025:: DMI01,PCO076,LONG 350M,BRIN04, 1 NEW PM , 5 ANCIENS PB</t>
  </si>
  <si>
    <t>485754431A7EA9B4</t>
  </si>
  <si>
    <t>4857544339B230B4</t>
  </si>
  <si>
    <t>4857544339B3B0B4</t>
  </si>
  <si>
    <t>4857544339B087B4</t>
  </si>
  <si>
    <t>18/10/2025:: DDI 01 
PCO 34
D 02
BRIN 1
LONG CÂBLE 100 M
PM NEW 0 
PB 1</t>
  </si>
  <si>
    <t>20/10/2025:: Client KONÉ ADAMA 
RAB 0000000271607
DDI 01 
PCO 127
D 04 
BRIN 2
LONG CÂBLE 200 M
PM NEW 0 
PB 2</t>
  </si>
  <si>
    <t>DDI01_PCO094</t>
  </si>
  <si>
    <t>20/10/2025:: Client CAMARA IBRAHIM 
DDI 01 
PCO 94
D 03 
BRIN 1
LONG CÂBLE 100 M
PM NEW 0 
PB 1</t>
  </si>
  <si>
    <t>DDI01_PCO069</t>
  </si>
  <si>
    <t>20/10/2025:: Client COULIBALY AICHATOU
RAB 0000000270335
DDI 01 
PCO 69
D 03 
BRIN 01
LONG CÂBLE 150 M
PM NEW 0 
PB 2</t>
  </si>
  <si>
    <t>DDI01_PCO074</t>
  </si>
  <si>
    <t>20.10.2025:: Client CISSÉ AMADOU 
RAB 0000000270245
DDI 01 
PCO 74
D 03 
BRIN 1
LONG CÂBLE 250 M
PM NEW 1 
PB 3</t>
  </si>
  <si>
    <t>DDI01_PCO070</t>
  </si>
  <si>
    <t>20/10/2025:: Client TRAORÉ ABOUBACAR 
RAB 0000000271379
DDI 01 
PCO 70
D 03 
BRIN 1
LONG CÂBLE 350 M
PM NEW 4
PB 1</t>
  </si>
  <si>
    <t>DDI01_PCO075</t>
  </si>
  <si>
    <t>20/10/2025:: Client KONATÉ LASSINA
RAB 0000000270731
DDI 01 
PCO 75
D 03 
BRIN 01
LONG CÂBLE 200 M
PM NEW 1 
PB 0
PM ANCIEN 1</t>
  </si>
  <si>
    <t>DDI01_PCO093</t>
  </si>
  <si>
    <t>20/10/20245:: Client DIARRA YOUSSOUFOU
RAB 0000000271185
DDI 01 
PCO 93
D 03 
BRIN 1
LONG CÂBLE 200 M
PM NEW 1 
PB 1</t>
  </si>
  <si>
    <t>20/10/2025:: Client AHIMON MAPHOET N'SOU ISABELLE 
RAB 0000000271184
DDI 01 
PCO 127
D 04 
LONG CÂBLE 250 M
PM NEW 0 
PB 3</t>
  </si>
  <si>
    <t>DDI01_PCO102</t>
  </si>
  <si>
    <t>20/10/2025:: Client SOUMANO AICHA
RAB 0000000270283
DDI 01 
PCO 102
D 04 
LONG CÂBLE 100 M
PM NEW 0 
PB 1</t>
  </si>
  <si>
    <t>20/10/2025:: Client OTRO CEDRIC OLIVIER 
RAB 269845
DBA 01 
PCO 15
D 01 
BRIN 7
LONG CÂBLE 350 M
PM NEW 3 
PB 3</t>
  </si>
  <si>
    <t>DDI01_PCO054</t>
  </si>
  <si>
    <t>20/10/2025:: Client YAO KOUASSI ANICET
RAB 0000000271054
DDI 01 
PCO 054
D 02
BRIN 1
LONG CÂBLE 100 M
PM NEW 0 
PB 1</t>
  </si>
  <si>
    <t>DDI01_PCO059</t>
  </si>
  <si>
    <t>20/10/2025:: Client KOUAKOU BAH ELIE
RAB 0000000271633
DDI 01 
PCO 59
D 02
BRIN 1
LONG CÂBLE 250 M
PM NEW 3 
PB 1</t>
  </si>
  <si>
    <t>DDI01_PCO038</t>
  </si>
  <si>
    <t>20/10/2025:: Client DIABY MARIAME 
RAB 0000000271604
DDI 01 
PCO 38
D 02
BRIN 1
LONG CÂBLE 300 M
PM NEW 1 
PB 3</t>
  </si>
  <si>
    <t>48575443146942B4</t>
  </si>
  <si>
    <t>4857544339AED0B4</t>
  </si>
  <si>
    <t>4857544339B25EB4</t>
  </si>
  <si>
    <t>4857544339B0DDB4</t>
  </si>
  <si>
    <t>4857544339A71CB4</t>
  </si>
  <si>
    <t>4857544339A3D1B4</t>
  </si>
  <si>
    <t>11/10/2025:: Client ATTIE NOUAMA
RAB 0000000270140
HORS ZONE</t>
  </si>
  <si>
    <t>21/10/2025:: Client YACOUBA SYLLA 
RAB 0000000271407
DDI 01 
PCO 82 
D 03 
BRIN 2
LONG CÂBLE 250 M
PM NEW 0 
PB 4</t>
  </si>
  <si>
    <t>21/10/2025:: Client NDIAYE ABOU 
RAB 0000000271558
DBA 01 
PCO 74 
D 03 
BRIN 3
LONG CÂBLE 150 M
PM NEW 1 
PB 2</t>
  </si>
  <si>
    <t>21/10/2025:: Client CAMARA ASSATA
RAB 0000000271613
DBA 01 
PCO 51
D 02
BRIN 4
LONG CÂBLE 200 M
PM NEW 0 
PB 1 
PM ANCIEN 1</t>
  </si>
  <si>
    <t>DDI01_PCO071</t>
  </si>
  <si>
    <t>RAB0000000271785</t>
  </si>
  <si>
    <t>TRAORE LACINA</t>
  </si>
  <si>
    <t>RAB0000000271747</t>
  </si>
  <si>
    <t>KABLA WOBE JEAN WILFRIED</t>
  </si>
  <si>
    <t>DIVO VATICAN HOTEL LA ROSEE DE L'HEMON</t>
  </si>
  <si>
    <t>RAB0000000271817</t>
  </si>
  <si>
    <t>DIABOUGA IBRAHIM</t>
  </si>
  <si>
    <t>RAB0000000271808</t>
  </si>
  <si>
    <t>DOUMBIA IBRAHIM</t>
  </si>
  <si>
    <t>RAB0000000271724</t>
  </si>
  <si>
    <t>AHMED MOUSTAPHA KONATE</t>
  </si>
  <si>
    <t>DIVO DIALOGUE 2 FIN GOUDRON</t>
  </si>
  <si>
    <t>09/04/2025 :: CLIENT HORS ZONE ,IMMEUBLE,DEPLOIEMENT 2025/21/10/2025:: Client SAWADOGO ABDOULAYE 
RAB 0000000195170
DDI 01 
PCO 104
D 04 
BRIN 1
LONG CÂBLE 150 M
PM NEW 1 
PB 1</t>
  </si>
  <si>
    <t>09/04/2025 :: CLIENT HORS ZONE ,IMMEUBLE,DEPLOIEMENT 2025/21/10/2025:: Client SAWADOGO ABDOULAYE 
RAB 0000000195406
DDI 01 
PCO 104
D 04 
BRIN 2
LONG CÂBLE 200 M
PM NEW 0 
PB 1 
PM ANCIEN 1</t>
  </si>
  <si>
    <t>21/10/2025:: Client EDEH YAWOVI DODJI
RAB 0000000270340
DDI 01 
PCO 127
D 04 
BRIN 4
LONG CÂBLE 250 M
PM NEW 1 
PB 3</t>
  </si>
  <si>
    <t>DDI01_PCO025</t>
  </si>
  <si>
    <t xml:space="preserve"> 26/09/2025:: CLIENT EN DÉPLACEMENT/21/10/2025:: Client TOUNKARA ABDOULAYE 
RAB 0000000223572
DDI 01 
PCO 25
D 01
BRIN 1
LONG CÂBLE 150 M
PM NEW 0 
PB 2</t>
  </si>
  <si>
    <t>29/09/2025:: CLIENT  SEBIME SEMON EN DEPLACEMENT,Client SEBIME SEMOU
RAB 0000000224013
DDI 01 
PCO 001
D 01 
BRIN 8
LONG CÂBLE 350 M
PM NEW 0 
PB 5</t>
  </si>
  <si>
    <t>22/10/2025:: Client DOUMBIA IBRAHIM 
RAB 0000000271808
DDI 01 
PCO 17
D 01 
BRIN 5
LONG CÂBLE 100 M
PM NEW 0 
PB 1</t>
  </si>
  <si>
    <t>DDI01_PCO039</t>
  </si>
  <si>
    <t>21/10/2025:: Client DIABOUGA IBRAHIM 
RAB 0000000271817
DDI 01 
PCO 39
D 02
BRIN 1
LONG CÂBLE 100 M
PM NEW 1 
PB 1</t>
  </si>
  <si>
    <t>21/10/2025:: Client AHMED MOUSTAPHA KONATÉ 
RAB 0000000271724
DDI 01 
PCO 38
D 02
BRIN 1
LONG CÂBLE 200 M
PM NEW 2
PB 1</t>
  </si>
  <si>
    <t>DDI01_PCO041</t>
  </si>
  <si>
    <t>21/10/2025:: Client TRAORÉ LACINA
RAB 0000000271785
DDI 01 
PCO 41
D 02
BRIN 1
LONG CÂBLE 200 M
PM NEW 1 
PB 3</t>
  </si>
  <si>
    <t>21/10/2025:: Client DIAGNE MOHAMADOU JOSEPH
DBA 01 
PCO 98
D 03 
BRIN 6
LONG CÂBLE 50M 
PM NEW 0 
PB 1</t>
  </si>
  <si>
    <t>4857544339AF64B4</t>
  </si>
  <si>
    <t>485754431472C6B4</t>
  </si>
  <si>
    <t>13/10/2025:: Client BEDI WAZA,RAB 0000000270190,CLIENT INJOIGNABLEDMI 01 
PCO 071
D 03
BRIN 1
LONG CÂBLE 150 M
PM 00 
PB 01</t>
  </si>
  <si>
    <t>RAB 0000000271368
DDI 01 
PCO 54
D 02
BRIN 1
LONG CÂBLE 100 M
PM NEW 0 
PB 1</t>
  </si>
  <si>
    <t>4857544339A896B4</t>
  </si>
  <si>
    <t>RAB 0000000271373
DDI 01 
PCO 71 
D 03 
BRIN 1
LONG CÂBLE 100 M
PM NEW 0 
PB 1</t>
  </si>
  <si>
    <t>4857544339AF28B4</t>
  </si>
  <si>
    <t>4857544339AAF9B4</t>
  </si>
  <si>
    <t>4857544339AFDAB4</t>
  </si>
  <si>
    <t>4857544339A62BB4</t>
  </si>
  <si>
    <t>4857544339A260B4</t>
  </si>
  <si>
    <t>22/10/2025::RAB 0000000271355
DMI 01 
PCO 112
D 04 
BRIN 2
LONG CÂBLE 300 M
PM NEW 3 
PB 1</t>
  </si>
  <si>
    <t>DMI01_PCO094</t>
  </si>
  <si>
    <t>RAB0000000271889</t>
  </si>
  <si>
    <t>KINDO ABDOUL DJALIL</t>
  </si>
  <si>
    <t>RAB0000000271910</t>
  </si>
  <si>
    <t>TRAORE ALIMATA</t>
  </si>
  <si>
    <t>RAB0000000271885</t>
  </si>
  <si>
    <t>IBRAHIMA BAMBA</t>
  </si>
  <si>
    <t>RAB0000000271880</t>
  </si>
  <si>
    <t>ABALE BRICE NESTOR</t>
  </si>
  <si>
    <t>DIVO DIOULABOUGOU GRANDE MOSQUEE</t>
  </si>
  <si>
    <t>RAB0000000271892</t>
  </si>
  <si>
    <t>KOMARA BAKARY</t>
  </si>
  <si>
    <t>RAB0000000271925</t>
  </si>
  <si>
    <t>CISSE NAWA</t>
  </si>
  <si>
    <t>DIVO DIALOGUE BOULANGERIE SOKA</t>
  </si>
  <si>
    <t>RAB0000000271921</t>
  </si>
  <si>
    <t>TEKI GBIMENE BENJAMIN</t>
  </si>
  <si>
    <t>DIVO KONANKRO DERRIERE LE LYCEE 3</t>
  </si>
  <si>
    <t>RAB0000000271969</t>
  </si>
  <si>
    <t>N'GUESSAN KOUAKOU BERANGER</t>
  </si>
  <si>
    <t>RAB0000000272022</t>
  </si>
  <si>
    <t>N'GORAN CHRISTIAN JOEL</t>
  </si>
  <si>
    <t>DIVO BOUDOUKOU MAQUIS A+</t>
  </si>
  <si>
    <t>4857544339B35CB4</t>
  </si>
  <si>
    <t>4857544339A846B4</t>
  </si>
  <si>
    <t>4857544339B350B4</t>
  </si>
  <si>
    <t>4857544339ADA9B4</t>
  </si>
  <si>
    <t>4857544339A810B4</t>
  </si>
  <si>
    <t>4857544339A33BB4</t>
  </si>
  <si>
    <t>4857544339A492B4</t>
  </si>
  <si>
    <t>RAB0000000272056</t>
  </si>
  <si>
    <t>TRAORE ISMAEL</t>
  </si>
  <si>
    <t>RAB0000000272142</t>
  </si>
  <si>
    <t>KOFFI LEANDRE</t>
  </si>
  <si>
    <t>RAB0000000272045</t>
  </si>
  <si>
    <t>BAH MAMADOU BILLO</t>
  </si>
  <si>
    <t>RAB0000000272055</t>
  </si>
  <si>
    <t>RAB0000000272119</t>
  </si>
  <si>
    <t>KONATE ABDOULAYE</t>
  </si>
  <si>
    <t>DIVO DIOULABOUGOU FACE UTB</t>
  </si>
  <si>
    <t>RAB0000000272166</t>
  </si>
  <si>
    <t>TRAORE METORA SOULEYMANE</t>
  </si>
  <si>
    <t>RAB0000000272196</t>
  </si>
  <si>
    <t>COMARA MOHAMED</t>
  </si>
  <si>
    <t>RAB0000000272169</t>
  </si>
  <si>
    <t>DIVO LIBANAIS INSPECTION2</t>
  </si>
  <si>
    <t>RAB0000000272172</t>
  </si>
  <si>
    <t>ADOU N'DORAN CLARISSE</t>
  </si>
  <si>
    <t>4857544339B120B4</t>
  </si>
  <si>
    <t>4857544339A75EB4</t>
  </si>
  <si>
    <t>4857544339B070B4</t>
  </si>
  <si>
    <t>4857544339A4BCB4</t>
  </si>
  <si>
    <t>485754431A8382B4</t>
  </si>
  <si>
    <t>22/10/2025:::RAB  0000000271885
DDI 01 
PCO 22
D 01
BRIN 6
LONG CÂBLE 250 M
PM NEW 1 
PB 1 
PM ANCIEN 3</t>
  </si>
  <si>
    <t>RAB0000000272251</t>
  </si>
  <si>
    <t>N'GUESSAN ANNA LAURAINE</t>
  </si>
  <si>
    <t>LIBREVILLE PHARMACIE HARMONY</t>
  </si>
  <si>
    <t>24/10/2025:: Client N'GUESSAN LAURENT ANNA
RAB 0000000272251
DBA 01 
PCO 45
D 02 
BRIN 7
LONG CÂBLE 100 M
PM NEW 0 
PB 2</t>
  </si>
  <si>
    <t>DDI01_PCO091</t>
  </si>
  <si>
    <t xml:space="preserve">21/10/2025:: Client LOUAN SADIA ALPHONSE INJOIGNABLE,/27/10/2025:: Client LOUAN SADIA ALPHONSE 
RAB 0000000271358
DDI 01 
PCO 91
D 03 
BRIN 1
LONG CÂBLE 200 M
PM NEW 0 
PB 2
RAB 0000000271358
</t>
  </si>
  <si>
    <t>DDI01_PCO043</t>
  </si>
  <si>
    <t>27/10/2025:: Client COULIBALY ISSIF
RAB 0000000272055
DDI 01 
PCO 43
D 02 
BRIN 1
LONG CÂBLE 150 M
PM NEW 0 
PB 2</t>
  </si>
  <si>
    <t>22/10/2025::RAB 0000000271355
DMI 01 
PCO 87
D 03 
BRIN 3
LONG CÂBLE 300 M
PM NEW 0 
PB 5</t>
  </si>
  <si>
    <t>4857544339B185B4</t>
  </si>
  <si>
    <t>4857544339A6D2B4</t>
  </si>
  <si>
    <t>22/10/2025:::RAB 0000000271747
DMI 01 
PCO 94
D 03 
BRIN 1
LONG CÂBLE 300 M
PM NEW 2
PB 3</t>
  </si>
  <si>
    <t>485754431A8290B4</t>
  </si>
  <si>
    <t>4857544339B70DB4</t>
  </si>
  <si>
    <t>4857544339A3EEB4</t>
  </si>
  <si>
    <t>4857544339B2D1B4</t>
  </si>
  <si>
    <t>485754431A83C8B4</t>
  </si>
  <si>
    <t>DDI01_PCO092</t>
  </si>
  <si>
    <t>28/10/2025:: Client CAMARA MOHAMED 
RAB 000000272196
DDI 01 
PCO 92 
D 03 
BRIN 1
LONG CÂBLE 200 M
PM NEW 1 
PB 1</t>
  </si>
  <si>
    <t>27/10/2025:: Client TRAORÉ METORA SOULEYMANE 
RAB 0000000272166
DDI 01 
PCO 92 
D 03 
BRIN 1
LONG CÂBLE 250 M
PM NEW 2
PB 1</t>
  </si>
  <si>
    <t>DDI01_PCO112</t>
  </si>
  <si>
    <t>27/10/2025:: Client SOUMANO AICHA 
RAB 0000000272169
DDI 01 
PCO 112
D 04 
BRIN 1
LONG CÂBLE 300 M
PM NEW 1 
PB 3</t>
  </si>
  <si>
    <t>28/10/2025:: Client KONATÉ ABDOULAYE 
RAB 0000000272119
DBA 01 
PCO 48
D 02 
BRIN 5
LONG CÂBLE 150 M
PM NEW 0 
PB 2</t>
  </si>
  <si>
    <t>27/10/2025:: Client N'GUESSAN KOUAKOU BERANGER
RAB 0000000271969
DDI 01 
PCO 14
D 01
BRIN 2
LONG CÂBLE 150 M
PM NEW 1 
PB 2</t>
  </si>
  <si>
    <t>DMI01_PCO005</t>
  </si>
  <si>
    <t xml:space="preserve">02/10/2025:: CLIENT YAO GOGO EUGENE,ZONE DE DÉPLOIEMENT DIALOGUE 1 , CLINIQUE KANTÉ/27/10/2025:: Client YAO GOGO EUGÈNE 
RAB 0000000268923
DMI 01 
PCO 05
D 01
BRIN 1
LONG CÂBLE 150 M
PM NEW 1 
PB 2
</t>
  </si>
  <si>
    <t>RAB0000000272352</t>
  </si>
  <si>
    <t>GOLY YVES OLIVIER</t>
  </si>
  <si>
    <t>DIVO QUARTIER LIBANAIS</t>
  </si>
  <si>
    <t>RAB0000000272484</t>
  </si>
  <si>
    <t>GUROBO NEMLIN RICHARD</t>
  </si>
  <si>
    <t>RAB0000000272468</t>
  </si>
  <si>
    <t>BAGAYOKO LADJI</t>
  </si>
  <si>
    <t>485754431A7EB6B4</t>
  </si>
  <si>
    <t>4857544339AD75B4</t>
  </si>
  <si>
    <t>4857544339A246B4</t>
  </si>
  <si>
    <t>4857544339A358B4</t>
  </si>
  <si>
    <t>485754431A8031B4</t>
  </si>
  <si>
    <t>RAB0000000272558</t>
  </si>
  <si>
    <t>VATICAN PATMOS</t>
  </si>
  <si>
    <t>27/10/2025::: RAB 0000000272558
DMI 01 
PCO 94
D 03 
BRIN 2
LONG CÂBLE 250 M
PM NEW 2
PB 3</t>
  </si>
  <si>
    <t>485754431A7E41B4</t>
  </si>
  <si>
    <t>DDI01_PCO033</t>
  </si>
  <si>
    <t>28/10/2025:: Client CISSÉ NAWA 
RAB 0000000271925
DDI 01 
PCO 33
D 02 
BRIN 2
LONG CÂBLE 150 M
PM NEW 1 
PB 1</t>
  </si>
  <si>
    <t>DDI01_PCO024</t>
  </si>
  <si>
    <t>28/10/2025:: Client TRAORÉ ALIMATA
RAB0000000271910
DDI01
PCO24
D01
BRIN 1
Long câble 200m
PM NEW 1
PB 02</t>
  </si>
  <si>
    <t>DMI01_PCO115</t>
  </si>
  <si>
    <t>28/10/2025:: Client ADOU N'DORAN CLARISSE 
RAB 0000000272172
DMI 01 
PCO115
D 04
BRIN 1
LONG CÂBLE 100 M
PM NEW 0
PB 1</t>
  </si>
  <si>
    <t>485754431A828FB4</t>
  </si>
  <si>
    <t>485754431A7E4DB4</t>
  </si>
  <si>
    <t>485754431A880CB4</t>
  </si>
  <si>
    <t>85754431A80C2B4</t>
  </si>
  <si>
    <t>485754431A80FEB4</t>
  </si>
  <si>
    <t>485754431A81F7B4</t>
  </si>
  <si>
    <t>DDI01_PCO023</t>
  </si>
  <si>
    <t>30/10/2025:: RAB 0000000271892
SN 
DDI 01 
PCO 023
D 01
BRIN 01
LONG CÂBLE 150 M
PM NEW 0 
PB 03</t>
  </si>
  <si>
    <t>24/10/2025:: RAB 0000000272142//30/10/2025:: Le client est en mission pour un mois
DMI 01 
PCO 95 
D 03 
BRIN 03 
PM NEW 3 
PB 1 
LONG CÂBLE 300M</t>
  </si>
  <si>
    <t>30/10/2025:: CLIENT GOLY YVES OLIVIER
RAB:0000000272352
SN:
DDI:01
PCO :093
D03
BRIN:02
LONG CÂBLE :250M
PM:00
PB:03</t>
  </si>
  <si>
    <t>30/10/2025::  CLIENT :KINDO ABDOUL DJALIL
RAB0000000271889
PCO 090
DDI 01
D03
LONG CÂBLE :150M
BRIN 02
PM NEW:01
PB:02</t>
  </si>
  <si>
    <t>DDI01_PCO073</t>
  </si>
  <si>
    <t>30/10/2025:: CLIENT BAH MAMADIU BILLO
RAB0000000272045
DDI 01
PCO 073
D03
BRIN:02
LONG CÂBLE :250M
PM NEW:01
PB:03</t>
  </si>
  <si>
    <t>DBA01_PCO042</t>
  </si>
  <si>
    <t>30/10/2025:: CLIENT ABALE BRICE NESTOR 
RAB0000000271880
PCO 042
BRIN:01
DBA 01
D02
LONG CÂBLE :300M
PM NEW :02
PB:03</t>
  </si>
  <si>
    <t>RAB0000000273053</t>
  </si>
  <si>
    <t>GNEZO GBOLOU EDMOND</t>
  </si>
  <si>
    <t>RAB0000000273057</t>
  </si>
  <si>
    <t>DIVO GARE D HIRE DERRIERE LA PHARMACIE</t>
  </si>
  <si>
    <t>RAB0000000272865</t>
  </si>
  <si>
    <t>YELO MARC CESAR</t>
  </si>
  <si>
    <t>VATICAN PETIT MARCHE</t>
  </si>
  <si>
    <t>RAB0000000273019</t>
  </si>
  <si>
    <t>DIARRA ABOU KARIM</t>
  </si>
  <si>
    <t>RAB0000000272905</t>
  </si>
  <si>
    <t>OUATTARA ZIE YAYA</t>
  </si>
  <si>
    <t>RAB0000000273031</t>
  </si>
  <si>
    <t>DJA LOH OLIVIER</t>
  </si>
  <si>
    <t>RAB0000000272914</t>
  </si>
  <si>
    <t>SYLLA MAHAMADOU</t>
  </si>
  <si>
    <t>RAB0000000273050</t>
  </si>
  <si>
    <t>GNINZE JEAN CASIMIR</t>
  </si>
  <si>
    <t>DIVO VATICAN HOTEL ROSEE DE L'HERMON</t>
  </si>
  <si>
    <t>485754431A7E89B4</t>
  </si>
  <si>
    <t>485754431A7FA1B4</t>
  </si>
  <si>
    <t>48575443146D0EB4</t>
  </si>
  <si>
    <t>48575443146969B4</t>
  </si>
  <si>
    <t>4857544314695EB4</t>
  </si>
  <si>
    <t>RAB0000000273149</t>
  </si>
  <si>
    <t>TRAORE MARIAM</t>
  </si>
  <si>
    <t>DIVO LIBANAIS MARCHE</t>
  </si>
  <si>
    <t>RAB0000000273162</t>
  </si>
  <si>
    <t>OUEDRAOGO MOHAMAD</t>
  </si>
  <si>
    <t>RAB0000000273156</t>
  </si>
  <si>
    <t>RAB0000000273188</t>
  </si>
  <si>
    <t>SACKO ISSOUF</t>
  </si>
  <si>
    <t>RAB0000000273182</t>
  </si>
  <si>
    <t>SANOGO KARINO</t>
  </si>
  <si>
    <t>RAB0000000273329</t>
  </si>
  <si>
    <t>KONATE ADAMA</t>
  </si>
  <si>
    <t>RAB0000000273253</t>
  </si>
  <si>
    <t>DAGO JEAN-MARIE VIANNEY</t>
  </si>
  <si>
    <t>DIVO PLATEAU AMAWOYE</t>
  </si>
  <si>
    <t>30/10/2025</t>
  </si>
  <si>
    <t>31/10/2025:: Client :DJA LOH OLIVIER 
RAB:0000000273031
DBA 01
PCO 023
D 01
BRIN 04
LONGUEUR DE CÂBLE 350M
PB 05
PM 01</t>
  </si>
  <si>
    <t>31/10/2025:: CLIENT N'GORAN CHRISTIAN JOEL
RAB:0000000272022
PCO:020
DBA:01
D01
BRIN 07
LONG CÂBLE :400M
PB:09
PM NEW:01</t>
  </si>
  <si>
    <t>31/10/2025:: Client : OUATTARA ZIE YAYA
RAB:0000000272905
DDI 01
PCO 070
D 03
BRIN 02
LONGUEUR DE CÂBLE 100M
PB 01
PM 00</t>
  </si>
  <si>
    <t>31/10/2025:: CLIENT DIARRA ABOU KARIM 
RAB0000000273019
PCO 116
DDI 01
D04
BRIN 03
LONG CÂBLE 150M
PB 02</t>
  </si>
  <si>
    <t>RAB0000000273091</t>
  </si>
  <si>
    <t>RAB0000000273112</t>
  </si>
  <si>
    <t>RAB0000000273059</t>
  </si>
  <si>
    <t>RAB0000000273058</t>
  </si>
  <si>
    <t>RAB0000000273115</t>
  </si>
  <si>
    <t>TIA OUOHI ADRIEN</t>
  </si>
  <si>
    <t>DEGBOU BLE DEBORAH STEPHANIE</t>
  </si>
  <si>
    <t>KONE IBRAHIM KALIL</t>
  </si>
  <si>
    <t>KOFFI N'GORAN ANNICK</t>
  </si>
  <si>
    <t>DIOURI CELI JONATHAN</t>
  </si>
  <si>
    <t>DIVO VATICAN CLINIC ZOE</t>
  </si>
  <si>
    <t>DIVO COMMERCE A COTE DE L'AGENCE MOOV</t>
  </si>
  <si>
    <t>31/10/2025::Client : KONE IBRAHIM KALIL
RAB:0000000273059
DDI 01
PCO 090
D 03
BRIN 02
LONGUEUR DE CÂBLE 150M
PB 02
PM 01</t>
  </si>
  <si>
    <t>31/10/2025:: Client : DIOURI CELI JONATHAN 
RAB:0000000273115
DDI 01
PCO 082
D 03
BRIN 02
LONGUEUR DE CÂBLE 150M
PB 02
PM 00</t>
  </si>
  <si>
    <t>31/10/2025:: CLIENT GNINZÉ JEAN CASIMIR 
RAB0000000273050
PCO 094
DMI01
D03
BRIN 03
LONG CÂBLE 350M
PB:03
PM ANCIEN :02
PM NEW:02</t>
  </si>
  <si>
    <t>31/10/2025:: CLIENT TEKI GBEMENE BENJAMIN 
RAB0000000271921
PCO:028
DBA01
D01
BRIN:02
LONG CÂBLE :350M
PM:01
PM NEW:04</t>
  </si>
  <si>
    <t>DMI02</t>
  </si>
  <si>
    <t>DMI02_PCO092</t>
  </si>
  <si>
    <t>31/10/2025:: CLIENT KOUAKOU KOUAKOU
RAB0000000273057
PCO 092
DMI 02
D03
BRIN 07
LONG CÂBLE :300M
PB:02
PM:02</t>
  </si>
  <si>
    <t>48575443146A8EB4</t>
  </si>
  <si>
    <t>48575443146F6DB4</t>
  </si>
  <si>
    <t>4857544314681EB4</t>
  </si>
  <si>
    <t>485754431A82DCB4</t>
  </si>
  <si>
    <t>485754431A7F4BB4</t>
  </si>
  <si>
    <t>RAB0000000273382</t>
  </si>
  <si>
    <t>OSSEY ADOU ANTOINE</t>
  </si>
  <si>
    <t>N'ZUE YAO POLYCARP</t>
  </si>
  <si>
    <t>485754431A7EB4B4</t>
  </si>
  <si>
    <t>485754431A8117B4</t>
  </si>
  <si>
    <t>48575443146F1AB4</t>
  </si>
  <si>
    <t>04/11/2025:: CLIENT GNEZO GBOLOU EDMOND
RAB0000000273053
PCO 023
DDI 01
D 01
BRIN:02 
LONG CÂBLE :100M
PB:02</t>
  </si>
  <si>
    <t>04/11/2025:: CLIENT YELO MARC CESAR
RAB0000000272865
PCO 069
DMI:01
D03
BRIN06
LONG CÂBLE :250M
PB:01
PM ANCIEN:02
PM NEW:01</t>
  </si>
  <si>
    <t>04/11/2025:: CLIENT TIA OUHI ADRIEN 
RAB0000000273091
PCO:094
DMI 01
D03
BRIN:03
LONG CÂBLE 300M
PB 03
PM ANCIEN 03
PM NEW01</t>
  </si>
  <si>
    <t>04/11/2025:: CLIENT SANOGO KARINO
RAB0000000273182
PCO041
DDI01
D02
BRIN02
LONG CÂBLE 150M
PB02</t>
  </si>
  <si>
    <t>DDI01_PCO012</t>
  </si>
  <si>
    <t>04/11/2025:: CLIENT KONATÉ ADAMA
RAB0000000273329
DDI 01
PCO 012
D01
BRIN 01
LONG CÂBLE 100M
PM 02
PM NEW 00</t>
  </si>
  <si>
    <t>04/11/2025:: CLIENT N'ZUÉ YAO POLICARP
RAB0000000273156
DBA 01
PCO 041
D 02
BRIN 03
LONG CÂBLE 200M
PB 04</t>
  </si>
  <si>
    <t>04/11/2025:: CLIENT OUEDRAOGO MAHAMAD
RAB0000000273162
DDI 01
PCO 054
D 02
BRIN 02
LONG CÂBLE 150M
PB 02</t>
  </si>
  <si>
    <t>DDI01_PCO081</t>
  </si>
  <si>
    <t>04/11/2025:: CLIENT INJOIGNABLE/04/11/2025:: CLIENT TRAORÉ MARIAM
RAB0000000273149
DD 01
PCO 081
D 03
BRIN 01
LONG CÂBLE 100M
PB 02</t>
  </si>
  <si>
    <t>4857544314680AB4</t>
  </si>
  <si>
    <t>RAB0000000273560</t>
  </si>
  <si>
    <t>TOGBE KAICHRISTINE</t>
  </si>
  <si>
    <t>DIVO VATICAN EGLISE CEMA</t>
  </si>
  <si>
    <t>RAB0000000273694</t>
  </si>
  <si>
    <t>TANOU KOUADIO CALEB</t>
  </si>
  <si>
    <t>DIVO DIALOGUE 2APRES PETIT MARCHE</t>
  </si>
  <si>
    <t>Hors zone couverture PCO</t>
  </si>
  <si>
    <t>05/11/2025:: CLIENT TANOU KOUADIO CALEB, HORS DE LA ZONE DE COUVERTURE DES PCO</t>
  </si>
  <si>
    <t>RAB0000000273701</t>
  </si>
  <si>
    <t>ZALLE FOUSSENI</t>
  </si>
  <si>
    <t>DIVO DIALOGUE 2RADIO DJIBOUA</t>
  </si>
  <si>
    <t>05/11/2025:: CLIENT ZALÉ, FOUSSENIHORS DE LA ZONE DE COUVERTURE DES PCO</t>
  </si>
  <si>
    <t>RAB0000000273567</t>
  </si>
  <si>
    <t>SAVANE MADOU</t>
  </si>
  <si>
    <t>05/11/2025:: CLIENT SAVANÉ MADOU
RAB0000000273567
DDI 01
PCO 003
D 01
BRIN 02
LONG CÂBLE 200M
PB 02
PM NEW 01</t>
  </si>
  <si>
    <t>DDI01_PCO064</t>
  </si>
  <si>
    <t>05/11/2025:: CLIENT TRAORÉ ISMAËL 
RAB0000000272056
DDI 01 
PCO 064
D 02
BRIN 01 
LONG CÂBLE 50M
PB 01</t>
  </si>
  <si>
    <t>05/11/2025:: client DEGBOU BLE DEBORAH STEPHANIE
RAB 0000000273112
DMI 01
PCO 88
D 03 
BRIN 5
LONG CÂBLE 350 M
PM NEW 1
PB 4
PM ANCIEN 1</t>
  </si>
  <si>
    <t>05/11/2025:: CLIENT OSSEY ADOU ANTOINE 
RAB0000000273382
PCO 064
DBA01
D02
BRIN 06
LONG CÂBLE 200M
PB01
PM ANCIEN 01
PM NEW:01</t>
  </si>
  <si>
    <t>48575443146DE4B4</t>
  </si>
  <si>
    <t>4857544339A636B4</t>
  </si>
  <si>
    <t>4857544339A298B4</t>
  </si>
  <si>
    <t>4857544339A2B6B4</t>
  </si>
  <si>
    <t>4857544339A2C8B4</t>
  </si>
  <si>
    <t>4857544339A78CB4</t>
  </si>
  <si>
    <t>4857544339A83AB4</t>
  </si>
  <si>
    <t>06/11/2025:::TOGBE KAI CHRISTINE
RAB 0000000273560
DMI 01
PCO 87
D 03
LONG CÂBLE 200 M
PB 2
PM NEW 0</t>
  </si>
  <si>
    <t>4857544339B214B4</t>
  </si>
  <si>
    <t>4857544339AA06B4</t>
  </si>
  <si>
    <t>4857544339A550B4</t>
  </si>
  <si>
    <t>06/11/2025:::GUROBO NEMLIN RICHARD
RAB 0000000272484
DMI 01
PCO 94
D 04
LONG CÂBLE 350 M
PM NEW 1
PB 03
PM ANCIEN 04</t>
  </si>
  <si>
    <t>05/11/2025::KOFFI N'GORAN ANNICK 
RAB 0000000273382
DBA 01
PCO 25
D 01 
BRIN 4
LONG CABLE 250 M
PM NEW 0
PB 2
PM ANCIEN 1</t>
  </si>
  <si>
    <t>CLIENT INJOIGNABLE /16/09/2025:: DBA01,PCO051,250M,2 NEWS PM,BRIN04</t>
  </si>
  <si>
    <t>RAB0000000273740</t>
  </si>
  <si>
    <t>BARRY BOUBACAR</t>
  </si>
  <si>
    <t>DIVO DIALOGUE CIMETIERE</t>
  </si>
  <si>
    <t>RAB0000000273850</t>
  </si>
  <si>
    <t>DIVO COMMERCE NON LOIN DE CDCI</t>
  </si>
  <si>
    <t>RAB0000000273863</t>
  </si>
  <si>
    <t>DIABY SOUMAILA</t>
  </si>
  <si>
    <t>RAB0000000273869</t>
  </si>
  <si>
    <t>TRAORE DJENEBA</t>
  </si>
  <si>
    <t>RAB0000000273868</t>
  </si>
  <si>
    <t>KOTCHI LUCIUS HILAIRE</t>
  </si>
  <si>
    <t>RAB0000000273892</t>
  </si>
  <si>
    <t>YAO AKISSI EVELYNE EMILIENNE</t>
  </si>
  <si>
    <t>RAB0000000273882</t>
  </si>
  <si>
    <t>CAMARA RAMATOU</t>
  </si>
  <si>
    <t>DIVO DIALOGUE2</t>
  </si>
  <si>
    <t>RAB0000000273880</t>
  </si>
  <si>
    <t>COULIBALY BAKARY</t>
  </si>
  <si>
    <t>RAB0000000273909</t>
  </si>
  <si>
    <t>RAB0000000273932</t>
  </si>
  <si>
    <t>COULIBALY ABOUBAKAR</t>
  </si>
  <si>
    <t>06/11/2025:::RAB 0000000273909
DBA 01
PCO 25
D 01
BRIN 7
LONG CÂBLE 350 M
PM NEW 0
PB 6
PM ANCIEN 1</t>
  </si>
  <si>
    <t>06/11/2025:::RAB 0000000273850
DBA 01
PCO 25
D 01
BRIN 6
LONG CÂBLE 350 M
PM NEW 0
PB 6
PM ANCIEN 1</t>
  </si>
  <si>
    <t>RAB0000000274060</t>
  </si>
  <si>
    <t>BERTE NADROUGOU YOUBA</t>
  </si>
  <si>
    <t>DIVO DIALOGUE 2 TIZIE</t>
  </si>
  <si>
    <t>DDI01_PCO128</t>
  </si>
  <si>
    <t>08/11/2025:: client DIABY SOUMAILA
RAB 0000000273863
DDI 01
PCO 128
D 04
BRIN 1
LONG CÂBLE 150 M
PM NEW 1
PB 1</t>
  </si>
  <si>
    <t xml:space="preserve"> 07/11/2025:: client TRAORE DJENEBA
RAB 0000000273869
DDI 01
PCO 127
D 04
BRIN 04
LONG CÂBLE 250 M
PM NEW 1
PB 3</t>
  </si>
  <si>
    <t>07/11/2025:: Clients CAMARA RAMATOU
RAB 0000000273882
DDI 01
PCO 21
D 01
BRIN 1
LONG CÂBLE 200M
PM NEW 1
PB 2</t>
  </si>
  <si>
    <t>DDI01_PCO072</t>
  </si>
  <si>
    <t>07/11/2025:: Clients COULIBALY ABOUBAKAR
RAB 0000000273932
DDI 01
PCO 72
D 03
BRIN 2
LONG CÂBLE 200 M
PM NEW 0
PB 02
PM ANCIEN 1</t>
  </si>
  <si>
    <t>07/11/2025:: Clients COULIBALY BAKARY
RAB 0000000273880
DDI 01
PCO 73
D 03
BRIN 1
LONG CÂBLE 200 M
PM NEW 0
PB 2</t>
  </si>
  <si>
    <t>07/11/2025:: Clients KOTCHI LUCIUS HILAIRE
RAB 0000000273868
DMI 01
PCO 86
D 03
BRIN 1
LONG CÂBLE 350 M
PM NEW 1
PB 3
PM ANCIEN 2</t>
  </si>
  <si>
    <t>07/10/2025:: Clients YAO AKISSI ÉVELYNE EMILIENNE
DMI 01
PCO 71
D 03
BRIN 6
LONG CÂBLE 200M
PM NEW 0
PB 2</t>
  </si>
  <si>
    <t>RAB0000000274492</t>
  </si>
  <si>
    <t>DOUMBIA MAMADOU</t>
  </si>
  <si>
    <t>DIVO DIOULABOUGOU PHARMACIE</t>
  </si>
  <si>
    <t>RAB0000000274111</t>
  </si>
  <si>
    <t>ZALLE YACOUBA</t>
  </si>
  <si>
    <t>DIVO QUARTIER COMMANDANT</t>
  </si>
  <si>
    <t>RAB0000000274303</t>
  </si>
  <si>
    <t>GUEIOUOMBLEGNON PACOME</t>
  </si>
  <si>
    <t>RAB0000000274402</t>
  </si>
  <si>
    <t>DONGO CHANTALE</t>
  </si>
  <si>
    <t>DIVO RESIDENTIEL COLLEGE ABOBLA</t>
  </si>
  <si>
    <t>RAB0000000274214</t>
  </si>
  <si>
    <t>DOBE AZODJI AHMED CISSE</t>
  </si>
  <si>
    <t>RAB0000000274097</t>
  </si>
  <si>
    <t>ASSI YAO JULIEN PLACIDE</t>
  </si>
  <si>
    <t>DIVO JERUSALEM DERRIERE ECOLE PRIMAIRE BADA</t>
  </si>
  <si>
    <t>RAB0000000274192</t>
  </si>
  <si>
    <t>KOUASSI JACQUES GNALOCQUAUD</t>
  </si>
  <si>
    <t>RAB0000000274406</t>
  </si>
  <si>
    <t>OUEDRAOGO BOUREIMA</t>
  </si>
  <si>
    <t>4857544339AF91B4</t>
  </si>
  <si>
    <t>4857544339A998B4</t>
  </si>
  <si>
    <t>4857544339A82EB4</t>
  </si>
  <si>
    <t>4857544339A467B4</t>
  </si>
  <si>
    <t>4857544339AAFFB4</t>
  </si>
  <si>
    <t>08/11/2025:: Client OUEDRAOGO BOUREIMA
RAB 0000000274406
DDI 01
PCO 41
D02
BRIN 03
LONG CÂBLE 300M
PM NEW 0
PB 4</t>
  </si>
  <si>
    <t>DBA01_PCO047</t>
  </si>
  <si>
    <t>08/11/2025:: Client DOUMBIA MAMADOU
RAB 0000000274492
DBA 01
PCO 47
D 02
BRIN 01
LONG CÂBLE 200 M
PM NEW 1
PB 2</t>
  </si>
  <si>
    <t>4857544339B6B3B4</t>
  </si>
  <si>
    <t>485754431A8098B4</t>
  </si>
  <si>
    <t>485754431A87B8B4</t>
  </si>
  <si>
    <t>485754431A7EC3B4</t>
  </si>
  <si>
    <t>485754431A811BB4</t>
  </si>
  <si>
    <t>485754431A82ECB4</t>
  </si>
  <si>
    <t>485754431A857EB4</t>
  </si>
  <si>
    <t>485754431A80C7B4</t>
  </si>
  <si>
    <t>485754431A80E6B4</t>
  </si>
  <si>
    <t>485754431A8605B4</t>
  </si>
  <si>
    <t>RAB0000000274645</t>
  </si>
  <si>
    <t>AWIS YABLAY JUNIOR MONDESIR</t>
  </si>
  <si>
    <t>RAB0000000274704</t>
  </si>
  <si>
    <t>BERTHE YOUSSOUF</t>
  </si>
  <si>
    <t>485754431A8065B4</t>
  </si>
  <si>
    <t>485754431A87F6B4</t>
  </si>
  <si>
    <t>RAB0000000274913</t>
  </si>
  <si>
    <t>BAH KHADIM</t>
  </si>
  <si>
    <t>RAB0000000275004</t>
  </si>
  <si>
    <t>ADOU KOSSI DEGLE</t>
  </si>
  <si>
    <t>DIVO ZAMMALAMANBOUGOU</t>
  </si>
  <si>
    <t>RAB0000000274983</t>
  </si>
  <si>
    <t>KOUAKOU AMOIN IDA</t>
  </si>
  <si>
    <t>RAB0000000274991</t>
  </si>
  <si>
    <t>DIARRA MOUSSA</t>
  </si>
  <si>
    <t>DIVO ZAMLANMANBOUGOU PHARMACIE EXPERANCE</t>
  </si>
  <si>
    <t>RAB0000000274981</t>
  </si>
  <si>
    <t>KOFFI YAO</t>
  </si>
  <si>
    <t>485754431A801DB4</t>
  </si>
  <si>
    <t>DDI01_PCO114</t>
  </si>
  <si>
    <t>04/11/2025:: client en déplacement 12/11/2025:::BAKAYOKO LADJI 
RAB 0000000272468
SN :485754431A801DB4
FIXE :2150038419
DDI 01
PCO 114
D04
BRIN 01
LONG CÂBLE 200M
PM NEW 
PB 03
INSTALLATION EN COURS</t>
  </si>
  <si>
    <t>LE CLIENT A ÉTÉ RECRUTE, HORS ZONE FTTH/13/11/2025:: Client : KOUADIO LOUKOU 
RAB 0000000207146
DMI 01
PCO 076
D03
BRIN 07
LONG CÂBLE 350M
PM NEW 04
PB 03</t>
  </si>
  <si>
    <t>485754431A86BAB4</t>
  </si>
  <si>
    <t>485754431A86FEB4</t>
  </si>
  <si>
    <t>13/11+A790:AC793/2025:: Client :AZODJI AMHED CISSÉ 
RAB 0000000274214
DMI 01
PCO 076
D03
BRIN 06
LONG CÂBLE 350M
PM NEW 04
PB 03</t>
  </si>
  <si>
    <t>RAB0000000275066</t>
  </si>
  <si>
    <t>RAB0000000275114</t>
  </si>
  <si>
    <t>DIABY MOUSTAPHA ALHMAMI NASSERI</t>
  </si>
  <si>
    <t>RAB0000000275046</t>
  </si>
  <si>
    <t>ZADI MARIE INNOCENTE</t>
  </si>
  <si>
    <t>DIVO DIALOGUE 2 AU FEU</t>
  </si>
  <si>
    <t>RAB0000000275065</t>
  </si>
  <si>
    <t>TRAORE MAMADOU</t>
  </si>
  <si>
    <t>RAB0000000275190</t>
  </si>
  <si>
    <t>BAYALA BALI THOMAS</t>
  </si>
  <si>
    <t>RAB0000000275098</t>
  </si>
  <si>
    <t>DIAGOURAGA BINAMARO</t>
  </si>
  <si>
    <t>DIVO LIBANAIS KAVALI</t>
  </si>
  <si>
    <t>RAB0000000275211</t>
  </si>
  <si>
    <t>NAHOUO SILUE</t>
  </si>
  <si>
    <t>DIVO DIALOGUE1</t>
  </si>
  <si>
    <t>RAB0000000275205</t>
  </si>
  <si>
    <t>DIET EPSE AGUI MELINA RAYMONDE</t>
  </si>
  <si>
    <t>RAB0000000275311</t>
  </si>
  <si>
    <t>DIVO DIALOGUE2 BOULANGERIE SOKA</t>
  </si>
  <si>
    <t>RAB0000000275294</t>
  </si>
  <si>
    <t>DIOP SOULEYMANE</t>
  </si>
  <si>
    <t>DIVO LIBANAIS CLINIQUE KANTE</t>
  </si>
  <si>
    <t>RAB0000000275315</t>
  </si>
  <si>
    <t>KANE SOUMAILA</t>
  </si>
  <si>
    <t>14/11/2025:: Client BAYALA BALI THOMAS
RAB 0000000275190
DBA 01
PCO 99
D04
BRIN 2
LONG CÂBLE 200M
PM NEW 0
PB 2</t>
  </si>
  <si>
    <t>14/11/2025:: Client ADOU KOSSI DEGLE
RAB 0000000275004
DBA 01
PCO 77
D 03
BRIN 5
LONG CÂBLE 350 M
PM NEW 0
PB 2
PM ANCIEN 3</t>
  </si>
  <si>
    <t>14/11/2025:: Client DIARRA MOUSSA
RAB 0000000274991
DBA 01
PCO 81
D 03
BRIN 7
LONG CÂBLE 350M
PM NEW 0
PB 5</t>
  </si>
  <si>
    <t>14/11/2025:: Client ZALLE YACOUBA
RAB 0000000274111
DBA 01
PCO 100
D 04
BRIN 7
LONG CÂBLE 350M
PM NEW 1
PB 1
PM ANCIEN 3</t>
  </si>
  <si>
    <t>Désistement</t>
  </si>
  <si>
    <t>LE CLIENT A ÉTÉ RECRUTE, HORS ZONE FTTH/22/08/2025:: DESATURATION DE PCO,Le client dit avoir faire une résiliation de son contrat</t>
  </si>
  <si>
    <t>14/11/2025:: Client KOUAKOU AMOIN IDA
RAB 00000000274983
DBA 01
PCO 20
D 01
BRIN 8
LONG CÂBLE 400M
PM NEW 1
PB 6</t>
  </si>
  <si>
    <t>15/11/2025:: Client DIET EPSE AGUI MELINA RAYMONDE
RAB 0000000275205
DMI 01
PCO 45
D 02
BRIN 8
LONG CÂBLE 200 M
PM NEW 0
PB 3</t>
  </si>
  <si>
    <t>14/11/2025:: Client BERTHE YOUSSOUF
RAB0000000274704
DDI 01
PCO 41
D 02
BRIN 4
LONG CÂBLE 100M
PM NEW 0
PB 1</t>
  </si>
  <si>
    <t>DDI01_PCO037</t>
  </si>
  <si>
    <t>15/11/2025:: Client SAVANE MADOU
RAB 0000000275311
DDI 01
PCO 37
D 02
BRIN 1
LONG CÂBLE 300M
PM NEW1
PB 3
PM ANCIEN 1</t>
  </si>
  <si>
    <t>15/11/2025:: Client KANE SOUMAILA
RAB 0000000275315
DDI 01
PCO 22
D 01
BRIN 7
LONG CÂBLE 150 M
PM NEW 0
PB 2</t>
  </si>
  <si>
    <t>DDI02</t>
  </si>
  <si>
    <t>DDI02_PCO061</t>
  </si>
  <si>
    <t>15/11/2025:: Client NAHOUO SILUE
RAB 0000000275211
DDI 02
PCO 61
D 02
BRIN 1
LONG CÂBLE 150M
PM NEW 0
PB 2</t>
  </si>
  <si>
    <t>15/11/2025:: Client ZADI MARIE INNOCENTE
RAB 0000000275046
DDI 02
PCO 61
D02
BRIN 02
LONG CÂBLE 100M
PM NEW O
PB 1</t>
  </si>
  <si>
    <t>485754431A80D1B4</t>
  </si>
  <si>
    <t>4857544339AA0EB4</t>
  </si>
  <si>
    <t>485754431A843EB4</t>
  </si>
  <si>
    <t>485754431A857AB4</t>
  </si>
  <si>
    <t>14/11/2025::AWIS YABLAY JUNIOR MON DÉSIR 
RAB 0000000274645
DMI 01
PCO 001
D01 
BRIN 02
LONG CÂBLE 100M
PM NEW 00
PM ANCIEN 00
PB 01</t>
  </si>
  <si>
    <t>14/11/2025:::KOFFI YAO 
RAB 0000000274981
DMI 01
PCO 095
D03
BRIN 05
LONG CÂBLE 150M
PM NEW 01
PB 01</t>
  </si>
  <si>
    <t>485754431A8339B4</t>
  </si>
  <si>
    <t>14/11/2025::BAH KHADIM
RAB 0000000274913
DMI 01
PCO 023
D02
BRIN 05
LONG CÂBLE 150M
PM NEW 00
PB 03</t>
  </si>
  <si>
    <t>14/11/2025::GUEIOUOMBLENON PACÔME 
RAB 0000000274303
DMI 01
PCO 094
D03 
BRIN 06
LONG CÂBLE 150M
PM NEW 01
PM ANCIEN 02
PB 03</t>
  </si>
  <si>
    <t>485754431A86A0B4</t>
  </si>
  <si>
    <t>485754431A879FB4</t>
  </si>
  <si>
    <t>485754431A81BFB4</t>
  </si>
  <si>
    <t>485754431A8439B4</t>
  </si>
  <si>
    <t>485754431A87C6B4</t>
  </si>
  <si>
    <t>485754431A8410B4</t>
  </si>
  <si>
    <t>485754431A8075B4</t>
  </si>
  <si>
    <t>485754431A7F63B4</t>
  </si>
  <si>
    <t>485754431A83F5B4</t>
  </si>
  <si>
    <t>485754431A8348B4</t>
  </si>
  <si>
    <t>RAB0000000275511</t>
  </si>
  <si>
    <t>SYLLA SEKOU</t>
  </si>
  <si>
    <t>DIVO DIALOGUE 2 MOSQUEE</t>
  </si>
  <si>
    <t>RAB0000000275525</t>
  </si>
  <si>
    <t>KOUASSI KRA JEAN MERMOZ</t>
  </si>
  <si>
    <t>RAB0000000275524</t>
  </si>
  <si>
    <t>KONE ALI</t>
  </si>
  <si>
    <t>DIVO ZAMANRAMANBOUGOU MOSQUEE</t>
  </si>
  <si>
    <t>RAB0000000275563</t>
  </si>
  <si>
    <t>TOURE ABIB</t>
  </si>
  <si>
    <t>RAB0000000275579</t>
  </si>
  <si>
    <t>CISSE LACINE</t>
  </si>
  <si>
    <t>DIVO LIBANAIS CAVALLY</t>
  </si>
  <si>
    <t>RAB0000000275586</t>
  </si>
  <si>
    <t>DIVO COMMERCE SGBCI</t>
  </si>
  <si>
    <t>RAB0000000275628</t>
  </si>
  <si>
    <t>OUEDRAOGO ABDOUL RASMANE</t>
  </si>
  <si>
    <t>RAB0000000275642</t>
  </si>
  <si>
    <t>DIVO VATICAN EGLISE PATMORS</t>
  </si>
  <si>
    <t>RAB0000000275658</t>
  </si>
  <si>
    <t>YEDJE DEMBELE</t>
  </si>
  <si>
    <t>DIVO LIBANAIS COLLEGE DIVINE FAMILLE</t>
  </si>
  <si>
    <t>RAB0000000275678</t>
  </si>
  <si>
    <t>AZOUKOU GNAGBO JOSUE</t>
  </si>
  <si>
    <t>RAB0000000275673</t>
  </si>
  <si>
    <t>AW AISSATA</t>
  </si>
  <si>
    <t>DIVO RESIDENTIEL</t>
  </si>
  <si>
    <t>RAB0000000275723</t>
  </si>
  <si>
    <t>FANY LACINA</t>
  </si>
  <si>
    <t>RAB0000000275782</t>
  </si>
  <si>
    <t>KOFFI KOUASSI DENIS</t>
  </si>
  <si>
    <t>DIVO GARE DE HIRE</t>
  </si>
  <si>
    <t>RAB0000000275854</t>
  </si>
  <si>
    <t>DIVO DIALLOGUE 1 PETIT MARCHE</t>
  </si>
  <si>
    <t>17/11/2025:: Client KOFFI KOUASSI DENIS
RAB 0000000275782
DMI 01
PCO 92
D 03
BRIN 8
LONG CÂBLE 250M
PM NEW 2
PB 2</t>
  </si>
  <si>
    <t>17/11/2025:: Client OUEDRAOGO ABDOUL RASMANE
RAB 0000000275628
DDI 01
PCO 41
D02
BRIN 5
LONG CÂBLE 250M
PM NEW O
PB 3</t>
  </si>
  <si>
    <t>DD01_PCO026</t>
  </si>
  <si>
    <t>17/11/2025:: Client SYLLA SEKOU
RAB 0000000275511
DDI 01
PCO 26
D 01
BRIN 1
LONG CÂBLE 35O M
PM NEW 1
PB 5</t>
  </si>
  <si>
    <t>DDI02_PCO062</t>
  </si>
  <si>
    <t>29/09/2025:: ZONE EN DÉPLOIEMENT/17/11/2025::Client SAWADOGO LASSANE
RAB 0000000223669
DDI 02
PCO 62
D 02
BRIN 1
LONG CÂBLE 300M
PM NEW 4
PB 1</t>
  </si>
  <si>
    <t>17/11/2025:: Client AZOUKOU GNAGBO JOSUE
RAB 0000000275854
DMI 01
PCO 34
D 02
BRIN 6
LONG CÂBLE 250 M
PM NEW 0
PB 1
PM ANCIEN 3</t>
  </si>
  <si>
    <t>485754431A825AB4</t>
  </si>
  <si>
    <t>485754431A7E60B4</t>
  </si>
  <si>
    <t>485754431A7F9EB4</t>
  </si>
  <si>
    <t>485754431A8456B4</t>
  </si>
  <si>
    <t>18/11/2025:: Client KONE ALI
RAB 0000000275524
DBA 01
PCO 87
D 03
BRIN 4
LONG CÂBLE 400 M
PM NEW 0
PB 3
PM 5</t>
  </si>
  <si>
    <t>RAB0000000275933</t>
  </si>
  <si>
    <t>DIARRASSOUBA MADOUSSOU</t>
  </si>
  <si>
    <t>RAB0000000275912</t>
  </si>
  <si>
    <t>BAMBA KARIDJA</t>
  </si>
  <si>
    <t>18/11/2025:: Client BAMBA KARIDJA    
RAB 0000000275912
DDI 01
PCO 38
D 02
BRIN 2
LONG CÂBLE 150 M
PM NEW 1
PB 2</t>
  </si>
  <si>
    <t>DDI02_PCO047</t>
  </si>
  <si>
    <t>DBA01_PCO056</t>
  </si>
  <si>
    <t>DDI01_PCO103</t>
  </si>
  <si>
    <t>DDI02_PCO065</t>
  </si>
  <si>
    <t>485754431A806FB4</t>
  </si>
  <si>
    <t>485754431A87A5B4</t>
  </si>
  <si>
    <t>485754431A85D9B4</t>
  </si>
  <si>
    <t>RAB0000000276300</t>
  </si>
  <si>
    <t>NIAVA ANGE AURELIEN</t>
  </si>
  <si>
    <t>RAB0000000276336</t>
  </si>
  <si>
    <t>OUATTARA HOUSSENOUN</t>
  </si>
  <si>
    <t>DIALOGUE 2 PETIT MARCHE</t>
  </si>
  <si>
    <t>RAB0000000276317</t>
  </si>
  <si>
    <t>DIVO PETIT MARCHE KONANKRO</t>
  </si>
  <si>
    <t>RAB0000000276382</t>
  </si>
  <si>
    <t>KOUAME AFFOUET MARIE LOUISE</t>
  </si>
  <si>
    <t>DIVO BADA CRS</t>
  </si>
  <si>
    <t>RAB0000000276512</t>
  </si>
  <si>
    <t>SOUMAHORO BANAFEMAN</t>
  </si>
  <si>
    <t>RAB0000000276399</t>
  </si>
  <si>
    <t>KOFFI MONIKA AKISSI BIENAIMEE</t>
  </si>
  <si>
    <t>RAB0000000276415</t>
  </si>
  <si>
    <t>KITCHIRI AMIDOU</t>
  </si>
  <si>
    <t>DIALOGUE 1 MARCHE</t>
  </si>
  <si>
    <t>RAB0000000276422</t>
  </si>
  <si>
    <t>DIALLO MAMADOU</t>
  </si>
  <si>
    <t>RAB0000000276464</t>
  </si>
  <si>
    <t>FANE YOUSSOUF</t>
  </si>
  <si>
    <t>DIVO DIALOGUE 1BOULANGERIE SOKA</t>
  </si>
  <si>
    <t>21/11/2025:: Client KOUADIO KOUASSI MALACE
RAB 0000000275642
DMI 01
PCO 95
D 03
BRIN 6
PM NEW 0
PB 1
PM ANCIEN</t>
  </si>
  <si>
    <t>20/11/2025:: Client KOUASSI JACQUES GNALOCQUAUD
RAB 0000000274192
DMI 01
PCO 46
D 01
BRIN 6
LONG CÂBLE 350 M
PM NEW 1</t>
  </si>
  <si>
    <t>20/11/2025:: Client N'GORAN CHRUSTIAN JOEL
RAB 0000000276317
DMI 01
PCO 38
D02
BRIN 2
LONG CÂBLE 100 M
PM NEW 0
PB 1</t>
  </si>
  <si>
    <t>20/11/2025:: RAB0000000276300 NIAVA ANGE
 AURELIEN
DBA 01
PCO 100
D 04
F1 -1
BRIN 08
DISTANCE : 250M
PM NEW 00
PB 00</t>
  </si>
  <si>
    <t>DDI01_PCO002</t>
  </si>
  <si>
    <t>4857544339A61CB4</t>
  </si>
  <si>
    <t>4857544339A4D3B4</t>
  </si>
  <si>
    <t>485754431A82B5B4</t>
  </si>
  <si>
    <t>22/11/2025:: Client : KOFFI MONIKA AKISSI BIEN-AIMÉE 
RAB:0000000276399
DMI 01
PCO 081
D 03
BRIN 06
LONGUEUR DE CÂBLE 250M
PB 02
PM NEW 01</t>
  </si>
  <si>
    <t>DDI02_PCO069</t>
  </si>
  <si>
    <t>21/11/2025:: Client :  KITCHRI AMIDOU 
RAB:0000000276415
DDI 02
PCO 069
D 03 
BRIN 01
LONGUEUR DE CÂBLE 150M
PB 02
PM 00</t>
  </si>
  <si>
    <t>RAB0000000276575</t>
  </si>
  <si>
    <t>DIARRA MOHAMED</t>
  </si>
  <si>
    <t>RAB0000000276571</t>
  </si>
  <si>
    <t>N'GUESSAN YAO ROLAND</t>
  </si>
  <si>
    <t>21/11/2025:: RAB00000000276464
FANE YOUSSOUF
DDI 01
PCO044
D 02 
F3-3
BRIN 01
DISTANCE : 200M
PM ANCIEN 02
PM NEW 00</t>
  </si>
  <si>
    <t>21/11/2025:: RAB0000000276575
DIARRA MOHAMED
DDI 01
PCO069
D 03
F2-2
BRIN 01
DISTANCE : 100M
PB 02
PM  00</t>
  </si>
  <si>
    <t>4857544339B676B4</t>
  </si>
  <si>
    <t>4857544339A8F1B4</t>
  </si>
  <si>
    <t>4857544339B162B4</t>
  </si>
  <si>
    <t>485754431A7EF9B4</t>
  </si>
  <si>
    <t>4857544339ACCDB4</t>
  </si>
  <si>
    <t>4857544339A9CEB4</t>
  </si>
  <si>
    <t>4857544339A884B4</t>
  </si>
  <si>
    <t>LE CLIENT DIARRASSOUBA MOUSSA EST HORS ZONE,IMMEUBLE,DEPLOIEMENT 2025//22/11/2025:: Client DIARRASSOUBA MOUSSA  
RAB 0000000194998
DDI 01
PCO 106
D 04
BRIN 1
LONG CÂBLE 350
PM NEW 4
PB 4</t>
  </si>
  <si>
    <t>22/11/2025:: Client DIOP SOULEYMANE  
RAB 0000000275294   
DDI 02  
PCO 47  
D 02
BRIN 1
LONG CÂBLE 250 M
PM NEW 1
PB 3</t>
  </si>
  <si>
    <t>22/11/2025:: Client COULIBALY IBRAHEMA
RAB 0000000275066
DDI 01
PCO 65
D 03
BRIN 3
LONG CÂBLE 150M
PM NEW 0
PB 2</t>
  </si>
  <si>
    <t>22/11/2025:: Client TRAORE MAMADOU
RAB 0000000275065
DDI 01
PCO 91
D 03
BRIN 3
LONG CÂBLE 250 M
PM NEW 0
PB 4</t>
  </si>
  <si>
    <t>22/11/2025:: Client DIAGOURAGA BINAMARO
RAB 0000000275098
DDI 01
PCO 71
D 03
BRIN 2
LONG CÂBLE 200 M
PM NEW 1
PB 2</t>
  </si>
  <si>
    <t>22/11/2025:: Client CISSE LACINE
RAB 0000000275579
DDI 01
PCO 73
D 03
BRIN 2
LONG CÂBLE 200M
PM NEW 0
PB 2</t>
  </si>
  <si>
    <t>22/11/2025:: Client KOUASSI KRA JEAN MERMOZ  
RAB 0000000275525   
DMI 01
PCO 81
D 03
BRIN 7
LONG CÂBLE 200M
PM NEW 1
PB 2</t>
  </si>
  <si>
    <t>22/11/2025:: Client DIARRASSOUBA MADOUSSOU
RAB 0000000275933
DDI 01
PCO 02
D 01
BRIN 3
LONG CÂBLE 100M
PM NEW 1
PB 1</t>
  </si>
  <si>
    <t>4857544339A47AB4</t>
  </si>
  <si>
    <t>20/11/2025:: RAB0000000276336 OUATTARA HOUSSENOUN
DDI 01
PCO 002
D 01
F1-1
BRIN 01
DISTANCE 150M
PM NEW 01
PB 00</t>
  </si>
  <si>
    <t>20/11/2025:: RAB0000000276382 KOUAME AFFOUET MARIE LOUISE
DMI 01
PCO 012
D 01
F3-3
BRIN 06
DISTANCE 350M
PM NEW 01</t>
  </si>
  <si>
    <t>RAB0000000276876</t>
  </si>
  <si>
    <t>TRAORE MOUSSA</t>
  </si>
  <si>
    <t>DIVO LIBANAIS CAVALLY DERRIERE LA MOSQUEE</t>
  </si>
  <si>
    <t>RAB0000000276883</t>
  </si>
  <si>
    <t>EL MADANY SIDI MOHAMED</t>
  </si>
  <si>
    <t>RAB0000000276868</t>
  </si>
  <si>
    <t>KEITA SOUMAILA</t>
  </si>
  <si>
    <t>DIVO DIALOGUE 2 CARREFOUR BADJAN</t>
  </si>
  <si>
    <t>RAB0000000276885</t>
  </si>
  <si>
    <t>EL MEDANY SIDI MOHAMED</t>
  </si>
  <si>
    <t>RAB0000000276887</t>
  </si>
  <si>
    <t>JACQUES FREDERIC FRANCOIS</t>
  </si>
  <si>
    <t>DIVO DILAOGUE NOUVELLE STATION</t>
  </si>
  <si>
    <t>24/11/2025:: CLIENT INJOIGNABLE</t>
  </si>
  <si>
    <t>24/11/2025:: Client TRAORE MOUSSA
RAB 0000000276876
DDI 01
PCO 71
D 03
BRIN 3
LONG CABLE 200M
PM NEW 1
PB 2</t>
  </si>
  <si>
    <t>HUB0001</t>
  </si>
  <si>
    <t>22/11/2025:: LE CLIENT EST INJOIGNALE,CLIENT PROJETER/24/11/2025:: Client TOURE ABIB
RAB 0000000275563
DMI 01
PCO 007
D 01
BRIN 8
LONG CÂBLE 350 M
PM NEW 2
PB 3
PM ANCIEN 2</t>
  </si>
  <si>
    <t>24/11/2025::  Client EL MEDANY SIDI MOHAMED
RAB 0000000276885
DBA 01
PCO 26
D 01
BRIN 5
LONG CÂBLE 350 M
PM NEW 0
PB 3
PM ANCIEN 3</t>
  </si>
  <si>
    <t>24/11/2025:: Client EL MADANY SIDI MOHAMED
DBA 01
PCO 24
D 01
BRIN 6
LONG CÂBLE 200 M
PM NEW 0
PB 3</t>
  </si>
  <si>
    <t>4857544339B139B4</t>
  </si>
  <si>
    <t>4857544339B5B9B4</t>
  </si>
  <si>
    <t>4857544339AF78B4</t>
  </si>
  <si>
    <t>4857544339A514B4</t>
  </si>
  <si>
    <t>485754431A835BB4</t>
  </si>
  <si>
    <t>4857544339AFB1B4</t>
  </si>
  <si>
    <t>4857544339AF69B4</t>
  </si>
  <si>
    <t>4857544339AD02B4</t>
  </si>
  <si>
    <t>4857544339A976B4</t>
  </si>
  <si>
    <t>4857544339A7D6B4</t>
  </si>
  <si>
    <t>4857544339B283B4</t>
  </si>
  <si>
    <t>485754431A846EB4</t>
  </si>
  <si>
    <t>RAB0000000276960</t>
  </si>
  <si>
    <t>ACHAH EPONON</t>
  </si>
  <si>
    <t>HOTEL KEKEDJOU DIALOGUE 2</t>
  </si>
  <si>
    <t>RAB0000000277015</t>
  </si>
  <si>
    <t>GUEHI KEMESSIEKAN JUDICAEL</t>
  </si>
  <si>
    <t>RAB0000000276946</t>
  </si>
  <si>
    <t>TRAORE MAIMOUNA EPSE OUATTARA</t>
  </si>
  <si>
    <t>DIVO KONANKRO CHR</t>
  </si>
  <si>
    <t>RAB0000000276923</t>
  </si>
  <si>
    <t>BELEM ABDOUL KADER</t>
  </si>
  <si>
    <t>RAB0000000277069</t>
  </si>
  <si>
    <t>KOUAME N'GUESSAN STEPHANE</t>
  </si>
  <si>
    <t>DIVO VATICAN EGLISE CELESTE</t>
  </si>
  <si>
    <t>RAB0000000277073</t>
  </si>
  <si>
    <t>TOURE MAMARAGBE</t>
  </si>
  <si>
    <t>LE CLIENT A ÉTÉ RECRUTE, HORS ZONE FTTH,25/11/2025:: le client dit ne pas etre prêt pour son installation</t>
  </si>
  <si>
    <t>25/11/2025:: Client KOUAME N'GUESSAN STÉPHANE
RAB 0000000277069
DMI 01
PCO 69
D 03
BRIN 5
LONG 300 M
PM NEW 2
PB 1
PM ANCIEN 1</t>
  </si>
  <si>
    <t>25/11/2025:: Client TRAORE MAIMOUNA EPSE OUATTARA
RAB 0000000276946
DBA 01
PCO 26
D 01
BRIN 6
LONG CÂBLE 200 M
PM NEW 0
PB 2</t>
  </si>
  <si>
    <t>25/11/2025:: Client GUEHI KEMESSIEKAN JUDICEAL
RAB 0000000277015
DBA 01
PCO 63
D 02
BRIN 4
LONG CÂBLE 300 M
PM NEW 0
PB 5</t>
  </si>
  <si>
    <t>25/11/2025:: Client : KEITA SOUMAILA
RAB:0000000276868
DDI 01
PCO 022
D 01
BRIN 08
LONGUEUR DE CÂBLE 150M
PB 01
PM 01</t>
  </si>
  <si>
    <t>RAB0000000277184</t>
  </si>
  <si>
    <t>OULD MAHOULOUDD</t>
  </si>
  <si>
    <t>JERUSALEM COLLEGE RAPHA</t>
  </si>
  <si>
    <t>26/11/2025:: Client BELEM ABDOUL KADER  
RAB 0000000276923    
DDI 01
PCO 33
D02
BRIN 03
LONG CÂBLE 250M
PM NEW 01
PB 03</t>
  </si>
  <si>
    <t>4857544339A215B4</t>
  </si>
  <si>
    <t>857544339B6E8B4</t>
  </si>
  <si>
    <t>27/11/2025:: Client N'GUESSAN YAO ROLAND
RAB 0000000276571
DMI 01
PCO 73
D 03
BRIN 4
LONG CÂBLE 250 M
PM NEW 1
PB 3</t>
  </si>
  <si>
    <t>27/11/2025:: Client TOURE MAMARAGBE
RAB 0000000277073
DBA 01
PCO 109
D 04
BRIN 4
LONG CÂBLE 200 M
PM NEW 0
PB 2
PM ANCIEN 1</t>
  </si>
  <si>
    <t>27/11/2025:: Client OULD MAHOYLOUDD
RAB 000000277184
DBA 01
PCO 83
D 03
BRIN 3
LONG CÂBLE 200 M
PM NEW 2
PB 1</t>
  </si>
  <si>
    <t>27/11/2025:: Client KONE DAOUDA
RAB 0000000275586
DBA 01
PCO 25
D 01
BRIN 7
LONG CÂBLE 250 M
PM NEW 0
PB 3</t>
  </si>
  <si>
    <t>27/11/2025:: Client FANY LACINA
DDI 01
PCO 92
D 03
BRIN 2
LONG CÂBLE 150 M
PM NEW 1
PB 1</t>
  </si>
  <si>
    <t>27/11/2025:: Client DAO DAOUDA
RAB 0000000275673
DDI 02
PCO 65
D 03
BRIN 1
LONG CÂBLE 50 M
PM NEW 0
PB 1</t>
  </si>
  <si>
    <t>DDI01_PCO046</t>
  </si>
  <si>
    <t>27/11/2025:: Client ACHAH EPONON
RAB 0000000276960
DDI 01
PCO 46
D 02
BRIN 1
LONG CÂBLE 150 M
PM NEW 1
PB 1</t>
  </si>
  <si>
    <t>RAB0000000277349</t>
  </si>
  <si>
    <t>DEME ABDOULAYE</t>
  </si>
  <si>
    <t>RAB0000000277306</t>
  </si>
  <si>
    <t>DIVO MILLIONNAIRE DERRIERE BOYA</t>
  </si>
  <si>
    <t>RAB0000000277304</t>
  </si>
  <si>
    <t>HAMIDOU KADIDIATOU</t>
  </si>
  <si>
    <t>RAB0000000277382</t>
  </si>
  <si>
    <t>CISSE MAMADOU</t>
  </si>
  <si>
    <t>RAB0000000277477</t>
  </si>
  <si>
    <t>TOURE MAMADOU</t>
  </si>
  <si>
    <t>DIVO COMMERCE MAGASIN GABI</t>
  </si>
  <si>
    <t>RAB0000000277415</t>
  </si>
  <si>
    <t>GUIRO YASSIA ARAFAT</t>
  </si>
  <si>
    <t>DIVO LIBANAIS GARE DES TAXI VERT</t>
  </si>
  <si>
    <t>RAB0000000277438</t>
  </si>
  <si>
    <t>KIEMPORE ISSIAKA</t>
  </si>
  <si>
    <t>DIVO 2 KENNEDY</t>
  </si>
  <si>
    <t>RAB0000000277421</t>
  </si>
  <si>
    <t>YAO AGBEMENE JACQUES</t>
  </si>
  <si>
    <t>RAB0000000277476</t>
  </si>
  <si>
    <t>KAMAGATE MOHAMAD ABOUBAKAR</t>
  </si>
  <si>
    <t>DIVO DIALOGUE 2 KENNEDY</t>
  </si>
  <si>
    <t>RAB0000000277395</t>
  </si>
  <si>
    <t>DIARRASSOUBA SIAKA</t>
  </si>
  <si>
    <t>27/11/2025:: Client YAO AGBEMENE JACQUES
DMI 01
PCO 95
D 03
BRIN 7
LONG CÂBLE 300 M
PM NEW 3
PB 1
PM ANCIEN 1</t>
  </si>
  <si>
    <t>RAB0000000277506</t>
  </si>
  <si>
    <t>OUEDRAOGO ABDOUL GANY</t>
  </si>
  <si>
    <t>27/11/2025:: Client DEME ABDOULAYE
RAB 0000000277349
DBA 01
PCO 83
BRIN 4
LONG CÂBLE 300 M
PM NEW 1
PB 3
PM ANCIEN 1</t>
  </si>
  <si>
    <t>27/11/2025:: Client GUIRO YASSIA ARAFAT
DDI 01
PCO104
D 04
BRIN 3
LONG CÂBLE 200 M
PM NEW 0
PB 1
PM ANCIEN 1</t>
  </si>
  <si>
    <t>27/11/2025:: Client CISSE MAMADOU
RAB 0000000277382
DDI 01
PCO 97
D 04
BRIN 3
LONG 350 M
PM 1
PB 5</t>
  </si>
  <si>
    <t>DDI01_PCO060</t>
  </si>
  <si>
    <t>DDI01_PCO016</t>
  </si>
  <si>
    <t>27/11/2025:: Client HAMIDOU KADIDIATOU
RAB 0000000277304
DDI 01
PCO 16
D 01
BRIN 1
LONG CÂBLE 150M
PM NEW 1
PB 1</t>
  </si>
  <si>
    <t>27/11/2025:: Client ADINGRA KOFFI CHRISTIAN VIANNEY
RAB 0000000277306
DMI 01
PCO 98
D 04
BRIN 3
LONG CÂBLE 500 M
PM NEW 0
PB 5
PM ANCIEN 4</t>
  </si>
  <si>
    <t>4857544339AADDB4</t>
  </si>
  <si>
    <t>4857544339B07BB4</t>
  </si>
  <si>
    <t>4857544339B494B4</t>
  </si>
  <si>
    <t>4857544339B090B4</t>
  </si>
  <si>
    <t>4857544339A373B4</t>
  </si>
  <si>
    <t>4857544339B064B4</t>
  </si>
  <si>
    <t>4857544339A9BFB4</t>
  </si>
  <si>
    <t>4857544339A4FBB4</t>
  </si>
  <si>
    <t>4857544339B38FB4</t>
  </si>
  <si>
    <t>4857544339B239B4</t>
  </si>
  <si>
    <t>DDI03</t>
  </si>
  <si>
    <t>28/11/2025:: Client OUEDRAOGO ABDOUL GANY
RAB 0000000277506
DDI 01 
PCO 66
D 03
BRIN 1
LONG CÂBLE 100 M
PM NEW 0
PB 1</t>
  </si>
  <si>
    <t>RAB0000000277584</t>
  </si>
  <si>
    <t>TRAZIE BI KOFFI MATHIAS</t>
  </si>
  <si>
    <t>DIVO VATICAN APRES LA PMU</t>
  </si>
  <si>
    <t>4857544339A289B4</t>
  </si>
  <si>
    <t>4857544339AD01B4</t>
  </si>
  <si>
    <t>4857544339B11DB4</t>
  </si>
  <si>
    <t>RAB0000000277593</t>
  </si>
  <si>
    <t>29/11/2025:: Client TRAZIE BI KOFFI MATHIAS
RAB 0000000277584
DMI 01
PCO 83
D 03
BRIN 4
LONG CÂBLE 100 M
PM NEW  0
PB 1</t>
  </si>
  <si>
    <t>4857544339A4F4B4</t>
  </si>
  <si>
    <t>4857544339A24DB4</t>
  </si>
  <si>
    <t>4857544339A515B4</t>
  </si>
  <si>
    <t>DDI01_PCO026</t>
  </si>
  <si>
    <t>01/12/2025:: Client TOURE MAMADOU
RAB 0000000277593
DDI 01
PCO 26
D 01
BRIN 2
LONG CÂBLE 400 M
PM NEW 0
PB 7</t>
  </si>
  <si>
    <t>14/11/2025:: Client ASSI YAO JULIEN PLACIDE
RAB 0000000274097
CLIENT EN DÉPLACEMENT//01/12/2025:: Client ASSI YAO JULIEN PLACIDE
RAB 0000000274997
HORS ZONE</t>
  </si>
  <si>
    <t>4857544339ADF6B4</t>
  </si>
  <si>
    <t>4857544339A56AB4</t>
  </si>
  <si>
    <t>4857544339A4BBB4</t>
  </si>
  <si>
    <t>27/11/2025:: CLIENT EN DEPLACEMENT 02/12/2025:::DIALLO MAMADOU
RAB 0000000276422
DDI 02
PCO 127
D 04
BRIN 1
LONG CÂBLE 100M
PM NEW 0
PB 1</t>
  </si>
  <si>
    <t>RAB0000000277752</t>
  </si>
  <si>
    <t>SOUMAHORO LAMINE</t>
  </si>
  <si>
    <t>02/12/2025:: Client SOUMAHORO LAMINE
RAB 0000000277752
DDI 01
PCO 12
D 01
BRIN 2
LONG CÂBLE 200M
PM NEW 2
PB 0
PM ANCIEN 1</t>
  </si>
  <si>
    <t xml:space="preserve">04/11/2025:: CLIENT DAGO JEAN MARIE VIANNEY 
RAB0000000273253
DBA 01
PCO 034
D:02
BRIN08
LONG CÂBLE 400M
PB04
PM ANCIEN 05
PM NEW 01 … CLIENT NOUS CONFIRMERA SA DISPONIBILITE POUR SON INSTALLATION </t>
  </si>
  <si>
    <t>29/11/2025:: //03/12/2025:: Client AW AISSATA
RAB 0000000275673
DDI 01
PCO 103
D 04
BRIN 1
LONG 200 M
PM NEW 1
PB 2</t>
  </si>
  <si>
    <t>RAB0000000277893</t>
  </si>
  <si>
    <t>DIARRA ABDOUL KARIM</t>
  </si>
  <si>
    <t>RAB0000000277949</t>
  </si>
  <si>
    <t>N'GUESSAN DAVID STEPHANE AHEGOUET</t>
  </si>
  <si>
    <t>RAB0000000277887</t>
  </si>
  <si>
    <t>CHIAKA SYLLA</t>
  </si>
  <si>
    <t>DIVO LIBANAIS DERRIERE LA MOSQUEE</t>
  </si>
  <si>
    <t>RAB0000000277832</t>
  </si>
  <si>
    <t>SANOGO ABOU</t>
  </si>
  <si>
    <t>RAB0000000277781</t>
  </si>
  <si>
    <t>DEME ABOUBAKRY</t>
  </si>
  <si>
    <t>DIVO DIALOGUE 1 GBEGABOUGOU</t>
  </si>
  <si>
    <t>28/11/2025</t>
  </si>
  <si>
    <t>29/11/2025</t>
  </si>
  <si>
    <t>DDI01_PCO078</t>
  </si>
  <si>
    <t>03/12/2025:: Client SANOGO ABOU
RAB 0000000277832
DDI 01
PCO 78
D 03
BRIN 1
LONG CÂBLE 300 M
PM NEW 3
PB 1</t>
  </si>
  <si>
    <t>03/12/2025:: Client CHIAKA SYLLA
RAB 0000000277887
DDI 01
PCO 93
D 03
BRIN 3
LONG CÂBLE 200M
PM NEW 0
PB 2</t>
  </si>
  <si>
    <t>DDI02_PCO128</t>
  </si>
  <si>
    <t>03/12/2025:: Clients DEME ABOUBAKRY
RAB 0000000277781
DDI 02
PCO 128
D 04
BRIN 1
LONG CÂBLE 200M
PM NEW 2
PB 1</t>
  </si>
  <si>
    <t>DDI02_PCO127</t>
  </si>
  <si>
    <t>03/12/2025:: Client DIARRA ADBOUL KARIM
RAB 0000000277893
DDI 02
PCO 127
D 04
BRIN 2
LONG CÂBLE 250 M
PM NEW 2
PB 2</t>
  </si>
  <si>
    <t>4857544339B58FB4</t>
  </si>
  <si>
    <t>4857544339B4E4B4</t>
  </si>
  <si>
    <t>4857544339AA39B4</t>
  </si>
  <si>
    <t>4857544339AE55B4</t>
  </si>
  <si>
    <t>4857544339B21FB4</t>
  </si>
  <si>
    <t>4857544339AE0AB4</t>
  </si>
  <si>
    <t>RAB0000000278246</t>
  </si>
  <si>
    <t>JAMMAL HASSAN</t>
  </si>
  <si>
    <t>COMMERCE POISSONERIE BG</t>
  </si>
  <si>
    <t>RAB0000000278190</t>
  </si>
  <si>
    <t>N'GUESSAN KOUAME VINCENT</t>
  </si>
  <si>
    <t>DIVO DIALOGUE 1 RUE DAOUDA</t>
  </si>
  <si>
    <t>RAB0000000278193</t>
  </si>
  <si>
    <t>KASSI KASSI RENE</t>
  </si>
  <si>
    <t>DIVO BADA APRES CAMP CRS</t>
  </si>
  <si>
    <t>RAB0000000278262</t>
  </si>
  <si>
    <t>KONE DRISSA</t>
  </si>
  <si>
    <t>08/09/2025::: LE CLIENT EST HORS ZONE</t>
  </si>
  <si>
    <t>PCO Saturé</t>
  </si>
  <si>
    <t>15/09/2025::LE CLIENT EN DÉPLACEMENT/17/09/2025:: PCO 103 SATURÉ// le client dit avoir faire une résiliation de son contrat</t>
  </si>
  <si>
    <t>04/10/2025:: CLIENT : FOFANA AFFOUSSATA ,RAB :0000000223607,CLIENT TOUJOURS INJOIGNABLE</t>
  </si>
  <si>
    <t>06/11/2025:: RAB 0000000273188,client SACKO ISSOUF,ZONE NON COUVERT DES PCO</t>
  </si>
  <si>
    <t>15/11/2025:: Client BERTE NADROUGOU YOUBA,HORS ZONE,ZONE NON COUVERT PRÉVU POUR DDI 03</t>
  </si>
  <si>
    <t>27/11/2025:: Client TOURE MAMADOU
RAB 0000000277477
HORS ZONE</t>
  </si>
  <si>
    <t>03/12/2025::Client N'GUESSAN DAVID STÉPHANE AHEGOUET
RAB 0000000277949
DBA 01
PCO 100 SATURÉ 
D 04</t>
  </si>
  <si>
    <t>04/12/2025::Client KASSI KASSI RENE
RAB 0000000278193
DMI 01
PCO 16
D 01
LONG CÂBLE 350 M
PM NEW 4
PB 1</t>
  </si>
  <si>
    <t>HUB03</t>
  </si>
  <si>
    <t>DDI01_PCO079</t>
  </si>
  <si>
    <t>4857544339B392B4</t>
  </si>
  <si>
    <t>21/03/2025 : RAB 0000000201219,Client MELESS STEVE ABDEL CAMUS,est indisponible ,/08/05/2025::injoignable ,etude projetee/18/08/2025:: CLIENT JOINT A CE JOUR , Client MELESS STEVE ABDEL CAMUS:: HORS ZONE</t>
  </si>
  <si>
    <t>24/08/2025:: CLIENT AFFIRME ETRE INSTALLE</t>
  </si>
  <si>
    <t>06/08/2025:: Client GNONSON BOHIN KEAPOHET,Injoignable 07/08/2025::: Hors zone/22/08/2025:: DESATURATION PCO</t>
  </si>
  <si>
    <t>05/12/2025:: Client N'GUESSAN KOUAME VINCENT 
RAB 0000000278190
DDI 02
PCO 127
D 04
BRIN 2
LONG CÂBLE 200 M
PM NEW 1
PB 1</t>
  </si>
  <si>
    <t>05/12/2025:: Client JAMMAL HASSAN
RAB 0000000278246
DBA 01
D 01
PCO 3 ET 4 Les plus proches sont SATURÉ</t>
  </si>
  <si>
    <t>05/12/2025:: Client KONE DRISSA
RAB OOOOOOO278262
DDI 01
PCO 79
D 03
BRIN 1
LONG CÂBLE 200M
PM NEW 0
PB 2</t>
  </si>
  <si>
    <t>RAB0000000278274</t>
  </si>
  <si>
    <t>traore moussa</t>
  </si>
  <si>
    <t>RAB0000000278307</t>
  </si>
  <si>
    <t>BINGOU ADIKO DANIEL</t>
  </si>
  <si>
    <t>RAB0000000278500</t>
  </si>
  <si>
    <t>KOUAKOU ABISSA HERVE</t>
  </si>
  <si>
    <t>DIVO LIBANAIS 2 ARONDISSEMENT</t>
  </si>
  <si>
    <t>RAB0000000278456</t>
  </si>
  <si>
    <t>KONE MAMADOU</t>
  </si>
  <si>
    <t>DIVO HOTEL LA KOKETTE</t>
  </si>
  <si>
    <t>RAB0000000278440</t>
  </si>
  <si>
    <t>SERI OUELE MATHIAS</t>
  </si>
  <si>
    <t>DIVOS VATICAN PATMOS</t>
  </si>
  <si>
    <t>DDI02_PCO011</t>
  </si>
  <si>
    <t>4857544339A47BB4</t>
  </si>
  <si>
    <t>4857544339AD78B4</t>
  </si>
  <si>
    <t>VILLE</t>
  </si>
  <si>
    <t>COMMUNE</t>
  </si>
  <si>
    <t>Noms</t>
  </si>
  <si>
    <t>Commentaires</t>
  </si>
  <si>
    <t>Categoire_Instance</t>
  </si>
  <si>
    <t>EQUIPE</t>
  </si>
  <si>
    <t>RAB0000000279003</t>
  </si>
  <si>
    <t>CISSE YOUSSOUF</t>
  </si>
  <si>
    <t>RAB0000000278860</t>
  </si>
  <si>
    <t>N'GATTA JEAN NOEL</t>
  </si>
  <si>
    <t>RAB0000000278642</t>
  </si>
  <si>
    <t>TRAORE SARAN</t>
  </si>
  <si>
    <t>RAB0000000278867</t>
  </si>
  <si>
    <t>KOUAME N'GORAN CASIMIR</t>
  </si>
  <si>
    <t>RAB0000000279013</t>
  </si>
  <si>
    <t>KONATE YOUSSIF</t>
  </si>
  <si>
    <t>DIVO DIALOGUE 2 ROUTE DU CIMETIERE</t>
  </si>
  <si>
    <t>RAB0000000278763</t>
  </si>
  <si>
    <t>OUATTARA LOHONAN</t>
  </si>
  <si>
    <t>RAB0000000278908</t>
  </si>
  <si>
    <t>EDJA KOFFI KAN</t>
  </si>
  <si>
    <t>VATICAN EGLISE PATMOS</t>
  </si>
  <si>
    <t>06/12/2025:: Client  EDJA KOFFI KAN
RAB 0000000278908
DMI 01       
PCO 94
D 03
BRIN 7
LONG CÂBLE 300M
PM NEW 03
PB 3
PM ANCIEN 00</t>
  </si>
  <si>
    <t>06/12/2025:: KONATÉ YOUSSIF
RAB0000000279013
HORS ZONE</t>
  </si>
  <si>
    <t>DDI02_PCO064</t>
  </si>
  <si>
    <t>4857544339B367B4</t>
  </si>
  <si>
    <t>4857544339AEB5B4</t>
  </si>
  <si>
    <t>4857544339A693B4</t>
  </si>
  <si>
    <t>4857544339B5C2B4</t>
  </si>
  <si>
    <t>RAB0000000279086</t>
  </si>
  <si>
    <t>TRAORE YEBENI ERIC</t>
  </si>
  <si>
    <t>DIVO CAVALLY MOSQUEE</t>
  </si>
  <si>
    <t>RAB0000000279131</t>
  </si>
  <si>
    <t>RAB0000000279146</t>
  </si>
  <si>
    <t>ALLANGBA KOUASSI N'GUESSAN</t>
  </si>
  <si>
    <t>DIVO DIALLOGUE 1</t>
  </si>
  <si>
    <t>4857544339A70FB4</t>
  </si>
  <si>
    <t>4857544339AD23B4</t>
  </si>
  <si>
    <t>4857544339B25BB4</t>
  </si>
  <si>
    <t>4857544339B2BFB4</t>
  </si>
  <si>
    <t>4857544339A2D2B4</t>
  </si>
  <si>
    <t>06/11/2025:: client SYLLA MAHAMADOU//09/12/2025:: CLIENT sylla Mahamadou
RAB 0000000272914
DDI 01
PCO 70
D 03
BRIN 3
LONG CABLE 300M
PM NEW 0
PB 1
PM ANC 2
RAB 0000000272914
NE répond pas aux appels</t>
  </si>
  <si>
    <t>09/12/2025:: CLIENT TRAORE YEBENI ERIC 
RAB 0000000279086
ZONE NON COUVERTE</t>
  </si>
  <si>
    <t>DDI02_PCO086</t>
  </si>
  <si>
    <t>05/12/2025:: Client BINGOU ADIKO DANIEL 
RAB 0000000278307
DBA 01
PCO 61
D 02
BRIN 2
LONG CÂBLE 300M
PM NEW 1
PB 1
PM ANCIEN 1</t>
  </si>
  <si>
    <t>05/12/2025:: Client KONE MAMADOU
RAB 0000000278456
DBA 01
PCO 115
D 04
BRIN 4
LONG CÂBLE 400 M
PM NEW 3
PB 1
PM ANCIEN 4</t>
  </si>
  <si>
    <t>4857544339AF6FB4</t>
  </si>
  <si>
    <t>09/12/2025::DIALLO MAMADOU
RAB 0000000279131
DDI 01 
PCO 75
D 03
BRIN 2
LONG CÂBLE 150M
PM NEW 0
PB 0
PM ANCIEN 2</t>
  </si>
  <si>
    <t>4857544339B51FB4</t>
  </si>
  <si>
    <t>09/12/2025:::ALLANGBA KOUASSI N'GUESSAN
RAB 0000000279146
DDI 02
PCO 86
D 03
BRIN 1
LONG CÂBLE 50M
PM NEW 0
PB 1</t>
  </si>
  <si>
    <t>4857544339AC91B4</t>
  </si>
  <si>
    <t>RAB0000000279584</t>
  </si>
  <si>
    <t>AMOUA KODJO GILDAS DE FLEUR</t>
  </si>
  <si>
    <t>DIVO KONANKRO EN FACE DU LYCEE MODERNE</t>
  </si>
  <si>
    <t>RAB0000000279553</t>
  </si>
  <si>
    <t>N'DIKPO WILFRIED</t>
  </si>
  <si>
    <t>DIVO VATICAN EGLISE PATMOS</t>
  </si>
  <si>
    <t>RAB0000000279601</t>
  </si>
  <si>
    <t>AKA BROU INNOCENT</t>
  </si>
  <si>
    <t>DIVO VATICAN ECOLE BAD</t>
  </si>
  <si>
    <t>RAB0000000279485</t>
  </si>
  <si>
    <t>KOFFI ANDRE ETTIEN</t>
  </si>
  <si>
    <t>4857544339A90DB4</t>
  </si>
  <si>
    <t>22/11/2025:: CLIENT PROJETER, CLIENT INJOIGNABLE 10/12/2025:::CLIENT YEDJE DEMBELE
RAB 0000000275658
DDI 01
PCO 72
D 03
BRIN 3
LONG CÂBLE 350 M
PM NEW 2
PB 2
PM ANCIEN 1</t>
  </si>
  <si>
    <t>4857544339AC5DB4</t>
  </si>
  <si>
    <t>27/11/2025:: en attente de PB a implanté pour la sortie du PCO 60, DDI 01 ,D 02 10/12/2025:: KIEMPORE ISSIAKA
RAB 0000000277438
DDI 01
PCO 60
D 02
BRIN 1
LONG CÂBLE 250
PM NEW 0
PB 3</t>
  </si>
  <si>
    <t>4857544339B125B4</t>
  </si>
  <si>
    <t>27/11/2025:: en attente de PB a implanté pour la sortie du PCO 60, DDI 01 ,D 02 10/12/2025::CLIENT KAMAGATE MOHAMAD ABOUBAKAR
RAB 0000000277476
DDI 01
PCO 60
D 02
BRIN 2
LONG CÂBLE 250 M
PM NEW 1
PB 3</t>
  </si>
  <si>
    <t>4857544339B5ABB4</t>
  </si>
  <si>
    <t>27/11/2025:: en attente de PB a implanté pour la sortie du PCO 60, DDI 01 ,D 02 10/12/2025::CLIENT DIARRASSOUBA SIAKA
RAB 0000000277395
DDI 01
PCO 60
D 02
BRIN 3
LONG CÂBLE 350 M
PM NEW 1
PB 4</t>
  </si>
  <si>
    <t>11/12/2025::RAB0000000279485
KOFFI ANDRE ETTIEN
DMI 01
PCO 078
D03
F1-1 
CÂBLE  150M
PM NEW 00
PB ANCIEN 03</t>
  </si>
  <si>
    <t>11/12/2025:: RAB0000000279584
AMOUA KODJO GILDAS DEFLEUR
DBA01
PCO 027
D01
F-7
CÂBLE 100M
PM NEW 00
PB ANCIEN 02</t>
  </si>
  <si>
    <t>11/12/2025:: RAB0000000279601
AKA BROU INNOCENT 
DMI 01 
PCO 086
D 03
F6-6
CABLE 150M
PM NEW 00
PB ANCIEN 02</t>
  </si>
  <si>
    <t>11/12/2025:: RAB0000000279553
N'DIKPO WILFRIED
DMI 01
PCO 095
D03
F8-8
CABLE  150M
PM NEW 00
PM ANCIEN 02
PM
PB ANCIEN 01</t>
  </si>
  <si>
    <t>RAB0000000279605</t>
  </si>
  <si>
    <t>RAB0000000279646</t>
  </si>
  <si>
    <t>BAZIE BAKARI</t>
  </si>
  <si>
    <t>RAB0000000279687</t>
  </si>
  <si>
    <t>KANVALY SOUMAHORO</t>
  </si>
  <si>
    <t>RAB0000000279690</t>
  </si>
  <si>
    <t>ZIDA SALIFOU</t>
  </si>
  <si>
    <t>RAB0000000279829</t>
  </si>
  <si>
    <t>DOUMBIA WALIHOUSSENI</t>
  </si>
  <si>
    <t>DIVO DIALOGUE 2 GBREKABOUKOU</t>
  </si>
  <si>
    <t>4857544339B75EB4</t>
  </si>
  <si>
    <t>4857544339A3A8B4</t>
  </si>
  <si>
    <t>4857544339A321B4</t>
  </si>
  <si>
    <t>4857544339AAEAB4</t>
  </si>
  <si>
    <t>4857544339AE10B4</t>
  </si>
  <si>
    <t>12/12/2025::RAB0000000279646 BAZIE BAKARI
DBA 01
PCO 098
D04
F1-1
CABLE  100M
PB ANCIEN 02
PM NEW 00
PM ANCIEN 00</t>
  </si>
  <si>
    <t>4857544339AFABB4</t>
  </si>
  <si>
    <t>12/12/2025:::RAB0000000279690 ZIDA SALIFOU
DBA 01 
PCO 025
D01
F7-7
Câble 350M
PM NEW 00
PM ANCIEN 04
PB ANCIEN 04</t>
  </si>
  <si>
    <t>4857544339B067B4</t>
  </si>
  <si>
    <t>RAB0000000279996</t>
  </si>
  <si>
    <t>COULIBALY CHEICKNA</t>
  </si>
  <si>
    <t>DIVO DIALOGUE 1 SBTA</t>
  </si>
  <si>
    <t>RAB0000000280003</t>
  </si>
  <si>
    <t>FOFANA DRISSA</t>
  </si>
  <si>
    <t>IVO DIALOGUE 2</t>
  </si>
  <si>
    <t>DDI01_PCO004</t>
  </si>
  <si>
    <t>4857544339A38EB4</t>
  </si>
  <si>
    <t>12/12/2025:::RAB0000000280003 FOFANA DRISSA
DDI 01
PCO004
D01
F1-1
CABLE 150M 
PM NEW 00
PB ANCIEN 02</t>
  </si>
  <si>
    <t>12/12/2025::RAB0000000279687 KANVALY SOUMAHORO
DDI01
PCO 097
D04
F1-1
CABLE 50M
PM NEW 00
PB ANCIEN 01 Ce client dit qu'il veut plus la fibre après avoir fini de faire son étude et exige un remboursement</t>
  </si>
  <si>
    <t>RAB0000000280168</t>
  </si>
  <si>
    <t>ZOUON SOULEYMANE</t>
  </si>
  <si>
    <t>RAB0000000280155</t>
  </si>
  <si>
    <t>FOFANA DOTIA</t>
  </si>
  <si>
    <t>RAB0000000280157</t>
  </si>
  <si>
    <t>TRAORE BASSORI</t>
  </si>
  <si>
    <t>RAB0000000280196</t>
  </si>
  <si>
    <t>KONE NAMBALASSE ZAKARIA</t>
  </si>
  <si>
    <t>DIVO DIALOGUE 1 COLLEGE SANATA</t>
  </si>
  <si>
    <t>RAB0000000280118</t>
  </si>
  <si>
    <t>KONATE MARIAM</t>
  </si>
  <si>
    <t>13/12/2025:: RAB0000000280168
ZOUON SOULEYMANE
DDI 01 
PCO 038
D02
F2-2
CÂBLE 250M
PM NEW 01
PB ANCIEN 03</t>
  </si>
  <si>
    <t>DDI02_PCO002</t>
  </si>
  <si>
    <t>13/12/2025:: RAB0000000280118
 KONATE MARIAM
DDI01
PCO002
D01
F1-1
CABLE 300M
PM NEW 00
PB ANCIEN 04</t>
  </si>
  <si>
    <t>13/12/2025:: RAB0000000280196   
KONE NAMBALASSE ZAKARIA   
DDI 01
PCO 120
D04
F6-6
CABLE 200M 
PB ANCIEN 01
PM NEW 02</t>
  </si>
  <si>
    <t>12/12/2025:::RAB0000000279829 DOUMBIA WALIHOUSSENI
DDI 02
PCO 128
D04 
F8-8
CÂBLE 250M
PM NEW 03
PM ANCIEN 00
PB ANCIEN 01</t>
  </si>
  <si>
    <t>RAB0000000279802</t>
  </si>
  <si>
    <t>KOUAKOUABISSA HERVE</t>
  </si>
  <si>
    <t>DIVO DIALOGUE 1 CMIT</t>
  </si>
  <si>
    <t>DDI02_PCO092</t>
  </si>
  <si>
    <t>4857544339A9A3B4</t>
  </si>
  <si>
    <t>RAB0000000280279</t>
  </si>
  <si>
    <t>KEITA ANLIOU</t>
  </si>
  <si>
    <t>DIVO DIALOGUE PHARMACIE DIALOGUE</t>
  </si>
  <si>
    <t>RAB0000000280322</t>
  </si>
  <si>
    <t>N'GUESSAN KOUAKOU ROLAND</t>
  </si>
  <si>
    <t>DIVO JERUSALEM GARAGE</t>
  </si>
  <si>
    <t>RAB0000000280343</t>
  </si>
  <si>
    <t>DIALLO ABDOULKARIM</t>
  </si>
  <si>
    <t>DIVO LIBANAIS HOTEL CAVALY</t>
  </si>
  <si>
    <t>RAB0000000280286</t>
  </si>
  <si>
    <t>SOGODOGO MOUSSA</t>
  </si>
  <si>
    <t>DDI01_PCO08</t>
  </si>
  <si>
    <t>13/12/2025:: RAB0000000280157  //15/12/2025:: RAB0000000280157
TRAORE BASSORI
DDI 01
PCO 008
D01
F2 -2
CÂBLE 100M
PM NEW 00
PM ANCIEN 01
TRAORE BASSORI     
Client en déplacement</t>
  </si>
  <si>
    <t>15/12/2025:: RAB0000000280322 N'GUESSAN KOUAKOU ROLAND
DBA 01
PCO 113
D04
F5-5
CABLE 200M
PB ANCIEN 01
PM NEW 02</t>
  </si>
  <si>
    <t>15/12/2025:: RAB0000000280343 DIALLO ABDOULKARIM
DDI 01
PCO 075
D03
F3-3
CABLE 200M
PM ANCIEN 02
PM NEW 02</t>
  </si>
  <si>
    <t>4857544339AB49B4</t>
  </si>
  <si>
    <t>4857544339B41FB4</t>
  </si>
  <si>
    <t>4857544339A528B4</t>
  </si>
  <si>
    <t>RAB0000000280431</t>
  </si>
  <si>
    <t>SORO IBRAHIM</t>
  </si>
  <si>
    <t>RAB0000000280418</t>
  </si>
  <si>
    <t>COULIBALY ABDRAMANE</t>
  </si>
  <si>
    <t>DIVO ZAMALAMANBOUGOU NOUVEAU GOUDRON</t>
  </si>
  <si>
    <t>RAB0000000280512</t>
  </si>
  <si>
    <t>EKLOU KOFFI AMENYO A</t>
  </si>
  <si>
    <t>DIVO DIALOGUE 2 CARREFOUR BADIAN</t>
  </si>
  <si>
    <t>16/12/2025:: RAB0000000280512 EKLOU KOFFI AMENYO A
DDI 01
PCO021
D01
F5-5
CABLE 200M 
PB ANCIEN 03
PM NEW 02</t>
  </si>
  <si>
    <t>DDI01_PCO077</t>
  </si>
  <si>
    <t>15/12/2025:: DDI 01
PC0 077
D03
F4-4
CABLE 350M
PB ANCIEN 01
PM ANCIEN 01
PM NEW 02</t>
  </si>
  <si>
    <t>4857544339AD48B4</t>
  </si>
  <si>
    <t>4857544339A692B4</t>
  </si>
  <si>
    <t>4857544339A727B4</t>
  </si>
  <si>
    <t>28/11/2025:::dit être en déplacements/12/12/2025:: CLIENT DIABY MOUSTAPHA ALHMANI NASSERI
RAB 0000000275114
DBA 01
PCO 56
D02
BRIN 1
LONG CÂBLE 50 M
PM NEW 0
PB 1</t>
  </si>
  <si>
    <t>CLIENT HORS ZONE//17/12/2025:: CLIENT : HIECRE SYLVERE LANDRY
RAB:0000000224188
HORS ZONE</t>
  </si>
  <si>
    <t>12/12/2025:: LE CLIENT EST EN DEPLACEMENT POUR ETUDE /17/12/2025:: CLIENT NOM CLIENT
RAB0000000279605 BAGAYOKO ADAMA
DD01
PCO018
D01
F4-4
Câble 200M 
PB ANCIEN 03
PM NEW 00</t>
  </si>
  <si>
    <t>DMI03_PCO069</t>
  </si>
  <si>
    <t>4857544339A33AB4</t>
  </si>
  <si>
    <t>15/12/2025:: CLIENT INDISPONIBLE 17/12/2025:::CLIENT FOFANA DOTIA
RAB 0000000280155
DMI 01
PCO 69
D 03
BRIN 7
LONG CÂBLE 200M
PM NEW 0
PB 3</t>
  </si>
  <si>
    <t>4857544339A6D3B4</t>
  </si>
  <si>
    <t>DBA01_PCO106</t>
  </si>
  <si>
    <t>18/12/2025:: RAB0000000280418 COULIBALY ABDRAMANE
DBA 01
PCO 106
D04
F3-3
Câble 150m
PB ANCIEN 03
PM NEW 01</t>
  </si>
  <si>
    <t>DDI01_PCO062</t>
  </si>
  <si>
    <t>15/12/2025:: CLIENT  INDISPONIBLE//18/12/2025:: RAB0000000280286	SOGODOGO MOUSSA   
 DDI01   
PCO 062  
D02
F8-8
Câble 100m
PB ANCIEN 01
PM NEW 01</t>
  </si>
  <si>
    <t>RAB0000000280649</t>
  </si>
  <si>
    <t>GOUAMENE YOBALE MELAINE BRICE</t>
  </si>
  <si>
    <t>RAB0000000280785</t>
  </si>
  <si>
    <t>RAB0000000280899</t>
  </si>
  <si>
    <t>DRAMERA MAMADOU</t>
  </si>
  <si>
    <t>RAB0000000280640</t>
  </si>
  <si>
    <t>GLAUDY DEHEYE SAMUEL CHAISE</t>
  </si>
  <si>
    <t>18/12/2025:: RAB0000000280899 DRAMERA MAMADOU
DD01
PCO 062
D02
F8-8
Câble 150m
PB ANCIEN 02
PM NEW 00</t>
  </si>
  <si>
    <t>18/12/2025:: RAB0000000280785 KOUAME KOUAKOU MICHAEL ULRICH 
DMI 01
PCO 039
D02
F2-F
Câble 100m
PB ANCIEN 02
PM NEW 00</t>
  </si>
  <si>
    <t>18/12/2025:: RAB0000000280640
GLAUDY DEHEYE SAMUEL CHAISE
DMI 01
PCO 080
D03
F4-4
Câble 250
PB ANCIEN 01
PM NEW 02</t>
  </si>
  <si>
    <t>18/12/2025:: RAB0000000280649 GOUAMENE YOBALE MELAINE BRICE
DBA 01 
PCO 017
D01
F5-5
CABLE 150M 
PB ANCIEN 02
PM NEW 00</t>
  </si>
  <si>
    <t>4857544339B5DBB4</t>
  </si>
  <si>
    <t>4857544339B3EAB4</t>
  </si>
  <si>
    <t>4857544339A63EB4</t>
  </si>
  <si>
    <t>4857544339ABC9B4</t>
  </si>
  <si>
    <t>4857544339B422B4</t>
  </si>
  <si>
    <t>4857544339A6FCB4</t>
  </si>
  <si>
    <t>4857544339AC54B4</t>
  </si>
  <si>
    <t>4857544339A653B4</t>
  </si>
  <si>
    <t>4857544339B5A2B4</t>
  </si>
  <si>
    <t>RAB0000000280948</t>
  </si>
  <si>
    <t>SOUMAORO ABDOULAYE</t>
  </si>
  <si>
    <t>DIVO DIALOGUE EXTENTION</t>
  </si>
  <si>
    <t>RAB0000000281070</t>
  </si>
  <si>
    <t>KONGOZA YAO ANICET BIENVENU</t>
  </si>
  <si>
    <t>RAB0000000281019</t>
  </si>
  <si>
    <t>RAB0000000280951</t>
  </si>
  <si>
    <t>DIVO LIBANAIS CAVALY</t>
  </si>
  <si>
    <t>RAB0000000280993</t>
  </si>
  <si>
    <t>DAGO ZADI JEAN-MARC</t>
  </si>
  <si>
    <t>RAB0000000281130</t>
  </si>
  <si>
    <t>KONATE MAMADOU</t>
  </si>
  <si>
    <t>DIVO KONANKRO PRES DU PEAGE</t>
  </si>
  <si>
    <t>RAB0000000281083</t>
  </si>
  <si>
    <t>DIVO-INCONNU - DMI01</t>
  </si>
  <si>
    <t>19/12/2025:: RAB0000000281070
KONGOZA YAO ANICET BIENVENU
DDI 01 
PCO097
D04
F1-1
CÂBLE 200M 
PB ANCIEN 02
PM NEW 01</t>
  </si>
  <si>
    <t>19/12/2025:: RAB0000000280948
SOUMAORO ABDOULAYE
Client hors zone</t>
  </si>
  <si>
    <t>DDI01_PCO086</t>
  </si>
  <si>
    <t>19/12/2025:: RAB0000000280951
TRAORE MAMADOU
DD01 01
PCO 086
D03
F6-6
CÂBLE 150M
PB ANCIEN 01
PM NEW 02</t>
  </si>
  <si>
    <t>19/12/2025:: RAB0000000280993
DAGO ZADI JEAN-MARC
DMI 01
PCO023
D01
F6-6
CABLE 350M 
PB ANCIEN 05
PM NEW 00</t>
  </si>
  <si>
    <t>19/12/2025:: RAB0000000281130
KONATE MAMADOU
DBA01
PCO027
D01
F7
Câble 200m
PB ANCIEN 03
PM 01</t>
  </si>
  <si>
    <t>19/12/2025:: RAB0000000281019
KONE ABDOULAYE
DD01
PCO 086
D03
F6-6
CÂBLE 250M
PB ANCIEN 01
PM ANCIEN 01
PM NEW 01</t>
  </si>
  <si>
    <t>4857544339B1A2B4</t>
  </si>
  <si>
    <t>4857544339A4D1B4</t>
  </si>
  <si>
    <t>4857544339B363B4</t>
  </si>
  <si>
    <t>RAB0000000281197</t>
  </si>
  <si>
    <t>YAO BAH CELESTIN</t>
  </si>
  <si>
    <t>DIVO VATICAN NOKANA BOBI</t>
  </si>
  <si>
    <t>RAB0000000281179</t>
  </si>
  <si>
    <t>TAGRO GUY SERGE</t>
  </si>
  <si>
    <t>RAB0000000281182</t>
  </si>
  <si>
    <t>N'DRI N'GUESSAN RICHARD</t>
  </si>
  <si>
    <t>RAB0000000281224</t>
  </si>
  <si>
    <t>20/12/2025:: RAB0000000281224
OUATTARA ABDOULAYE
DD01
PCO 075
D03
F3-3
Câble 100m
PM ANCIEN 01
PM NEW 00
PB ANCIEN 00</t>
  </si>
  <si>
    <t>20/12/2025:: RAB0000000281182
N'DRI N'GUESSAN RICHARD
DDI01
PCO037
D02
F2-2
CÂBLE 250M
PB ANCIEN 03
PM ANCIEN 01
PM NEW 01</t>
  </si>
  <si>
    <t>THOMAS KOUAO</t>
  </si>
  <si>
    <t>20/12/2025:: RAB0000000281083
THOMAS KOUAO
DMI 01
PCO 079
D03
F4-4
Câble 150m
PB ANCIEN 02
PM NEW 00</t>
  </si>
  <si>
    <t>485754431A6333B4</t>
  </si>
  <si>
    <t>485754431A6243B4</t>
  </si>
  <si>
    <t>485754431A63BAB4</t>
  </si>
  <si>
    <t>485754431A6507B4</t>
  </si>
  <si>
    <t>485754431A6D60B4</t>
  </si>
  <si>
    <t>DMI01_PCO105</t>
  </si>
  <si>
    <t>22/12/2025:: CLIENT YAO BAH CÉLESTIN
RAB 0000000281197
DMI 01
PCO 105
D 04
BRIN 1
LONG CÂBLE 300 M
PM NEW 2
PB 3</t>
  </si>
  <si>
    <t>22/12/2025:: CLIENT TAGRO GUY SERGE
RAB 0000000281179
DMI 01
PCO 71
D 03
BRIN 7
LONG CÂBLE 250M
PM NEW 1
PB 2
PM ANCIEN 1</t>
  </si>
  <si>
    <t>485754431A6401B4</t>
  </si>
  <si>
    <t>485754431A63A0B4</t>
  </si>
  <si>
    <t>RAB0000000281518</t>
  </si>
  <si>
    <t>AMANY NDRI BAH ELODIE</t>
  </si>
  <si>
    <t>RAB0000000281562</t>
  </si>
  <si>
    <t>DOUMBIA MOUHAMED MAMADOU</t>
  </si>
  <si>
    <t>DIVO ZAMALAMANBOUGOU MOSQUE</t>
  </si>
  <si>
    <t>RAB0000000281517</t>
  </si>
  <si>
    <t>AKOUASSA WAGO MARIE FLORE</t>
  </si>
  <si>
    <t>23/12/2025:: CLIENT AMANY N'DRI BAH ÉLODIE
RAB 0000000281518
DDI 01
PCO 26
D 01
BRIN 3
LONG CÂBLE 300M
PM NEW 0
PB 5</t>
  </si>
  <si>
    <t>23/12/2025:: CLIENT DOUMBIA MOUHAMED MAMADOU
RAB 0000000281562
DBA 01
PCO 89
D 03
BRIN 2
LONG CÂBLE 200 M
PM NEW 0
PB 2</t>
  </si>
  <si>
    <t>23/12/202:: CLIENT AKOUASSA WAGO MARIE FLORE
RAB 0000000281517
DMI 01
PCO 38
D 02
BRIN 3
LONG CÂBLE 200 M
PM NEW 0
PB 3</t>
  </si>
  <si>
    <t>485754431A67DBB4</t>
  </si>
  <si>
    <t>485754431A63EAB4</t>
  </si>
  <si>
    <t>485754431A5F8EB4</t>
  </si>
  <si>
    <t>RAB0000000281812</t>
  </si>
  <si>
    <t>KANE MADOU</t>
  </si>
  <si>
    <t>RAB0000000281802</t>
  </si>
  <si>
    <t>DJELI N'DRI ESTHER</t>
  </si>
  <si>
    <t>DIVO KONANKRO MAQUIS PEAGE</t>
  </si>
  <si>
    <t>RAB0000000281677</t>
  </si>
  <si>
    <t>AYEMENE JEAN DIEUDONNE</t>
  </si>
  <si>
    <t>RAB0000000281627</t>
  </si>
  <si>
    <t>CISSE ALI</t>
  </si>
  <si>
    <t>RAB0000000281765</t>
  </si>
  <si>
    <t>OUILI ASSETOU EPSE EBY</t>
  </si>
  <si>
    <t>RAB0000000281764</t>
  </si>
  <si>
    <t>DASSE BROU RAPHAEL</t>
  </si>
  <si>
    <t>26/12/2025:: RAB0000000281627
CISSE ALI
Client hors zone</t>
  </si>
  <si>
    <t>26/12/2025:: RAB0000000281765 OUILI ASSETOU EPSE EBY
DBA 01
PCO 098
D04
F1-1
Câble 150m 
PB ANCIEN 02
PM ANCIEN 01
PM NEW 00</t>
  </si>
  <si>
    <t>26/12/2025:: RAB0000000281677 AYEMENE JEAN DIEUDONNE
DMI 01
PCO 002
D 01
F1-1
CABLE 100M
PB ANCIEN 01
PM ANCIEN 01
PM NEW 00</t>
  </si>
  <si>
    <t>2/26/12/2025:: RAB0000000281812 KANE MADOU
DBA 01
PCO 048 
D02
F4-4
CÂBLE 150M 
PB ANCIEN 01
PM NEW 00</t>
  </si>
  <si>
    <t>485754431A6101B4</t>
  </si>
  <si>
    <t>26/12/2025:::RAB0000000281802 DJELI N'DRI ESTHER
DBA 01
PCO 027
D01
F7 -7
CABLE 250
PB ANCIEN 04
PM NEW 00</t>
  </si>
  <si>
    <t>485754431A6C3EB4</t>
  </si>
  <si>
    <t>485754431A6A66B4</t>
  </si>
  <si>
    <t>26/12/2025::RAB0000000281764 DASSE BROU RAPHAEL
DMI 01
PCO 070
D03
F2-2
CÂBLE 200M 
PB ANCIEN 02
PM NEW 00</t>
  </si>
  <si>
    <t>485754431A611DB4</t>
  </si>
  <si>
    <t>485754431A6846B4</t>
  </si>
  <si>
    <t>RAB0000000282242</t>
  </si>
  <si>
    <t>RAB0000000282093</t>
  </si>
  <si>
    <t>MUKAILA LATIFU</t>
  </si>
  <si>
    <t>RAB0000000281886</t>
  </si>
  <si>
    <t>ANEHOUA BLIHOUA</t>
  </si>
  <si>
    <t>DIVO JERUSALEM COLLEGE BON BERGER</t>
  </si>
  <si>
    <t>RAB0000000282241</t>
  </si>
  <si>
    <t>RAB0000000281904</t>
  </si>
  <si>
    <t>AWOTWI ABLAN NINA YVETTE</t>
  </si>
  <si>
    <t>RAB0000000281833</t>
  </si>
  <si>
    <t>OUMAROU IBRAHIMA MAAOUYA</t>
  </si>
  <si>
    <t>RAB0000000281831</t>
  </si>
  <si>
    <t>TOGBE NAGNIN ISIDORE</t>
  </si>
  <si>
    <t>RAB0000000281838</t>
  </si>
  <si>
    <t>FADIKA MOHAMED</t>
  </si>
  <si>
    <t>RAB0000000281964</t>
  </si>
  <si>
    <t>FOFANA MOUSSA</t>
  </si>
  <si>
    <t>DIVO DIALOGUE2 PETIT MARCHE</t>
  </si>
  <si>
    <t>RAB0000000282350</t>
  </si>
  <si>
    <t>SORO NOUBONTENIN ARNAUD</t>
  </si>
  <si>
    <t>DIVO LYCEE MODERNE 3</t>
  </si>
  <si>
    <t>RAB0000000282381</t>
  </si>
  <si>
    <t>KOUADIO YAO JEAN DIDIER</t>
  </si>
  <si>
    <t>DIVO GREKABOUGOU</t>
  </si>
  <si>
    <t>RAB0000000282429</t>
  </si>
  <si>
    <t>KOUASSI KOKORE KAN MICHEL</t>
  </si>
  <si>
    <t>RAB0000000282425</t>
  </si>
  <si>
    <t>29/12/2025:: CLIENT OUMAROU IBRAHIMA MAAOUYA
RAB 0000000281833
DMI 01
PCO 08
D 01
BRIN 3
LONG CÂBLE 350 M
PM NEW 3
PB 4
PM ANCIEN 2</t>
  </si>
  <si>
    <t>29/12/2025:: CLIENT ANEHOUA BLIHOUA
RAB 0000000281886
HORS ZONE</t>
  </si>
  <si>
    <t>29/12/2025:: CLIENT AWOTWI ABLAN NINA YVETTE
RAB 0000000281904
DBA 01
PCO 23
D 01
BRIN 8
LONG CÂBLE 150 M
PM NEW 0
PB 2</t>
  </si>
  <si>
    <t>DBA01_PCO006</t>
  </si>
  <si>
    <t>29/12/2025:: CLIENT TOGBE NAGNIN ISIDORE
RAB 0000000281831
DBA 01
PCO 59
D 02
BRIN 4
LONG CÂBLE 250 M
PM NEW 0
PB 3
PM ANCIEN 1</t>
  </si>
  <si>
    <t>29/12/2025:: CLIENT MUKAILA LATIFU
RAB 0000000282093
DBA 01
PCO 63
D 02
BRIN 5
LONG CÂBLE 250 M
PM NEW 0
PB 4</t>
  </si>
  <si>
    <t>29/12/2025:: CLIENT SORO NOUBONTENIN ARNAUD
RAB 0000000282350
DBA 01
PCO 28
D 01
BRIN 3
LONG CÂBLE 250 M
PM NEW 1
PB 0
PM ANCIEN 3</t>
  </si>
  <si>
    <t>29/12/2025:: CLIENT KOUASSI KOKORE KAN MICHEL
RAB 0000000282429
DBA 01
PCO 113
D 04
BRIN 3
LONG CÂBLE 200M
PM NEW 0
PB 2</t>
  </si>
  <si>
    <t>485754431A6E0DB4</t>
  </si>
  <si>
    <t>485754431A674FB4</t>
  </si>
  <si>
    <t>485754431A5FCCB4</t>
  </si>
  <si>
    <t>485754434233DCB1</t>
  </si>
  <si>
    <t>48575443423C8EB1</t>
  </si>
  <si>
    <t>48575443424D16B1</t>
  </si>
  <si>
    <t>48575443424CF3B1</t>
  </si>
  <si>
    <t>4857544339A678B4</t>
  </si>
  <si>
    <t>30/12/2025::CLIENT KOUADIO YAO JEAN DIDIER 
RAB 0000000282381
DDI 01
PCO 128
D 04
BRIN 5
LONG CÂBLE 250 M
PM NEW 0
PB 01
PM ANCIEN 4</t>
  </si>
  <si>
    <t>30/12/2025:: CLIENT FOFANA MOUSSA
RAB RAB0000000281964
DDI 01
PCO 02
D 01
BRIN 4
LONG CÂBLE 250 M
PM NEW 1
PB 3</t>
  </si>
  <si>
    <t>30/12/2025:: CLIENT KONE ZOUMANA
RAB RAB0000000282425
DDI 01
PCO 05
D 01
BRIN 2
LONG CÂBLE 200M
PM NEW 1
PB 2</t>
  </si>
  <si>
    <t>30/12/2025:: CLIENT KONE ADAMA
RAB RAB0000000282242
DDI 01
PCO 34
D 02
BRIN 2
LONG CÂBLE 200M
PM NEW 1
PB 1</t>
  </si>
  <si>
    <t>DDI01_PCO080</t>
  </si>
  <si>
    <t>30/12/2025:: CLIENT FADIKA MOHAMED
RAB RAB0000000281838
DDI 01
PCO 80
D 03
BRIN 1
LONG CÂBLE 250M
PM NEW 1
PB 3</t>
  </si>
  <si>
    <t>RAB0000000282686</t>
  </si>
  <si>
    <t>KESSE MIHIA MARTINE</t>
  </si>
  <si>
    <t>30/12/2025:: KESSE MIHIA MARTINE
RAB RAB0000000282686
DBA 01
PCO 103
D 04
BRIN 8
LONG CÂBLE 350M
PM NEW 0
PB 2
PM ANCIEN 5</t>
  </si>
  <si>
    <t>48575443424593B1</t>
  </si>
  <si>
    <t>485754434247F2B1</t>
  </si>
  <si>
    <t>RAB0000000283100</t>
  </si>
  <si>
    <t>HARB HUSSEIN</t>
  </si>
  <si>
    <t>RAB0000000283006</t>
  </si>
  <si>
    <t>OUATTARA YAYA</t>
  </si>
  <si>
    <t>RAB0000000283057</t>
  </si>
  <si>
    <t>KOFFI FABRICE</t>
  </si>
  <si>
    <t>DIVO VATICAN CLINIQUE ZOHE</t>
  </si>
  <si>
    <t>RAB0000000282857</t>
  </si>
  <si>
    <t>KOUAME KOUASSI PAUL OLIVIER</t>
  </si>
  <si>
    <t>DIVO PLATEAU FACE A LA BRIGADE</t>
  </si>
  <si>
    <t>RAB0000000282854</t>
  </si>
  <si>
    <t>AHUI SEKE ESSIGBE ROSINE</t>
  </si>
  <si>
    <t>DIVO VATICAN APRES EGLISE CMA</t>
  </si>
  <si>
    <t>RAB0000000282859</t>
  </si>
  <si>
    <t>COULIBALY IDRISS</t>
  </si>
  <si>
    <t>DIVO DIALOGUE 1 GARE SBTA</t>
  </si>
  <si>
    <t>RAB0000000283020</t>
  </si>
  <si>
    <t>N GUESSAN AMOIN LEA</t>
  </si>
  <si>
    <t>DIVO DIALOGUE1 GBEGABOUGOU</t>
  </si>
  <si>
    <t>RAB0000000283071</t>
  </si>
  <si>
    <t>TRAORE ABOUBAKAR</t>
  </si>
  <si>
    <t>DIVO DIALOGUE 1 PETIT MARCHE</t>
  </si>
  <si>
    <t>4857544342453AB1</t>
  </si>
  <si>
    <t>29/12/2025:: CLIENT KOITA YACOUBA
RAB 0000000282241
DBA 01
PCO 06
D 01
BRIN 1
LONG CÂBLE 350 M
PM NEW 1
PB 4</t>
  </si>
  <si>
    <t>05/01/2026:: CLIENT HARB HUSSEIN
RAB 0000000283100
DBA 01
PCO 71
D 03
BRIN 7
LONG CÂBLE 200 M
PM NEW 1
PB 1</t>
  </si>
  <si>
    <t>05/01/2026:: CLIENT KOFFI FABRICE
RAB RAB0000000283057
DMI 01
PCO 88
D 03
BRIN 6
LONG CÂBLE 300
PM NEW 0
PB 4</t>
  </si>
  <si>
    <t>DDI01_PCO119</t>
  </si>
  <si>
    <t>05/01/2026:: CLIENT  OUATTARA YAYA
RAB0000000283006
DDI 01
PCO 119
D04
BRIN 2
LONG CÂBLE 150M
PM NEW 1
PB1</t>
  </si>
  <si>
    <t>05/01/2026:: CLIENT  N GUESSAN AMOIN GUESSAN AMOIN LEA
RAB 0000000283020
DDI 02
PC128
D 04
BRIN 6
LONG CÂBLE 300M
PM NEW 2
PB 1
PM ANCIEN 2</t>
  </si>
  <si>
    <t>DDI02_PCO083</t>
  </si>
  <si>
    <t>05/01/2026:: RAB0000000283071
TRAORE ABOUBAKAR
DDI 02
PCO 83
D 03
BRIN 1
LONG CÂBLE  100 M
PM NEW 0
PB 2</t>
  </si>
  <si>
    <t>DBA01_PCO060</t>
  </si>
  <si>
    <t>05/01/2026:: RAB0000000282857 
KOUAME KOUASSI PAUL OLIVIER
DBA 01
PCO 60
D 02
BRIN 1
LONG CÂBLE 300 M
PM NEW 4
PB 1</t>
  </si>
  <si>
    <t>05/01/2026:: RAB0000000282859 COULIBALY IDRISS
HORS ZONE</t>
  </si>
  <si>
    <t>48575443424F6FB1</t>
  </si>
  <si>
    <t>485754431A63C9B4</t>
  </si>
  <si>
    <t>485754431A69F3B4</t>
  </si>
  <si>
    <t>48575443424F02B1</t>
  </si>
  <si>
    <t>48575443423BD5B1</t>
  </si>
  <si>
    <t>48575443423040B1</t>
  </si>
  <si>
    <t>RAB0000000283572</t>
  </si>
  <si>
    <t>SIDIBE LOSSENI</t>
  </si>
  <si>
    <t>RAB0000000283577</t>
  </si>
  <si>
    <t>ABE ACHO DENIS ELVIS</t>
  </si>
  <si>
    <t>RAB0000000283422</t>
  </si>
  <si>
    <t>COULIBALY DJENEBA</t>
  </si>
  <si>
    <t>485754434252EEB1</t>
  </si>
  <si>
    <t>07/01/2026:: N° CLIENT
RAB0000000283572 
NOM CLIENT SIDIBE LOSSENI
DDI 01
PCO 82
D 03
BRIN 3
LONG CÂBLE 150M
PM NEW 0
PB 2</t>
  </si>
  <si>
    <t>07/01/2026:: RAB0000000283577
NOM 
ABE ACHO DENIS ELVIS
DMI 01
PCO 85
D 03
BRIN 4
LONG CÂBLE 200M
PM NEW 0
PM ANCIEN 1
PB 1</t>
  </si>
  <si>
    <t>06/12/2025:: KOUAME N,GORAN CASMIR //07/01/2026:: Kouame ngoran casmir RAB 278867
RAB 0000000278867
DMI 01
PCO 117
D 04
BRIN 3
LONG CÂBLE 300M
PM NEW 2
PB 3
RAB 0000000278642
INJOIGNABLE</t>
  </si>
  <si>
    <t>05/01/2026::CLIENT AHUI SEKE ESSIGBE ROSINE//07/01/2026:: CLIENT AHUI SEKE ESSIGBE ROSINE
RAB0000000282854
DMI 01
PCO 87
D 03
BRIN 5
LONG CÂBLE 350M
PM NEW 4
PB 4
RAB0000000282854   
Client en déplacement</t>
  </si>
  <si>
    <t>RAB0000000283968</t>
  </si>
  <si>
    <t>DIVO DIALOGUE GARE SBTA</t>
  </si>
  <si>
    <t>RAB0000000283778</t>
  </si>
  <si>
    <t>KOUYATE SEYDOU</t>
  </si>
  <si>
    <t>RAB0000000283768</t>
  </si>
  <si>
    <t>ZAGO BEUGRE DAVID JUNIOR</t>
  </si>
  <si>
    <t>RAB0000000283751</t>
  </si>
  <si>
    <t>BANGALY MAMADOU</t>
  </si>
  <si>
    <t>RAB0000000283965</t>
  </si>
  <si>
    <t>GUIDIERA OUSSOURY</t>
  </si>
  <si>
    <t>DIVO DIALOGUE 2E ARRONDISSEMENT</t>
  </si>
  <si>
    <t>RAB0000000283915</t>
  </si>
  <si>
    <t>RAB0000000283824</t>
  </si>
  <si>
    <t>KOUANOU NOUSSEU FELIX</t>
  </si>
  <si>
    <t>RAB0000000283913</t>
  </si>
  <si>
    <t>KONE BINTOU</t>
  </si>
  <si>
    <t>4857544342370BB1</t>
  </si>
  <si>
    <t>4857544342309BB1</t>
  </si>
  <si>
    <t>48575443423AD4B1</t>
  </si>
  <si>
    <t>485754434254C5B1</t>
  </si>
  <si>
    <t>08/01/2026:: RAB0000000283768 ZAGO BEUGRE DAVID JUNIOR
DMI 01
PCO 82
D 03
BRIN 2
LONG CÂBLE 350M
PM NEW 0
PB 6</t>
  </si>
  <si>
    <t>08/01/2026:: RAB0000000283824 KOUANOU NOUSSEU FELIX
DMI 01
PCO 81
D 03
BRIN 8
LONG CÂBLE 350 M
PM NEW 1
PB 2
PM ANCIEN 6</t>
  </si>
  <si>
    <t>DDI01_PCO095</t>
  </si>
  <si>
    <t>08/01/2026:: RAB0000000283913 KONE BINTOU//08/01/2026:: RAB0000000283913 
KONE BINTOU
DDI 01
PCO 95
D03
BRIN 1
LONG CÂBLE 200M
PM NEW 1
PB 0
PM ANCIEN 2
Client injoignable</t>
  </si>
  <si>
    <t>08/01/2026:: GUIDIERA OUSSOURY
RAB0000000283965
DDI 02
PCO 11
D 01
BRIN 2
LONG CÂBLE 200M
PM NEW 1
PB 1</t>
  </si>
  <si>
    <t>08/01/2026:: RAB0000000283751 
BANGALY MAMADOU
DDI 01
PCO 60
D 02
BRIN 4
LONG CÂBLE 250 M
PM NEW 3
PB 1</t>
  </si>
  <si>
    <t>08/01/2026:: RAB0000000283778
 KOUYATE SEYDOU
DBA 01
PCO 87
D 03
BRIN 5
LONG CÂBLE 250 M
PM NEW 1
PB 3</t>
  </si>
  <si>
    <t>08/01/2026:: RAB0000000283915 
KONE MAMADOU
DDI 01
PCO 60
D 02
BRIN 5
LONG 350M
PM NEW 2
PB 1
PM ANCIEN 3</t>
  </si>
  <si>
    <t xml:space="preserve">48575443424F65B1  </t>
  </si>
  <si>
    <t xml:space="preserve">485754434245E6B1  </t>
  </si>
  <si>
    <t>485754434231D5B1</t>
  </si>
  <si>
    <t>48575443421336B1</t>
  </si>
  <si>
    <t>48575443420D44B1</t>
  </si>
  <si>
    <t>4857544342048FB1</t>
  </si>
  <si>
    <t>48575443420828B1</t>
  </si>
  <si>
    <t>RAB0000000284142</t>
  </si>
  <si>
    <t>COULIBALY FANTA</t>
  </si>
  <si>
    <t>DIALOGUE 2 CARREFOUR BADIAN</t>
  </si>
  <si>
    <t>RAB0000000284213</t>
  </si>
  <si>
    <t>OUATTARA KOUADIO KRAH PAUL</t>
  </si>
  <si>
    <t>DIVO KONANKRO CARREFOUR A TOUS CASSER</t>
  </si>
  <si>
    <t>RAB0000000284116</t>
  </si>
  <si>
    <t>SOW MOUSSA DEMBA</t>
  </si>
  <si>
    <t>RAB0000000272820</t>
  </si>
  <si>
    <t>RAB0000000272811</t>
  </si>
  <si>
    <t>KONATE MAHAMOUDOU</t>
  </si>
  <si>
    <t>DOSSO YAYA</t>
  </si>
  <si>
    <t>4857544342048FB1    2150031537</t>
  </si>
  <si>
    <t>Etude technique</t>
  </si>
  <si>
    <t>10/01/2026:: RAB0000000284116
SOW MOUSSA DEMBA
DBA 01
PCO 024
D01 
F6-6
Métrage 250M</t>
  </si>
  <si>
    <t>10/01/2026:: RAB0000000284213
OUATTARA KOUADIO KRAH PAUL
Client hors zone</t>
  </si>
  <si>
    <t>RAB0000000284223</t>
  </si>
  <si>
    <t>DIVO VATICAN KOTEL KOLIA</t>
  </si>
  <si>
    <t>RAB0000000284235</t>
  </si>
  <si>
    <t>KONE KOROTOUM</t>
  </si>
  <si>
    <t>RAB0000000284232</t>
  </si>
  <si>
    <t>DIVO KONANKRO GARE D HIRE</t>
  </si>
  <si>
    <t>10/01/2026:: RAB0000000284223 
DIOP MAMADOU
HORS ZONE</t>
  </si>
  <si>
    <t>10/01/2026:: RAB0000000284142 
COULIBALY FANTA
DDI 01
PCO 79
D 03
BRIN 2
LONG CÂBLE 150 M
PM NEW 0
PB 2</t>
  </si>
  <si>
    <t>RAB0000000284503</t>
  </si>
  <si>
    <t>RAB0000000284499</t>
  </si>
  <si>
    <t>12/01/2026:: RAB0000000284499
 FANE ADAMA
DMI 01
PCO 08
D 01
BRIN 4
LONG CÂBLE 350 M
PM NEW 1
PB 4
PM ANCIEN 3</t>
  </si>
  <si>
    <t>12/01/2026:: RAB0000000284503 
NDIAYE ELHADJI MALICK NDOYE 
DBA 01
PCO 46
D 02
BRIN 4
LONG CÂBLE 150 M
PM NEW 0
PB 2</t>
  </si>
  <si>
    <t>48575443420896B1</t>
  </si>
  <si>
    <t>485754434218CCB1</t>
  </si>
  <si>
    <t>10/01/2026:: RAB0000000284232 
COMARA MOHAMED 
Client en déplacement</t>
  </si>
  <si>
    <t>13/01/2026:: RAB0000000283968
HAMIDOU KADIDIATOU 
DDI01
PCO106
D04
F3-3
MÉTRAGE 100M
PB ANCIEN 01
PM NEW 01</t>
  </si>
  <si>
    <t>13/01/2026:: Après échange avec le client,il a décider  d'annuler  son abonnement pour causse personnel</t>
  </si>
  <si>
    <t xml:space="preserve">13/01/2026:: RAB0000000272811,DOSSO YAYA:: CLIENT EN DÉPLACEMENT
</t>
  </si>
  <si>
    <t>DBA01_PCO110</t>
  </si>
  <si>
    <t>13/01/2026:: RAB0000000283422
COULIBALY DJENEBA
DBA01
PCO 110
D04
F4-4
MÉTRAGE 100M
PB ANCIEN 01
PM NEW 01</t>
  </si>
  <si>
    <t>RAB0000000284916</t>
  </si>
  <si>
    <t>KOUASSI KOUASSI</t>
  </si>
  <si>
    <t>485754434218F2B1</t>
  </si>
  <si>
    <t>485754434213FCB1</t>
  </si>
  <si>
    <t>485754434211F1B1</t>
  </si>
  <si>
    <t>485754434219BCB1</t>
  </si>
  <si>
    <t>14/01/2026:: RAB0000000279996 
COULIBALY CHEICKNA
DBA 01
PCO 83
D 03
BRIN 5
LONG CÂBLE 250 M
PM NEW 1
PB 3</t>
  </si>
  <si>
    <t>10/01/2026:: RAB0000000284235 
KONE KOROTOUM
Le client ne décroche pas mes appeles//14/01/2026:: RAB0000000284235 
KONE KOROTOUM
DDI 01
PCO 119
D 04
BRIN 3
LONG CÂBLE 300M 
PM NEW 1
PB 3</t>
  </si>
  <si>
    <t>14/01/2026:: RAB0000000284916 
NOM CLIENT KOUASSI KOUASSI
DMI 01
PCO 86
D 03
BRIN 4
LONG CÂBLE 450 M
PM NEW 2
PB 3
PM ANCIEN 5</t>
  </si>
  <si>
    <t>48575443420A45B1</t>
  </si>
  <si>
    <t>RAB0000000285115</t>
  </si>
  <si>
    <t>DION ANGE CURTIS</t>
  </si>
  <si>
    <t>DIVO KONANKRO LYCEE 3 PETIT PORTAIL</t>
  </si>
  <si>
    <t>RAB0000000285100</t>
  </si>
  <si>
    <t>YAO LASSINA</t>
  </si>
  <si>
    <t>RAB0000000285131</t>
  </si>
  <si>
    <t>TOURE YAYA</t>
  </si>
  <si>
    <t>DIVO BREKABOUGOU</t>
  </si>
  <si>
    <t>RAB0000000285090</t>
  </si>
  <si>
    <t>COULIBALY CHECKINA</t>
  </si>
  <si>
    <t>15/01/2026:: RAB0000000285100 
YAO LASSINA
DDI 01
PCO 86
D 03
BRIN 3
LONG CÂBLE 200 M
PM NEW 1
PB 2</t>
  </si>
  <si>
    <t>48575443420F65B1</t>
  </si>
  <si>
    <t>485754434207A2B1</t>
  </si>
  <si>
    <t>16/01/2026:: RAB0000000285090 
COULIBALY CHECKINA
DDI 01
PCO 64
D 02
BRIN 3
LONG CÂBLE 250M
PM NEW 0
PB 1
PM ANCIEN  3</t>
  </si>
  <si>
    <t>16/01/2026:: RAB0000000285131 
TOURE YAYA
HORS ZONE</t>
  </si>
  <si>
    <t>RAB0000000285199</t>
  </si>
  <si>
    <t>SOKOURI KOUKOUGNON HERVE</t>
  </si>
  <si>
    <t>RAB0000000285459</t>
  </si>
  <si>
    <t>DAGO YAO JEAN MARC</t>
  </si>
  <si>
    <t>RAB0000000285441</t>
  </si>
  <si>
    <t>KOFFI GNYMA MARIE MARCELLE</t>
  </si>
  <si>
    <t>DIVO FORESTIER NON LOIN DU DISTRICT DE POLICE</t>
  </si>
  <si>
    <t>48575443420498B1</t>
  </si>
  <si>
    <t>48575443420FF5B1</t>
  </si>
  <si>
    <t>48575443421529B1</t>
  </si>
  <si>
    <t>17/01/32026:: RAB0000000285459
DAGO YAO JEAN MARC
DMI 01
PCO 023
D01
F6-6
CABLE 150M
PB ANCIEN 01
PM NEW 01</t>
  </si>
  <si>
    <t>RAB0000000285482</t>
  </si>
  <si>
    <t>DIVO DIALOGUE 2 PHARMACIE KENEYA</t>
  </si>
  <si>
    <t>485754431A800CB4</t>
  </si>
  <si>
    <t>485754434219CBB1</t>
  </si>
  <si>
    <t>485754434211C6B1</t>
  </si>
  <si>
    <t>RAB0000000284857</t>
  </si>
  <si>
    <t>19/01/2026:: RAB0000000285482
 OSSOFI WILLIAMS
DDI 01
PCO 21
D 01
BRIN 5
LONG CÂBLE 300 M
PM NEW 0
PB 5</t>
  </si>
  <si>
    <t>DIAKITE AMADOU</t>
  </si>
  <si>
    <t>DIVO DIALOGUE 3 KENNEDY</t>
  </si>
  <si>
    <t>KOUASSI AMANI HERVE</t>
  </si>
  <si>
    <t>DIVO BOUDOUKOU FIGAYO</t>
  </si>
  <si>
    <t>RAB0000000285678</t>
  </si>
  <si>
    <t>RAB0000000285673</t>
  </si>
  <si>
    <t>19/01/2026:: RAB0000000285673
KOUASSI AMANI HERVE
DBA 01
PCO 08
D 01
BRIN 2
LONG CÂBLE 200 M
PM NEW 0
PB 2</t>
  </si>
  <si>
    <t>RAB0000000284748</t>
  </si>
  <si>
    <t>KEITA SIBIRI THÉODORE</t>
  </si>
  <si>
    <t>DIOULABOUGOU PETIT MARCHE</t>
  </si>
  <si>
    <t>5.81634</t>
  </si>
  <si>
    <t>-5.35595</t>
  </si>
  <si>
    <t>DD02</t>
  </si>
  <si>
    <t>485754431A86FBB4</t>
  </si>
  <si>
    <t>KOUASSI AYAMARD</t>
  </si>
  <si>
    <t>485754431A8370B4</t>
  </si>
  <si>
    <t>485754431A8825B4</t>
  </si>
  <si>
    <t>RAB0000000285945</t>
  </si>
  <si>
    <t>BOBI NONKANAN BOBI ALPHONSE ANGE</t>
  </si>
  <si>
    <t>DIVO CHR</t>
  </si>
  <si>
    <t>485754431A8354B4</t>
  </si>
  <si>
    <t>BRIN 6</t>
  </si>
  <si>
    <t>BRIN 2</t>
  </si>
  <si>
    <t>15/01/2026:: RAB0000000285115 DION ANGE CURTIS
Client en déplacement, il donne rendez-vous lundi//19/01/2026:: RAB0000000285115
DION ANGE CURTIS
DBA 01
PCO 27
D 01
BRIN 6
LONG CÂBLE 200M
PM NEW 0
PB 2</t>
  </si>
  <si>
    <t>21/01/2026:: RAB0000000285945
 BOBI NONKANAN BOBI ALPHONSE ANGE
DBA 01
PCO 26
D 01
BRIN 7
LONG CÂBLE 400 M
PM NEW 4
PB 3</t>
  </si>
  <si>
    <t>RAB0000000286068</t>
  </si>
  <si>
    <t>YAPI SEKA LANGEVIN</t>
  </si>
  <si>
    <t>RAB0000000286035</t>
  </si>
  <si>
    <t>YAMEOGO ABOUDOU PATRICK</t>
  </si>
  <si>
    <t>RAB0000000286053</t>
  </si>
  <si>
    <t>KONE ALASSANE</t>
  </si>
  <si>
    <t>RAB0000000286045</t>
  </si>
  <si>
    <t>KARAMOKO MOUSSA</t>
  </si>
  <si>
    <t>RAB0000000286023</t>
  </si>
  <si>
    <t>MONSIA SEU SAHON GRACE ESTHER</t>
  </si>
  <si>
    <t>DIVO BOUDOUKOU HOTEL IROKO</t>
  </si>
  <si>
    <t>21/01/2026:: RAB0000000286023
MONSIA SEU SAHON GRACE
DBA 01
PCO 06
D 01
BRIN 2
LONG CÂBLE 300 M
PM NEW 4
PB 1</t>
  </si>
  <si>
    <t>21/01/2026:: RAB0000000286035
YAMEOGO ABOUDOU PATRICK
DBA 01
PCO 28
D 01
BRIN 4
LONG CÂBLE 300 M
PM NEW 0
PB 0
PM ANCIEN 4</t>
  </si>
  <si>
    <t>DDI02_PCO084</t>
  </si>
  <si>
    <t>21/01/2026:: RAB0000000286068
YAPI SEKA LANGEVIN
DDI 02
PCO 84
D 03
BRIN 1
LONG CÂBLE 150 M
PM NEW 1
PB 1</t>
  </si>
  <si>
    <t>21/01/2026:: RAB0000000286045
KARAMOKO MOUSSA
DDI 01
PCO 65
D 03
BRIN 4
LONG CÂBLE 150M
PM NEW 1
PB 1</t>
  </si>
  <si>
    <t>21/01/2026:: RAB0000000286053
KONE ALASSANE
DDI 01
PCO 86
D 03
BRIN 4
LONG CÂBLE 300M
PM NEW 1
PB 2
PM ANCIEN 1</t>
  </si>
  <si>
    <t>485754431A8546B4</t>
  </si>
  <si>
    <t>48575443421ABEB1</t>
  </si>
  <si>
    <t>485754431A831FB4</t>
  </si>
  <si>
    <t>485754431A83B5B4</t>
  </si>
  <si>
    <t>485754431A7E42B4</t>
  </si>
  <si>
    <t>485754431A87BEB4</t>
  </si>
  <si>
    <t>485754431A8184B4</t>
  </si>
  <si>
    <t>RAB0000000286493</t>
  </si>
  <si>
    <t>SY ADAMA</t>
  </si>
  <si>
    <t>DIVO-DIVO BADA - DMI01</t>
  </si>
  <si>
    <t>23/01/2026:: RAB0000000286493 
SY ADAMA
DMI 01
PCO 23
D 01
BRIN 8
LONG CÂBLE 200 M
PM NEW 2
PB 1</t>
  </si>
  <si>
    <t>RAB0000000286651</t>
  </si>
  <si>
    <t>DJIBO MAMIDOU</t>
  </si>
  <si>
    <t>RAB0000000286600</t>
  </si>
  <si>
    <t>KOUASSI KOUADIO JEAN DONATIEN</t>
  </si>
  <si>
    <t>RAB0000000286594</t>
  </si>
  <si>
    <t>BRAHIMA OUATTARA</t>
  </si>
  <si>
    <t>RAB0000000286611</t>
  </si>
  <si>
    <t>TOGOLA NIBANGANDJO IBRAHIM</t>
  </si>
  <si>
    <t>DIVO PLATEAU TOURACO</t>
  </si>
  <si>
    <t>26/01/2026:: RAB0000000286600 
KOUASSI KOUADIO JEAN DONATIEN
DMI 01
PCO 38
D 02
BRIN 4
LONG CÂBLE 250 M
PM NEW 0
PB 4</t>
  </si>
  <si>
    <t>26/01/2026:: RAB0000000286611
TOGOLA NIBANGANDJO IBRAHIM
DBA 01 
PCO 64
D 02
BRIN 6
LONG CÂBLE 350M
PM NEW 1
PB 1
PM ANCIEN 5</t>
  </si>
  <si>
    <t>26/01/2026:: RAB0000000286651 
DJIBO MAMIDOU
DBA 01
PCO 77
D 03
BRIN 6
LONG CÂBLE 300M
PM NEW 0
PB 1
PM ANCIEN 4</t>
  </si>
  <si>
    <t>DDI02_PCO068</t>
  </si>
  <si>
    <t>26/07/2025:: KOUADIO KOUAHO AMENI ARSENE,n'est toujours pas joignable/04/11/2025::CLIENT n'est toujours pas joignable//27/01/2026:: RAB0000000215368
KOUADIO KOUAHO AMENI ARSENE
DMI 01
PCO 50
D 02
BRIN 6
LONG CÂBLE 200M 
PM NEW 2
PB 1</t>
  </si>
  <si>
    <t>DDI01_PCO049</t>
  </si>
  <si>
    <t>RAB0000000286733</t>
  </si>
  <si>
    <t>KAMLIN BAROU DORIANE SLASH LADORA</t>
  </si>
  <si>
    <t>DIVO CMIT DIALOGUE 1MARCHE</t>
  </si>
  <si>
    <t>DDI02_PCO078</t>
  </si>
  <si>
    <t>26/01/2026:: RAB0000000286733 
KAMLIN BAROU DORIANE SLASH LADORA
DDI 02
PCO 78
D 03
BRIN 1
LONG CÂBLE 100 M
PM NEW 0
PB 1</t>
  </si>
  <si>
    <t>RAB0000000287129</t>
  </si>
  <si>
    <t>RAB0000000287143</t>
  </si>
  <si>
    <t>DOUA YANN CHEIK</t>
  </si>
  <si>
    <t>RAB0000000287179</t>
  </si>
  <si>
    <t>RAB0000000287153</t>
  </si>
  <si>
    <t>OUATTARA BAKARY</t>
  </si>
  <si>
    <t>DIVO DIALOGUE BRECABOUGOU</t>
  </si>
  <si>
    <t>RAB0000000287165</t>
  </si>
  <si>
    <t>KOUADIO MARTIN NANON</t>
  </si>
  <si>
    <t>DIVO BELLEVILLE APRES LA PHARMACIE</t>
  </si>
  <si>
    <t>28/01/2025:: RAB0000000287165
KOUADIO MARTIN NANON
DMI 01
PCO 37
D 02
BRIN 6
LONG CÂBLE 350M
PM NEW 2
PB 5
PM ANCIEN 3</t>
  </si>
  <si>
    <t>28/01/2026:: RAB0000000287179 
OUEDRAOGO ADAMA
DMI 01
PCO 82
D 03
BRIN 4
LONG CÂBLE 250 M
PM NEW 0
PB 4</t>
  </si>
  <si>
    <t>DDI02_PCO124</t>
  </si>
  <si>
    <t>28/01/2026:: RAB0000000287153 
OUATTARA BAKARY
DDI 02
PCO 124
D 04
BRIN 1
LONG CÂBLE 100M
PM NEW 0
PB 1</t>
  </si>
  <si>
    <t>DDI01_PCO035</t>
  </si>
  <si>
    <t>28/01/2026:: RAB0000000287129 
DIARRASSOUBA MOUSSA
DDI 01
PCO 35
D 02
BRIN 1
LONG CÂBLE 150 M
PM NEW 0 
PB 2</t>
  </si>
  <si>
    <t>RAB0000000287427</t>
  </si>
  <si>
    <t>BREDOU TANO ANICET BERANGER DOUGLAS</t>
  </si>
  <si>
    <t>DIVO LIBANAIS CARREFOUR GALERE</t>
  </si>
  <si>
    <t>DDI01_PCO109</t>
  </si>
  <si>
    <t>485754431A64EAB4</t>
  </si>
  <si>
    <t>485754431A8550B4</t>
  </si>
  <si>
    <t>485754431A831EB4</t>
  </si>
  <si>
    <t>15/12/2025:: LE CLIENT EST INJOIGNABLE//26/01/2026:: RAB0000000280279
KEITA ANLIOU
DDI 02
PCO 68
D 02
BRIN 1
LONG CÂBLE 200M
PM NEW 0
PB 3</t>
  </si>
  <si>
    <t>485754431A814CB4</t>
  </si>
  <si>
    <t>485754431A7F5AB4</t>
  </si>
  <si>
    <t>485754431A80BAB4</t>
  </si>
  <si>
    <t>26/01/2026:: RAB0000000286594 
BRAHIMA OUATTARA
DDI 01 
PCO 49
D 02
BRIN 1
LONG CÂBLE 150M
PM NEW 1
PB 1</t>
  </si>
  <si>
    <t>485754431A8115B4</t>
  </si>
  <si>
    <t>485754431A877BB4</t>
  </si>
  <si>
    <t>485754431A809FB4</t>
  </si>
  <si>
    <t>485754431A65F0B4</t>
  </si>
  <si>
    <t>485754431A5F40B4</t>
  </si>
  <si>
    <t>28/01/2026:: RAB0000000287143 
DOUA YANN CHEIK
DDI 01
PCO 80
D 03
BRIN 2
LONG CÂBLE 350 M
PM NEW 3
PB 2
PM ANCIEN 4</t>
  </si>
  <si>
    <t>485754431A6199B4</t>
  </si>
  <si>
    <t>485754431A864DB4</t>
  </si>
  <si>
    <t>485754431A6427B4</t>
  </si>
  <si>
    <t>RAB0000000287559</t>
  </si>
  <si>
    <t>KAI NANNAUD HORTENSE</t>
  </si>
  <si>
    <t>RAB0000000287603</t>
  </si>
  <si>
    <t>RAB0000000287615</t>
  </si>
  <si>
    <t>ESSI KONIAN GILDAS</t>
  </si>
  <si>
    <t>RAB0000000287621</t>
  </si>
  <si>
    <t>GBAKA GBADJEHI JUDITH REGINE</t>
  </si>
  <si>
    <t>RAB0000000287661</t>
  </si>
  <si>
    <t>KOKOUA TAYORO ANDRE GILBERT</t>
  </si>
  <si>
    <t>DIVO BOUDOUKOU RACINE</t>
  </si>
  <si>
    <t>31/01/2026:: RAB0000000287559 
KAI NANNAUD HORTENSE
DBA 01
PCO 60
D 02
BRIN 2
LONG CÂBLE 350 M
PM NEW 2
PB 1
PM ANCIEN 3</t>
  </si>
  <si>
    <t>31/01/2026:: RAB0000000287661
 KOKOUA TAYORO ANDRE GILBERT
DBA 01
PCO 08
D 01
BRIN 3
LONG CÂBLE 250 M
PM NEW 1
PB 2</t>
  </si>
  <si>
    <t>485754431A6289B4</t>
  </si>
  <si>
    <t>485754431A6822B4</t>
  </si>
  <si>
    <t>485754431A645DB4</t>
  </si>
  <si>
    <t>485754431A6C05B4</t>
  </si>
  <si>
    <t>31/01/2026:: RAB0000000287621GBAKA GBADJEHI JUDITH REGINE  
Le CLIENT ne décroche pas mes appelS//03/02/2026:: RAB0000000287621
GBAKA GBADJEHI JUDITH REGINE 
DBA 01
PCO 08
D 01
BRIN 3
LONG CÂBLE 200M
PM NEW 0
PB 4</t>
  </si>
  <si>
    <t>DDI01_PCO098</t>
  </si>
  <si>
    <t>02/02/2026 :: RAB0000000287615 
 ESSI KONIAN GILDAS
DDI 01
PCO 98
D 04
BRIN 1
LONG CÂBLE 200M
PM NEW 2
PB 2</t>
  </si>
  <si>
    <t>02/02/2026:: RAB0000000287603
OUATTARA ABOUBACAR
DDI 01
PCO 119
D 04
BRIN 5
LONG CÂBLE 200M
PM NEW 0
PB 3</t>
  </si>
  <si>
    <t>09/12/2025::: Client indisponible pour son étude//02/02/2026:: RAB 0000000278860
N'GATTA JEAN NOËL 
DBA 01 
PCO 08
D 01
BRIN 4
LONG CÂBLE 350M
PM NEW 1
PB 6</t>
  </si>
  <si>
    <t>485754431A6644B4</t>
  </si>
  <si>
    <t>RAB0000000288049</t>
  </si>
  <si>
    <t>KABLAN YELOUHO ALICE</t>
  </si>
  <si>
    <t>RAB0000000288040</t>
  </si>
  <si>
    <t>COULIBALY FATOUMATA</t>
  </si>
  <si>
    <t>03/02/2026:: RAB0000000288049
KABLAN YELOUHO ALICE
DBA 01
PC0 041
D2
F3-3
DISTANCE 100M
PB ANCIEN 02
PM NEW 00</t>
  </si>
  <si>
    <t>485754431A5F1EB4</t>
  </si>
  <si>
    <t>RAB0000000288219</t>
  </si>
  <si>
    <t>GBALOU GAPEA HYACINTHE</t>
  </si>
  <si>
    <t>RAB0000000288239</t>
  </si>
  <si>
    <t>BAMBA IBRAHIM</t>
  </si>
  <si>
    <t>DIVO BRIBORE APRES LE PONT</t>
  </si>
  <si>
    <t>RAB0000000288238</t>
  </si>
  <si>
    <t>DANGBO DAGO AUGUSTIN</t>
  </si>
  <si>
    <t>DIVO JERUSALEEM BAR GERMAIN</t>
  </si>
  <si>
    <t>RAB0000000288231</t>
  </si>
  <si>
    <t>AZOKOU DADIE LEMEC</t>
  </si>
  <si>
    <t>RAB0000000288282</t>
  </si>
  <si>
    <t>NGORAN KAN ELEONORE</t>
  </si>
  <si>
    <t>RAB0000000288397</t>
  </si>
  <si>
    <t>TRAORE WASSA</t>
  </si>
  <si>
    <t>RAB0000000288727</t>
  </si>
  <si>
    <t>DJESSOU DEZA JEAN SYLVAIN</t>
  </si>
  <si>
    <t>DIVO BADA MARCHE</t>
  </si>
  <si>
    <t>DDI01_PCO063</t>
  </si>
  <si>
    <t>RAB0000000289028</t>
  </si>
  <si>
    <t>GNEKPA MARIE PIERRE RAISSA</t>
  </si>
  <si>
    <t>DMI01_PCO116</t>
  </si>
  <si>
    <t>10/02/2026:: RAB0000000289028
 GNEKPA MARIE PIERRE RAISS
DMI 01 
PCO 116
D 04
BRIN 1
LONG CÂBLE 200M
PM NEW 0
PB 2</t>
  </si>
  <si>
    <t>RAB0000000289079</t>
  </si>
  <si>
    <t>YAO ERIC KOFFI AKIELAUT DESIRE</t>
  </si>
  <si>
    <t>DIVO DIALOGUE 1CITE PROF</t>
  </si>
  <si>
    <t>RAB0000000284848</t>
  </si>
  <si>
    <t>OUATTARA DJAKARIDJA</t>
  </si>
  <si>
    <t>DIVO DIALOGUE MOSQUEE</t>
  </si>
  <si>
    <t>5.819844;-5.362129</t>
  </si>
  <si>
    <t>485754431A6CB9B4</t>
  </si>
  <si>
    <t>485754431A6251B4</t>
  </si>
  <si>
    <t>485754431A653AB4</t>
  </si>
  <si>
    <t>09/02/2026:: RAB0000000288727
DJESSOU DEZA JEAN SYLVAIN
DMI 01
PCO 47
D 02
BRIN 4
LONG CÂBLE 250 M
PM NEW 0
PB 3</t>
  </si>
  <si>
    <t>485754431A7F95B4</t>
  </si>
  <si>
    <t>HUB02</t>
  </si>
  <si>
    <t>48575443420425B1</t>
  </si>
  <si>
    <t>485754431A6551B4</t>
  </si>
  <si>
    <t>485754431A6D8BB4</t>
  </si>
  <si>
    <t>485754431A6528B4</t>
  </si>
  <si>
    <t>485754431A685BB4</t>
  </si>
  <si>
    <t>485754431A66ABB4</t>
  </si>
  <si>
    <t>485754431A6D58B4</t>
  </si>
  <si>
    <t>DMI 01</t>
  </si>
  <si>
    <t>485754431A7FF3B4</t>
  </si>
  <si>
    <t>23/07/2025:::: CLIENT HORS ZONE (DIVO DIALOGUE),DEPLOIEMENT 2025//09/02/2026:: RAB 0000000202173
TOTO DERGE N'GUESSAN DIBY
Le client dit qu'il a déjà pris la fibre ORANGE</t>
  </si>
  <si>
    <t>RAB0000000289209</t>
  </si>
  <si>
    <t>GBALLOU KAOLO GISELE</t>
  </si>
  <si>
    <t>DIVO BADA APRES COLLEGE HEOULE</t>
  </si>
  <si>
    <t>RAB0000000289200</t>
  </si>
  <si>
    <t>GUEBIE YA JACQUES</t>
  </si>
  <si>
    <t>DIVO BOUDOUKOU LYCEE MODERNE3</t>
  </si>
  <si>
    <t>RAB0000000289188</t>
  </si>
  <si>
    <t>KONE LASSENE</t>
  </si>
  <si>
    <t>DIVO DIALOGUE 1 CARREFOUR BADJAN</t>
  </si>
  <si>
    <t>11/02/2026:: RAB0000000289209
GBALLOU KAOLO GISELE
DMI 01
PCO 02
D 01
BRIN 3
LONG CÂBLE 250 M
PM NEW 0
PB 4</t>
  </si>
  <si>
    <t>485754431A605DB4</t>
  </si>
  <si>
    <t>Implantation PM</t>
  </si>
  <si>
    <t>12/02/2026:: RAB0000000289200 
 GUEBIE YA JACQUES
DBA 01
PCO 28
D 01
BRIN 5
LONG CÂBLE 350M
PM NEW 3
PB 0
PM ANCIEN 1</t>
  </si>
  <si>
    <t>12/02/2026::  RAB0000000289188
KONE LASSENE
DDI 01
PCO 24
D 01
BRIN 2
LONG CÂBLE 200M
PM NEW 1
PB 1</t>
  </si>
  <si>
    <t>DDI02_PCO063</t>
  </si>
  <si>
    <t>12/02/2026::  RAB0000000289079 
YAO ERIC KOFFI AKIELAUT DESIRE
DDI 02
PCO 63
D 02
BRIN 1
LONG CÂBLE 250M
PM NEW 1
PB 2</t>
  </si>
  <si>
    <t>485754431A6320B4</t>
  </si>
  <si>
    <t>485754431A64DFB4</t>
  </si>
  <si>
    <t>485754431A5F47B4</t>
  </si>
  <si>
    <t>485754431A68CAB4</t>
  </si>
  <si>
    <t>DDI01_PCO088</t>
  </si>
  <si>
    <t>RAB0000000289399</t>
  </si>
  <si>
    <t>TRAORE LAMINE</t>
  </si>
  <si>
    <t>DIVO DIALOGUE GBEGABOUGOU</t>
  </si>
  <si>
    <t>RAB0000000289397</t>
  </si>
  <si>
    <t>NADOU KOUAME EMMANUEL</t>
  </si>
  <si>
    <t>DIVO BOUDOUKOU LYCEE MODERNE 3</t>
  </si>
  <si>
    <t>08/11/2025:: Client DONGO CHANTALE,RAB 0000000274402,HORS ZONE/25/11/2025:: Client est après une traversée .donc j'ai besoin de un ok pour raccordé la cliente sur DDI 01 PCO 97 D 04//13/02/2026:: Client DONGO CHANTALE
RAB 0000000274402
DDI 01
PCO 98
D 04
BRIN 2
LONG CÂBLE 350M
PM NEW 0
PB 5
PM ANCIEN 1</t>
  </si>
  <si>
    <t>14/02/2026:: RAB0000000289399 
TRAORE LAMINE  
ZONE NON COUVERT prévu pour le déploiement de DDI 03</t>
  </si>
  <si>
    <t>13/02/2025:: RAB0000000289397 
NADOU KOUAME EMMANUEL
DBA 01
PCO 28
D 01
BRIN 6
LONG CÂBLE 350M
PM NEW 2
PB O
PM ANCIEN 4</t>
  </si>
  <si>
    <t>485754431A6C3CB4</t>
  </si>
  <si>
    <t>485754431A6B21B4</t>
  </si>
  <si>
    <t>RAB0000000289562</t>
  </si>
  <si>
    <t>ANI KOUADIO SERGE OLIVIER</t>
  </si>
  <si>
    <t>RAB0000000289557</t>
  </si>
  <si>
    <t>AHOUA N'TCHANCOU MARTURIN</t>
  </si>
  <si>
    <t>DIVO BADA NON LOIN DE LA BOUTIQUE</t>
  </si>
  <si>
    <t>RAB0000000289511</t>
  </si>
  <si>
    <t>TOURE WOLO AZIZ</t>
  </si>
  <si>
    <t>DIVO JERUSALEM GARE AVS</t>
  </si>
  <si>
    <t>RAB0000000289513</t>
  </si>
  <si>
    <t>MANGOUEU PEASSEU ANABELLE PATRICIA</t>
  </si>
  <si>
    <t>14/02/2026:: RAB0000000289562 
ANI KOUADIO SERGE OLIVIER
DMI 01
PCO 78
D 03
BRIN 5
LONG CABLE 350 M
PM NEW 2
PB 1
PM ANCIEN 3</t>
  </si>
  <si>
    <t>15/02/2026:: RAB0000000289511
TOURE WOLO AZIZ
DBA 01
PCO 113
D 04
BRIN 5
LONG CABLE 350M
PM  NEW 2
PB 2
PM ANCIEN 2</t>
  </si>
  <si>
    <t>14/02/2026:: RAB0000000289513 MANGOUEU PEASSEU ANABELLE PATRICIA
En deplacement</t>
  </si>
  <si>
    <t>14/02/2026:: RAB0000000289557
 AHOUA N'TCHANCOU MARTURIN
Injoignable</t>
  </si>
  <si>
    <t>485754431A62FCB4</t>
  </si>
  <si>
    <t>485754431A62C6B4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</si>
</sst>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rgb="FF2C363A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C363A"/>
      <name val="Calibri"/>
      <family val="2"/>
      <scheme val="minor"/>
    </font>
    <font>
      <sz val="8"/>
      <name val="Calibri"/>
      <family val="2"/>
      <scheme val="minor"/>
    </font>
    <font>
      <sz val="11"/>
      <color rgb="FF2C363A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  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434343"/>
      <name val="Calibri"/>
      <family val="2"/>
    </font>
    <font>
      <b/>
      <sz val="12"/>
      <color rgb="FF000000"/>
      <name val="Calibri"/>
      <family val="2"/>
    </font>
    <font>
      <sz val="12"/>
      <color theme="1"/>
      <name val="Arial"/>
      <family val="2"/>
    </font>
    <font>
      <sz val="10"/>
      <color rgb="FF434343"/>
      <name val="Arial"/>
      <family val="2"/>
    </font>
    <font>
      <sz val="10"/>
      <color rgb="FF434343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D5A6BD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9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322">
    <xf numFmtId="0" fontId="0" fillId="0" borderId="0" xfId="0"/>
    <xf numFmtId="0" fontId="2" fillId="15" borderId="1" xfId="0" applyFont="1" applyFill="1" applyBorder="1" applyAlignment="1">
      <alignment horizontal="left" vertical="top"/>
    </xf>
    <xf numFmtId="0" fontId="2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wrapText="1"/>
    </xf>
    <xf numFmtId="14" fontId="5" fillId="15" borderId="1" xfId="0" applyNumberFormat="1" applyFont="1" applyFill="1" applyBorder="1" applyAlignment="1">
      <alignment horizontal="left" vertical="top" wrapText="1"/>
    </xf>
    <xf numFmtId="1" fontId="1" fillId="15" borderId="1" xfId="0" applyNumberFormat="1" applyFont="1" applyFill="1" applyBorder="1" applyAlignment="1">
      <alignment horizontal="left" vertical="top"/>
    </xf>
    <xf numFmtId="14" fontId="3" fillId="15" borderId="1" xfId="0" applyNumberFormat="1" applyFont="1" applyFill="1" applyBorder="1" applyAlignment="1">
      <alignment horizontal="left" vertical="top" wrapText="1"/>
    </xf>
    <xf numFmtId="14" fontId="2" fillId="15" borderId="1" xfId="0" applyNumberFormat="1" applyFont="1" applyFill="1" applyBorder="1" applyAlignment="1">
      <alignment horizontal="left" vertical="top"/>
    </xf>
    <xf numFmtId="0" fontId="1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top"/>
    </xf>
    <xf numFmtId="14" fontId="3" fillId="19" borderId="1" xfId="0" applyNumberFormat="1" applyFont="1" applyFill="1" applyBorder="1" applyAlignment="1">
      <alignment horizontal="left" vertical="center" wrapText="1"/>
    </xf>
    <xf numFmtId="1" fontId="1" fillId="19" borderId="1" xfId="0" applyNumberFormat="1" applyFont="1" applyFill="1" applyBorder="1" applyAlignment="1">
      <alignment horizontal="left" vertical="top"/>
    </xf>
    <xf numFmtId="14" fontId="5" fillId="19" borderId="1" xfId="0" applyNumberFormat="1" applyFont="1" applyFill="1" applyBorder="1" applyAlignment="1">
      <alignment horizontal="left" vertical="center" wrapText="1"/>
    </xf>
    <xf numFmtId="14" fontId="2" fillId="19" borderId="1" xfId="0" applyNumberFormat="1" applyFont="1" applyFill="1" applyBorder="1" applyAlignment="1">
      <alignment horizontal="left" vertical="top"/>
    </xf>
    <xf numFmtId="0" fontId="1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 wrapText="1"/>
    </xf>
    <xf numFmtId="14" fontId="5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4" fontId="5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center"/>
    </xf>
    <xf numFmtId="14" fontId="5" fillId="8" borderId="1" xfId="0" applyNumberFormat="1" applyFont="1" applyFill="1" applyBorder="1" applyAlignment="1">
      <alignment horizontal="left" vertical="center" wrapText="1"/>
    </xf>
    <xf numFmtId="1" fontId="1" fillId="8" borderId="1" xfId="0" applyNumberFormat="1" applyFont="1" applyFill="1" applyBorder="1" applyAlignment="1">
      <alignment horizontal="left" vertical="top"/>
    </xf>
    <xf numFmtId="14" fontId="2" fillId="8" borderId="1" xfId="0" applyNumberFormat="1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vertical="top" wrapText="1"/>
    </xf>
    <xf numFmtId="14" fontId="2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center"/>
    </xf>
    <xf numFmtId="14" fontId="3" fillId="8" borderId="1" xfId="0" applyNumberFormat="1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top"/>
    </xf>
    <xf numFmtId="14" fontId="5" fillId="10" borderId="1" xfId="0" applyNumberFormat="1" applyFont="1" applyFill="1" applyBorder="1" applyAlignment="1">
      <alignment horizontal="left" vertical="center" wrapText="1"/>
    </xf>
    <xf numFmtId="1" fontId="1" fillId="10" borderId="1" xfId="0" applyNumberFormat="1" applyFont="1" applyFill="1" applyBorder="1" applyAlignment="1">
      <alignment horizontal="left" vertical="top"/>
    </xf>
    <xf numFmtId="14" fontId="2" fillId="10" borderId="1" xfId="0" applyNumberFormat="1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14" fontId="3" fillId="10" borderId="1" xfId="0" applyNumberFormat="1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top"/>
    </xf>
    <xf numFmtId="14" fontId="5" fillId="6" borderId="1" xfId="0" applyNumberFormat="1" applyFont="1" applyFill="1" applyBorder="1" applyAlignment="1">
      <alignment horizontal="left" vertical="center" wrapText="1"/>
    </xf>
    <xf numFmtId="1" fontId="1" fillId="6" borderId="1" xfId="0" applyNumberFormat="1" applyFont="1" applyFill="1" applyBorder="1" applyAlignment="1">
      <alignment horizontal="left" vertical="top"/>
    </xf>
    <xf numFmtId="14" fontId="2" fillId="6" borderId="1" xfId="0" applyNumberFormat="1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14" fontId="3" fillId="6" borderId="1" xfId="0" applyNumberFormat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/>
    </xf>
    <xf numFmtId="14" fontId="2" fillId="6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 vertical="top"/>
    </xf>
    <xf numFmtId="1" fontId="8" fillId="4" borderId="1" xfId="0" applyNumberFormat="1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top" wrapText="1"/>
    </xf>
    <xf numFmtId="14" fontId="11" fillId="3" borderId="1" xfId="0" applyNumberFormat="1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wrapText="1"/>
    </xf>
    <xf numFmtId="0" fontId="2" fillId="14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/>
    </xf>
    <xf numFmtId="14" fontId="3" fillId="15" borderId="1" xfId="0" applyNumberFormat="1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/>
    </xf>
    <xf numFmtId="14" fontId="2" fillId="15" borderId="1" xfId="0" applyNumberFormat="1" applyFont="1" applyFill="1" applyBorder="1" applyAlignment="1">
      <alignment horizontal="left"/>
    </xf>
    <xf numFmtId="0" fontId="5" fillId="10" borderId="1" xfId="0" applyFont="1" applyFill="1" applyBorder="1" applyAlignment="1">
      <alignment horizontal="left" wrapText="1"/>
    </xf>
    <xf numFmtId="14" fontId="5" fillId="10" borderId="1" xfId="0" applyNumberFormat="1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 vertical="center" wrapText="1"/>
    </xf>
    <xf numFmtId="14" fontId="3" fillId="10" borderId="1" xfId="0" applyNumberFormat="1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top"/>
    </xf>
    <xf numFmtId="0" fontId="2" fillId="20" borderId="1" xfId="0" applyFont="1" applyFill="1" applyBorder="1" applyAlignment="1">
      <alignment horizontal="left" wrapText="1"/>
    </xf>
    <xf numFmtId="14" fontId="5" fillId="20" borderId="1" xfId="0" applyNumberFormat="1" applyFont="1" applyFill="1" applyBorder="1" applyAlignment="1">
      <alignment horizontal="left" vertical="center" wrapText="1"/>
    </xf>
    <xf numFmtId="1" fontId="1" fillId="20" borderId="1" xfId="0" applyNumberFormat="1" applyFont="1" applyFill="1" applyBorder="1" applyAlignment="1">
      <alignment horizontal="left" vertical="top"/>
    </xf>
    <xf numFmtId="14" fontId="2" fillId="20" borderId="1" xfId="0" applyNumberFormat="1" applyFont="1" applyFill="1" applyBorder="1" applyAlignment="1">
      <alignment horizontal="left" vertical="top"/>
    </xf>
    <xf numFmtId="0" fontId="1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top" wrapText="1"/>
    </xf>
    <xf numFmtId="14" fontId="5" fillId="20" borderId="1" xfId="0" applyNumberFormat="1" applyFont="1" applyFill="1" applyBorder="1" applyAlignment="1">
      <alignment horizontal="left" vertical="top" wrapText="1"/>
    </xf>
    <xf numFmtId="14" fontId="3" fillId="20" borderId="1" xfId="0" applyNumberFormat="1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left" vertical="top" wrapText="1"/>
    </xf>
    <xf numFmtId="0" fontId="3" fillId="20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wrapText="1"/>
    </xf>
    <xf numFmtId="14" fontId="5" fillId="20" borderId="1" xfId="0" applyNumberFormat="1" applyFont="1" applyFill="1" applyBorder="1" applyAlignment="1">
      <alignment horizontal="left" wrapText="1"/>
    </xf>
    <xf numFmtId="0" fontId="1" fillId="20" borderId="1" xfId="0" applyFont="1" applyFill="1" applyBorder="1" applyAlignment="1">
      <alignment horizontal="left" vertical="center"/>
    </xf>
    <xf numFmtId="14" fontId="3" fillId="20" borderId="1" xfId="0" applyNumberFormat="1" applyFont="1" applyFill="1" applyBorder="1" applyAlignment="1">
      <alignment horizontal="left" vertical="center" wrapText="1"/>
    </xf>
    <xf numFmtId="14" fontId="2" fillId="20" borderId="1" xfId="0" applyNumberFormat="1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wrapText="1"/>
    </xf>
    <xf numFmtId="14" fontId="3" fillId="12" borderId="1" xfId="0" applyNumberFormat="1" applyFont="1" applyFill="1" applyBorder="1" applyAlignment="1">
      <alignment horizontal="left" vertical="center" wrapText="1"/>
    </xf>
    <xf numFmtId="14" fontId="2" fillId="12" borderId="1" xfId="0" applyNumberFormat="1" applyFont="1" applyFill="1" applyBorder="1" applyAlignment="1">
      <alignment horizontal="left" vertical="top"/>
    </xf>
    <xf numFmtId="0" fontId="1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14" fontId="3" fillId="12" borderId="1" xfId="0" applyNumberFormat="1" applyFont="1" applyFill="1" applyBorder="1" applyAlignment="1">
      <alignment horizontal="left" vertical="top" wrapText="1"/>
    </xf>
    <xf numFmtId="1" fontId="1" fillId="12" borderId="1" xfId="0" applyNumberFormat="1" applyFont="1" applyFill="1" applyBorder="1" applyAlignment="1">
      <alignment horizontal="left" vertical="top"/>
    </xf>
    <xf numFmtId="0" fontId="1" fillId="12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/>
    </xf>
    <xf numFmtId="14" fontId="2" fillId="12" borderId="1" xfId="0" applyNumberFormat="1" applyFont="1" applyFill="1" applyBorder="1" applyAlignment="1">
      <alignment horizontal="left"/>
    </xf>
    <xf numFmtId="0" fontId="5" fillId="12" borderId="1" xfId="0" applyFont="1" applyFill="1" applyBorder="1" applyAlignment="1">
      <alignment horizontal="left" wrapText="1"/>
    </xf>
    <xf numFmtId="14" fontId="5" fillId="12" borderId="1" xfId="0" applyNumberFormat="1" applyFont="1" applyFill="1" applyBorder="1" applyAlignment="1">
      <alignment horizontal="left" wrapText="1"/>
    </xf>
    <xf numFmtId="14" fontId="5" fillId="12" borderId="1" xfId="0" applyNumberFormat="1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left" vertical="top"/>
    </xf>
    <xf numFmtId="0" fontId="2" fillId="21" borderId="1" xfId="0" applyFont="1" applyFill="1" applyBorder="1" applyAlignment="1">
      <alignment horizontal="left" wrapText="1"/>
    </xf>
    <xf numFmtId="14" fontId="2" fillId="21" borderId="1" xfId="0" applyNumberFormat="1" applyFont="1" applyFill="1" applyBorder="1" applyAlignment="1">
      <alignment horizontal="left"/>
    </xf>
    <xf numFmtId="1" fontId="1" fillId="21" borderId="1" xfId="0" applyNumberFormat="1" applyFont="1" applyFill="1" applyBorder="1" applyAlignment="1">
      <alignment horizontal="left" vertical="top"/>
    </xf>
    <xf numFmtId="14" fontId="2" fillId="21" borderId="1" xfId="0" applyNumberFormat="1" applyFont="1" applyFill="1" applyBorder="1" applyAlignment="1">
      <alignment horizontal="left" vertical="top"/>
    </xf>
    <xf numFmtId="0" fontId="1" fillId="21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14" fontId="3" fillId="21" borderId="1" xfId="0" applyNumberFormat="1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top"/>
    </xf>
    <xf numFmtId="0" fontId="2" fillId="22" borderId="1" xfId="0" applyFont="1" applyFill="1" applyBorder="1" applyAlignment="1">
      <alignment horizontal="left" wrapText="1"/>
    </xf>
    <xf numFmtId="14" fontId="5" fillId="22" borderId="1" xfId="0" applyNumberFormat="1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left" vertical="top"/>
    </xf>
    <xf numFmtId="0" fontId="1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wrapText="1"/>
    </xf>
    <xf numFmtId="14" fontId="5" fillId="22" borderId="1" xfId="0" applyNumberFormat="1" applyFont="1" applyFill="1" applyBorder="1" applyAlignment="1">
      <alignment horizontal="left" wrapText="1"/>
    </xf>
    <xf numFmtId="0" fontId="3" fillId="15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/>
    </xf>
    <xf numFmtId="14" fontId="2" fillId="19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top"/>
    </xf>
    <xf numFmtId="0" fontId="2" fillId="13" borderId="1" xfId="0" applyFont="1" applyFill="1" applyBorder="1" applyAlignment="1">
      <alignment horizontal="left" wrapText="1"/>
    </xf>
    <xf numFmtId="14" fontId="5" fillId="13" borderId="1" xfId="0" applyNumberFormat="1" applyFont="1" applyFill="1" applyBorder="1" applyAlignment="1">
      <alignment horizontal="left" vertical="center" wrapText="1"/>
    </xf>
    <xf numFmtId="1" fontId="1" fillId="13" borderId="1" xfId="0" applyNumberFormat="1" applyFont="1" applyFill="1" applyBorder="1" applyAlignment="1">
      <alignment horizontal="left" vertical="top"/>
    </xf>
    <xf numFmtId="14" fontId="2" fillId="13" borderId="1" xfId="0" applyNumberFormat="1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/>
    </xf>
    <xf numFmtId="14" fontId="2" fillId="13" borderId="1" xfId="0" applyNumberFormat="1" applyFont="1" applyFill="1" applyBorder="1" applyAlignment="1">
      <alignment horizontal="left"/>
    </xf>
    <xf numFmtId="0" fontId="3" fillId="20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top"/>
    </xf>
    <xf numFmtId="14" fontId="5" fillId="23" borderId="1" xfId="0" applyNumberFormat="1" applyFont="1" applyFill="1" applyBorder="1" applyAlignment="1">
      <alignment horizontal="left" vertical="center" wrapText="1"/>
    </xf>
    <xf numFmtId="14" fontId="2" fillId="23" borderId="1" xfId="0" applyNumberFormat="1" applyFont="1" applyFill="1" applyBorder="1" applyAlignment="1">
      <alignment horizontal="left" vertical="top"/>
    </xf>
    <xf numFmtId="0" fontId="1" fillId="2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wrapText="1"/>
    </xf>
    <xf numFmtId="14" fontId="5" fillId="23" borderId="1" xfId="0" applyNumberFormat="1" applyFont="1" applyFill="1" applyBorder="1" applyAlignment="1">
      <alignment horizontal="left" wrapText="1"/>
    </xf>
    <xf numFmtId="0" fontId="5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/>
    </xf>
    <xf numFmtId="0" fontId="2" fillId="24" borderId="1" xfId="0" applyFont="1" applyFill="1" applyBorder="1" applyAlignment="1">
      <alignment horizontal="left" vertical="top"/>
    </xf>
    <xf numFmtId="0" fontId="2" fillId="24" borderId="1" xfId="0" applyFont="1" applyFill="1" applyBorder="1" applyAlignment="1">
      <alignment horizontal="left" wrapText="1"/>
    </xf>
    <xf numFmtId="14" fontId="2" fillId="24" borderId="1" xfId="0" applyNumberFormat="1" applyFont="1" applyFill="1" applyBorder="1" applyAlignment="1">
      <alignment horizontal="left"/>
    </xf>
    <xf numFmtId="1" fontId="1" fillId="24" borderId="1" xfId="0" applyNumberFormat="1" applyFont="1" applyFill="1" applyBorder="1" applyAlignment="1">
      <alignment horizontal="left" vertical="top"/>
    </xf>
    <xf numFmtId="14" fontId="2" fillId="24" borderId="1" xfId="0" applyNumberFormat="1" applyFont="1" applyFill="1" applyBorder="1" applyAlignment="1">
      <alignment horizontal="left" vertical="top"/>
    </xf>
    <xf numFmtId="0" fontId="1" fillId="24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wrapText="1"/>
    </xf>
    <xf numFmtId="14" fontId="5" fillId="24" borderId="1" xfId="0" applyNumberFormat="1" applyFont="1" applyFill="1" applyBorder="1" applyAlignment="1">
      <alignment horizontal="left" wrapText="1"/>
    </xf>
    <xf numFmtId="14" fontId="3" fillId="24" borderId="1" xfId="0" applyNumberFormat="1" applyFont="1" applyFill="1" applyBorder="1" applyAlignment="1">
      <alignment horizontal="left" wrapText="1"/>
    </xf>
    <xf numFmtId="14" fontId="5" fillId="2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wrapText="1"/>
    </xf>
    <xf numFmtId="0" fontId="2" fillId="25" borderId="1" xfId="0" applyFont="1" applyFill="1" applyBorder="1" applyAlignment="1">
      <alignment horizontal="left" vertical="top"/>
    </xf>
    <xf numFmtId="0" fontId="2" fillId="25" borderId="1" xfId="0" applyFont="1" applyFill="1" applyBorder="1" applyAlignment="1">
      <alignment horizontal="left" wrapText="1"/>
    </xf>
    <xf numFmtId="14" fontId="5" fillId="25" borderId="1" xfId="0" applyNumberFormat="1" applyFont="1" applyFill="1" applyBorder="1" applyAlignment="1">
      <alignment horizontal="left" wrapText="1"/>
    </xf>
    <xf numFmtId="1" fontId="1" fillId="25" borderId="1" xfId="0" applyNumberFormat="1" applyFont="1" applyFill="1" applyBorder="1" applyAlignment="1">
      <alignment horizontal="left" vertical="top"/>
    </xf>
    <xf numFmtId="14" fontId="3" fillId="25" borderId="1" xfId="0" applyNumberFormat="1" applyFont="1" applyFill="1" applyBorder="1" applyAlignment="1">
      <alignment horizontal="left" wrapText="1"/>
    </xf>
    <xf numFmtId="14" fontId="2" fillId="25" borderId="1" xfId="0" applyNumberFormat="1" applyFont="1" applyFill="1" applyBorder="1" applyAlignment="1">
      <alignment horizontal="left" vertical="top"/>
    </xf>
    <xf numFmtId="0" fontId="1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/>
    </xf>
    <xf numFmtId="14" fontId="2" fillId="25" borderId="1" xfId="0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horizontal="left" wrapText="1"/>
    </xf>
    <xf numFmtId="14" fontId="5" fillId="6" borderId="1" xfId="0" applyNumberFormat="1" applyFont="1" applyFill="1" applyBorder="1" applyAlignment="1">
      <alignment horizontal="left" wrapText="1"/>
    </xf>
    <xf numFmtId="14" fontId="3" fillId="6" borderId="1" xfId="0" applyNumberFormat="1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14" fontId="5" fillId="8" borderId="1" xfId="0" applyNumberFormat="1" applyFont="1" applyFill="1" applyBorder="1" applyAlignment="1">
      <alignment horizontal="left" wrapText="1"/>
    </xf>
    <xf numFmtId="14" fontId="3" fillId="8" borderId="1" xfId="0" applyNumberFormat="1" applyFont="1" applyFill="1" applyBorder="1" applyAlignment="1">
      <alignment horizontal="left" wrapText="1"/>
    </xf>
    <xf numFmtId="14" fontId="5" fillId="8" borderId="1" xfId="0" applyNumberFormat="1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center" wrapText="1"/>
    </xf>
    <xf numFmtId="14" fontId="3" fillId="13" borderId="1" xfId="0" applyNumberFormat="1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2" fillId="26" borderId="1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top"/>
    </xf>
    <xf numFmtId="0" fontId="2" fillId="26" borderId="1" xfId="0" applyFont="1" applyFill="1" applyBorder="1" applyAlignment="1">
      <alignment horizontal="left" wrapText="1"/>
    </xf>
    <xf numFmtId="14" fontId="5" fillId="26" borderId="1" xfId="0" applyNumberFormat="1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left" vertical="top"/>
    </xf>
    <xf numFmtId="0" fontId="1" fillId="26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left" vertical="top" wrapText="1"/>
    </xf>
    <xf numFmtId="1" fontId="1" fillId="26" borderId="1" xfId="0" applyNumberFormat="1" applyFont="1" applyFill="1" applyBorder="1" applyAlignment="1">
      <alignment horizontal="left" vertical="top"/>
    </xf>
    <xf numFmtId="1" fontId="1" fillId="23" borderId="1" xfId="0" applyNumberFormat="1" applyFont="1" applyFill="1" applyBorder="1" applyAlignment="1">
      <alignment horizontal="left" vertical="top"/>
    </xf>
    <xf numFmtId="0" fontId="5" fillId="2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top"/>
    </xf>
    <xf numFmtId="0" fontId="2" fillId="27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left" vertical="top"/>
    </xf>
    <xf numFmtId="0" fontId="1" fillId="27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20" fontId="2" fillId="6" borderId="1" xfId="0" applyNumberFormat="1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14" fontId="2" fillId="14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14" fontId="3" fillId="9" borderId="1" xfId="0" applyNumberFormat="1" applyFont="1" applyFill="1" applyBorder="1" applyAlignment="1">
      <alignment horizontal="left" vertical="center" wrapText="1"/>
    </xf>
    <xf numFmtId="14" fontId="2" fillId="9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left" vertical="center"/>
    </xf>
    <xf numFmtId="14" fontId="1" fillId="10" borderId="1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14" fontId="3" fillId="11" borderId="1" xfId="0" applyNumberFormat="1" applyFont="1" applyFill="1" applyBorder="1" applyAlignment="1">
      <alignment horizontal="left" vertical="center" wrapText="1"/>
    </xf>
    <xf numFmtId="14" fontId="2" fillId="11" borderId="1" xfId="0" applyNumberFormat="1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14" fontId="2" fillId="12" borderId="1" xfId="0" applyNumberFormat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 wrapText="1"/>
    </xf>
    <xf numFmtId="14" fontId="2" fillId="13" borderId="1" xfId="0" applyNumberFormat="1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14" fontId="3" fillId="14" borderId="1" xfId="0" applyNumberFormat="1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2" fillId="15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1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1" fontId="1" fillId="14" borderId="1" xfId="0" applyNumberFormat="1" applyFont="1" applyFill="1" applyBorder="1" applyAlignment="1">
      <alignment horizontal="left" vertical="center"/>
    </xf>
    <xf numFmtId="14" fontId="5" fillId="14" borderId="1" xfId="0" applyNumberFormat="1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left" vertical="center"/>
    </xf>
    <xf numFmtId="1" fontId="1" fillId="8" borderId="1" xfId="0" applyNumberFormat="1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 wrapText="1"/>
    </xf>
    <xf numFmtId="14" fontId="3" fillId="16" borderId="1" xfId="0" applyNumberFormat="1" applyFont="1" applyFill="1" applyBorder="1" applyAlignment="1">
      <alignment horizontal="left" vertical="center" wrapText="1"/>
    </xf>
    <xf numFmtId="1" fontId="1" fillId="16" borderId="1" xfId="0" applyNumberFormat="1" applyFont="1" applyFill="1" applyBorder="1" applyAlignment="1">
      <alignment horizontal="left" vertical="center"/>
    </xf>
    <xf numFmtId="14" fontId="2" fillId="16" borderId="1" xfId="0" applyNumberFormat="1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14" fontId="5" fillId="16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3" fillId="13" borderId="1" xfId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1" fontId="1" fillId="12" borderId="1" xfId="0" applyNumberFormat="1" applyFont="1" applyFill="1" applyBorder="1" applyAlignment="1">
      <alignment horizontal="left" vertical="center"/>
    </xf>
    <xf numFmtId="1" fontId="1" fillId="13" borderId="1" xfId="0" applyNumberFormat="1" applyFont="1" applyFill="1" applyBorder="1" applyAlignment="1">
      <alignment horizontal="left" vertical="center"/>
    </xf>
    <xf numFmtId="1" fontId="1" fillId="6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14" fontId="5" fillId="17" borderId="1" xfId="0" applyNumberFormat="1" applyFont="1" applyFill="1" applyBorder="1" applyAlignment="1">
      <alignment horizontal="left" vertical="center" wrapText="1"/>
    </xf>
    <xf numFmtId="14" fontId="2" fillId="17" borderId="1" xfId="0" applyNumberFormat="1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 wrapText="1"/>
    </xf>
    <xf numFmtId="1" fontId="1" fillId="15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14" fontId="3" fillId="18" borderId="1" xfId="0" applyNumberFormat="1" applyFont="1" applyFill="1" applyBorder="1" applyAlignment="1">
      <alignment horizontal="left" vertical="center" wrapText="1"/>
    </xf>
    <xf numFmtId="1" fontId="1" fillId="18" borderId="1" xfId="0" applyNumberFormat="1" applyFont="1" applyFill="1" applyBorder="1" applyAlignment="1">
      <alignment horizontal="left" vertical="center"/>
    </xf>
    <xf numFmtId="14" fontId="2" fillId="18" borderId="1" xfId="0" applyNumberFormat="1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wrapText="1"/>
    </xf>
    <xf numFmtId="1" fontId="1" fillId="7" borderId="1" xfId="0" applyNumberFormat="1" applyFont="1" applyFill="1" applyBorder="1" applyAlignment="1">
      <alignment horizontal="left" vertical="top"/>
    </xf>
    <xf numFmtId="14" fontId="5" fillId="7" borderId="1" xfId="0" applyNumberFormat="1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5" fillId="7" borderId="1" xfId="0" applyNumberFormat="1" applyFont="1" applyFill="1" applyBorder="1" applyAlignment="1">
      <alignment horizontal="left" vertical="top" wrapText="1"/>
    </xf>
    <xf numFmtId="1" fontId="1" fillId="14" borderId="1" xfId="0" applyNumberFormat="1" applyFont="1" applyFill="1" applyBorder="1" applyAlignment="1">
      <alignment horizontal="left" vertical="top"/>
    </xf>
    <xf numFmtId="14" fontId="2" fillId="14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28" borderId="1" xfId="0" applyFont="1" applyFill="1" applyBorder="1" applyAlignment="1">
      <alignment horizontal="left" vertical="center"/>
    </xf>
    <xf numFmtId="0" fontId="9" fillId="28" borderId="1" xfId="0" applyFont="1" applyFill="1" applyBorder="1" applyAlignment="1">
      <alignment horizontal="left" vertical="top"/>
    </xf>
    <xf numFmtId="14" fontId="9" fillId="28" borderId="1" xfId="0" applyNumberFormat="1" applyFont="1" applyFill="1" applyBorder="1" applyAlignment="1">
      <alignment horizontal="left" vertical="top"/>
    </xf>
    <xf numFmtId="0" fontId="8" fillId="28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top" wrapText="1"/>
    </xf>
    <xf numFmtId="0" fontId="9" fillId="28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 wrapText="1"/>
    </xf>
    <xf numFmtId="14" fontId="11" fillId="8" borderId="1" xfId="0" applyNumberFormat="1" applyFont="1" applyFill="1" applyBorder="1" applyAlignment="1">
      <alignment horizontal="left" vertical="top" wrapText="1"/>
    </xf>
    <xf numFmtId="1" fontId="8" fillId="8" borderId="1" xfId="0" applyNumberFormat="1" applyFont="1" applyFill="1" applyBorder="1" applyAlignment="1">
      <alignment horizontal="left" vertical="top"/>
    </xf>
    <xf numFmtId="14" fontId="9" fillId="8" borderId="1" xfId="0" applyNumberFormat="1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/>
    </xf>
    <xf numFmtId="14" fontId="9" fillId="8" borderId="1" xfId="0" applyNumberFormat="1" applyFont="1" applyFill="1" applyBorder="1" applyAlignment="1">
      <alignment horizontal="left"/>
    </xf>
    <xf numFmtId="0" fontId="9" fillId="29" borderId="1" xfId="0" applyFont="1" applyFill="1" applyBorder="1" applyAlignment="1">
      <alignment horizontal="left" vertical="center"/>
    </xf>
    <xf numFmtId="0" fontId="9" fillId="29" borderId="1" xfId="0" applyFont="1" applyFill="1" applyBorder="1" applyAlignment="1">
      <alignment horizontal="left" vertical="top"/>
    </xf>
    <xf numFmtId="0" fontId="11" fillId="29" borderId="1" xfId="0" applyFont="1" applyFill="1" applyBorder="1" applyAlignment="1">
      <alignment horizontal="left" vertical="top" wrapText="1"/>
    </xf>
    <xf numFmtId="1" fontId="8" fillId="29" borderId="1" xfId="0" applyNumberFormat="1" applyFont="1" applyFill="1" applyBorder="1" applyAlignment="1">
      <alignment horizontal="left" vertical="top"/>
    </xf>
    <xf numFmtId="14" fontId="9" fillId="29" borderId="1" xfId="0" applyNumberFormat="1" applyFont="1" applyFill="1" applyBorder="1" applyAlignment="1">
      <alignment horizontal="left" vertical="top"/>
    </xf>
    <xf numFmtId="0" fontId="8" fillId="29" borderId="1" xfId="0" applyFont="1" applyFill="1" applyBorder="1" applyAlignment="1">
      <alignment horizontal="left" vertical="center" wrapText="1"/>
    </xf>
    <xf numFmtId="0" fontId="9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/>
    </xf>
    <xf numFmtId="0" fontId="9" fillId="27" borderId="1" xfId="0" applyFont="1" applyFill="1" applyBorder="1" applyAlignment="1">
      <alignment horizontal="left" vertical="top"/>
    </xf>
    <xf numFmtId="0" fontId="11" fillId="27" borderId="1" xfId="0" applyFont="1" applyFill="1" applyBorder="1" applyAlignment="1">
      <alignment horizontal="left" vertical="top" wrapText="1"/>
    </xf>
    <xf numFmtId="0" fontId="9" fillId="27" borderId="1" xfId="0" applyFont="1" applyFill="1" applyBorder="1" applyAlignment="1">
      <alignment horizontal="left" wrapText="1"/>
    </xf>
    <xf numFmtId="14" fontId="9" fillId="27" borderId="1" xfId="0" applyNumberFormat="1" applyFont="1" applyFill="1" applyBorder="1" applyAlignment="1">
      <alignment horizontal="left"/>
    </xf>
    <xf numFmtId="14" fontId="9" fillId="27" borderId="1" xfId="0" applyNumberFormat="1" applyFont="1" applyFill="1" applyBorder="1" applyAlignment="1">
      <alignment horizontal="left" vertical="top"/>
    </xf>
    <xf numFmtId="0" fontId="8" fillId="27" borderId="1" xfId="0" applyFont="1" applyFill="1" applyBorder="1" applyAlignment="1">
      <alignment horizontal="left" vertical="center" wrapText="1"/>
    </xf>
    <xf numFmtId="0" fontId="10" fillId="27" borderId="1" xfId="0" applyFont="1" applyFill="1" applyBorder="1" applyAlignment="1">
      <alignment horizontal="left" vertical="top" wrapText="1"/>
    </xf>
    <xf numFmtId="14" fontId="10" fillId="27" borderId="1" xfId="0" applyNumberFormat="1" applyFont="1" applyFill="1" applyBorder="1" applyAlignment="1">
      <alignment horizontal="left" vertical="top" wrapText="1"/>
    </xf>
    <xf numFmtId="1" fontId="8" fillId="27" borderId="1" xfId="0" applyNumberFormat="1" applyFont="1" applyFill="1" applyBorder="1" applyAlignment="1">
      <alignment horizontal="left" vertical="top"/>
    </xf>
    <xf numFmtId="14" fontId="11" fillId="27" borderId="1" xfId="0" applyNumberFormat="1" applyFont="1" applyFill="1" applyBorder="1" applyAlignment="1">
      <alignment horizontal="left" vertical="top" wrapText="1"/>
    </xf>
    <xf numFmtId="0" fontId="9" fillId="30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horizontal="left"/>
    </xf>
    <xf numFmtId="0" fontId="9" fillId="30" borderId="1" xfId="0" applyFont="1" applyFill="1" applyBorder="1" applyAlignment="1">
      <alignment horizontal="left" vertical="top"/>
    </xf>
    <xf numFmtId="0" fontId="11" fillId="30" borderId="1" xfId="0" applyFont="1" applyFill="1" applyBorder="1" applyAlignment="1">
      <alignment horizontal="left" vertical="top" wrapText="1"/>
    </xf>
    <xf numFmtId="0" fontId="9" fillId="30" borderId="1" xfId="0" applyFont="1" applyFill="1" applyBorder="1" applyAlignment="1">
      <alignment horizontal="left" wrapText="1"/>
    </xf>
    <xf numFmtId="14" fontId="9" fillId="30" borderId="1" xfId="0" applyNumberFormat="1" applyFont="1" applyFill="1" applyBorder="1" applyAlignment="1">
      <alignment horizontal="left"/>
    </xf>
    <xf numFmtId="14" fontId="9" fillId="30" borderId="1" xfId="0" applyNumberFormat="1" applyFont="1" applyFill="1" applyBorder="1" applyAlignment="1">
      <alignment horizontal="left" vertical="top"/>
    </xf>
    <xf numFmtId="0" fontId="8" fillId="30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/>
    </xf>
    <xf numFmtId="0" fontId="9" fillId="15" borderId="1" xfId="0" applyFont="1" applyFill="1" applyBorder="1" applyAlignment="1">
      <alignment horizontal="left" vertical="top"/>
    </xf>
    <xf numFmtId="0" fontId="11" fillId="15" borderId="1" xfId="0" applyFont="1" applyFill="1" applyBorder="1" applyAlignment="1">
      <alignment horizontal="left" vertical="top" wrapText="1"/>
    </xf>
    <xf numFmtId="14" fontId="9" fillId="15" borderId="1" xfId="0" applyNumberFormat="1" applyFont="1" applyFill="1" applyBorder="1" applyAlignment="1">
      <alignment horizontal="left"/>
    </xf>
    <xf numFmtId="0" fontId="8" fillId="15" borderId="1" xfId="0" applyFont="1" applyFill="1" applyBorder="1" applyAlignment="1">
      <alignment horizontal="left" vertical="center" wrapText="1"/>
    </xf>
    <xf numFmtId="14" fontId="9" fillId="15" borderId="1" xfId="0" applyNumberFormat="1" applyFont="1" applyFill="1" applyBorder="1" applyAlignment="1">
      <alignment horizontal="left" vertical="top"/>
    </xf>
    <xf numFmtId="14" fontId="11" fillId="15" borderId="1" xfId="0" applyNumberFormat="1" applyFont="1" applyFill="1" applyBorder="1" applyAlignment="1">
      <alignment horizontal="left" vertical="top" wrapText="1"/>
    </xf>
    <xf numFmtId="14" fontId="10" fillId="15" borderId="1" xfId="0" applyNumberFormat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wrapText="1"/>
    </xf>
    <xf numFmtId="1" fontId="8" fillId="6" borderId="1" xfId="0" applyNumberFormat="1" applyFont="1" applyFill="1" applyBorder="1" applyAlignment="1">
      <alignment horizontal="left" vertical="top"/>
    </xf>
    <xf numFmtId="14" fontId="9" fillId="6" borderId="1" xfId="0" applyNumberFormat="1" applyFont="1" applyFill="1" applyBorder="1" applyAlignment="1">
      <alignment horizontal="left"/>
    </xf>
    <xf numFmtId="14" fontId="9" fillId="6" borderId="1" xfId="0" applyNumberFormat="1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center" wrapText="1"/>
    </xf>
    <xf numFmtId="14" fontId="11" fillId="6" borderId="1" xfId="0" applyNumberFormat="1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/>
    </xf>
    <xf numFmtId="0" fontId="9" fillId="20" borderId="1" xfId="0" applyFont="1" applyFill="1" applyBorder="1" applyAlignment="1">
      <alignment horizontal="left" wrapText="1"/>
    </xf>
    <xf numFmtId="14" fontId="11" fillId="20" borderId="1" xfId="0" applyNumberFormat="1" applyFont="1" applyFill="1" applyBorder="1" applyAlignment="1">
      <alignment horizontal="left" vertical="top" wrapText="1"/>
    </xf>
    <xf numFmtId="1" fontId="8" fillId="20" borderId="1" xfId="0" applyNumberFormat="1" applyFont="1" applyFill="1" applyBorder="1" applyAlignment="1">
      <alignment horizontal="left" vertical="top"/>
    </xf>
    <xf numFmtId="14" fontId="9" fillId="20" borderId="1" xfId="0" applyNumberFormat="1" applyFont="1" applyFill="1" applyBorder="1" applyAlignment="1">
      <alignment horizontal="left" vertical="top"/>
    </xf>
    <xf numFmtId="0" fontId="8" fillId="20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/>
    </xf>
    <xf numFmtId="14" fontId="10" fillId="13" borderId="1" xfId="0" applyNumberFormat="1" applyFont="1" applyFill="1" applyBorder="1" applyAlignment="1">
      <alignment horizontal="left" vertical="top" wrapText="1"/>
    </xf>
    <xf numFmtId="1" fontId="8" fillId="13" borderId="1" xfId="0" applyNumberFormat="1" applyFont="1" applyFill="1" applyBorder="1" applyAlignment="1">
      <alignment horizontal="left" vertical="top"/>
    </xf>
    <xf numFmtId="14" fontId="9" fillId="13" borderId="1" xfId="0" applyNumberFormat="1" applyFont="1" applyFill="1" applyBorder="1" applyAlignment="1">
      <alignment horizontal="left" vertical="top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wrapText="1"/>
    </xf>
    <xf numFmtId="14" fontId="11" fillId="13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/>
    </xf>
    <xf numFmtId="1" fontId="8" fillId="2" borderId="1" xfId="0" applyNumberFormat="1" applyFont="1" applyFill="1" applyBorder="1" applyAlignment="1">
      <alignment horizontal="left" vertical="top"/>
    </xf>
    <xf numFmtId="14" fontId="11" fillId="2" borderId="1" xfId="0" applyNumberFormat="1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14" fontId="11" fillId="2" borderId="1" xfId="0" applyNumberFormat="1" applyFont="1" applyFill="1" applyBorder="1" applyAlignment="1">
      <alignment horizontal="left" vertical="top" wrapText="1"/>
    </xf>
    <xf numFmtId="14" fontId="10" fillId="2" borderId="1" xfId="0" applyNumberFormat="1" applyFont="1" applyFill="1" applyBorder="1" applyAlignment="1">
      <alignment horizontal="left" vertical="top" wrapText="1"/>
    </xf>
    <xf numFmtId="14" fontId="10" fillId="6" borderId="1" xfId="0" applyNumberFormat="1" applyFont="1" applyFill="1" applyBorder="1" applyAlignment="1">
      <alignment horizontal="left" wrapText="1"/>
    </xf>
    <xf numFmtId="0" fontId="10" fillId="27" borderId="1" xfId="0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horizontal="left" vertical="center" wrapText="1"/>
    </xf>
    <xf numFmtId="0" fontId="7" fillId="27" borderId="1" xfId="0" applyFont="1" applyFill="1" applyBorder="1" applyAlignment="1">
      <alignment horizontal="left" wrapText="1"/>
    </xf>
    <xf numFmtId="14" fontId="10" fillId="27" borderId="1" xfId="0" applyNumberFormat="1" applyFont="1" applyFill="1" applyBorder="1" applyAlignment="1">
      <alignment horizontal="left" vertical="center" wrapText="1"/>
    </xf>
    <xf numFmtId="0" fontId="9" fillId="27" borderId="1" xfId="0" applyFont="1" applyFill="1" applyBorder="1" applyAlignment="1">
      <alignment horizontal="left" vertical="top" wrapText="1"/>
    </xf>
    <xf numFmtId="0" fontId="11" fillId="27" borderId="1" xfId="0" applyFont="1" applyFill="1" applyBorder="1" applyAlignment="1">
      <alignment horizontal="left" wrapText="1"/>
    </xf>
    <xf numFmtId="14" fontId="11" fillId="27" borderId="1" xfId="0" applyNumberFormat="1" applyFont="1" applyFill="1" applyBorder="1" applyAlignment="1">
      <alignment horizontal="left" wrapText="1"/>
    </xf>
    <xf numFmtId="0" fontId="7" fillId="8" borderId="1" xfId="0" applyFont="1" applyFill="1" applyBorder="1" applyAlignment="1">
      <alignment horizontal="left" wrapText="1"/>
    </xf>
    <xf numFmtId="0" fontId="11" fillId="8" borderId="1" xfId="0" applyFont="1" applyFill="1" applyBorder="1" applyAlignment="1">
      <alignment horizontal="left" vertical="center" wrapText="1"/>
    </xf>
    <xf numFmtId="14" fontId="11" fillId="8" borderId="1" xfId="0" applyNumberFormat="1" applyFont="1" applyFill="1" applyBorder="1" applyAlignment="1">
      <alignment horizontal="left" vertical="center" wrapText="1"/>
    </xf>
    <xf numFmtId="14" fontId="10" fillId="8" borderId="1" xfId="0" applyNumberFormat="1" applyFont="1" applyFill="1" applyBorder="1" applyAlignment="1">
      <alignment horizontal="left" vertical="top" wrapText="1"/>
    </xf>
    <xf numFmtId="0" fontId="9" fillId="25" borderId="1" xfId="0" applyFont="1" applyFill="1" applyBorder="1" applyAlignment="1">
      <alignment horizontal="left" vertical="center"/>
    </xf>
    <xf numFmtId="0" fontId="11" fillId="25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horizontal="left" vertical="top"/>
    </xf>
    <xf numFmtId="0" fontId="9" fillId="25" borderId="1" xfId="0" applyFont="1" applyFill="1" applyBorder="1" applyAlignment="1">
      <alignment horizontal="left" wrapText="1"/>
    </xf>
    <xf numFmtId="14" fontId="11" fillId="25" borderId="1" xfId="0" applyNumberFormat="1" applyFont="1" applyFill="1" applyBorder="1" applyAlignment="1">
      <alignment horizontal="left" vertical="center" wrapText="1"/>
    </xf>
    <xf numFmtId="1" fontId="8" fillId="25" borderId="1" xfId="0" applyNumberFormat="1" applyFont="1" applyFill="1" applyBorder="1" applyAlignment="1">
      <alignment horizontal="left" vertical="top"/>
    </xf>
    <xf numFmtId="14" fontId="10" fillId="25" borderId="1" xfId="0" applyNumberFormat="1" applyFont="1" applyFill="1" applyBorder="1" applyAlignment="1">
      <alignment horizontal="left" vertical="top" wrapText="1"/>
    </xf>
    <xf numFmtId="14" fontId="9" fillId="25" borderId="1" xfId="0" applyNumberFormat="1" applyFont="1" applyFill="1" applyBorder="1" applyAlignment="1">
      <alignment horizontal="left" vertical="top"/>
    </xf>
    <xf numFmtId="0" fontId="8" fillId="25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horizontal="left"/>
    </xf>
    <xf numFmtId="0" fontId="11" fillId="25" borderId="1" xfId="0" applyFont="1" applyFill="1" applyBorder="1" applyAlignment="1">
      <alignment horizontal="left" vertical="top" wrapText="1"/>
    </xf>
    <xf numFmtId="14" fontId="11" fillId="25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14" fontId="11" fillId="27" borderId="1" xfId="0" applyNumberFormat="1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wrapText="1"/>
    </xf>
    <xf numFmtId="0" fontId="11" fillId="15" borderId="1" xfId="0" applyFont="1" applyFill="1" applyBorder="1" applyAlignment="1">
      <alignment horizontal="left" vertical="center" wrapText="1"/>
    </xf>
    <xf numFmtId="14" fontId="11" fillId="15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14" fontId="11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3" borderId="1" xfId="0" applyFont="1" applyFill="1" applyBorder="1" applyAlignment="1">
      <alignment horizontal="left" wrapText="1"/>
    </xf>
    <xf numFmtId="14" fontId="8" fillId="4" borderId="1" xfId="0" applyNumberFormat="1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top"/>
    </xf>
    <xf numFmtId="14" fontId="11" fillId="14" borderId="1" xfId="0" applyNumberFormat="1" applyFont="1" applyFill="1" applyBorder="1" applyAlignment="1">
      <alignment horizontal="left" vertical="center" wrapText="1"/>
    </xf>
    <xf numFmtId="14" fontId="9" fillId="14" borderId="1" xfId="0" applyNumberFormat="1" applyFont="1" applyFill="1" applyBorder="1" applyAlignment="1">
      <alignment horizontal="left" vertical="top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/>
    </xf>
    <xf numFmtId="0" fontId="9" fillId="14" borderId="1" xfId="0" applyFont="1" applyFill="1" applyBorder="1" applyAlignment="1">
      <alignment horizontal="left" wrapText="1"/>
    </xf>
    <xf numFmtId="1" fontId="8" fillId="14" borderId="1" xfId="0" applyNumberFormat="1" applyFont="1" applyFill="1" applyBorder="1" applyAlignment="1">
      <alignment horizontal="left" vertical="top"/>
    </xf>
    <xf numFmtId="1" fontId="8" fillId="15" borderId="1" xfId="0" applyNumberFormat="1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center"/>
    </xf>
    <xf numFmtId="14" fontId="8" fillId="15" borderId="1" xfId="0" applyNumberFormat="1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wrapText="1"/>
    </xf>
    <xf numFmtId="14" fontId="11" fillId="15" borderId="1" xfId="0" applyNumberFormat="1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vertical="center" wrapText="1"/>
    </xf>
    <xf numFmtId="14" fontId="8" fillId="6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14" fontId="11" fillId="6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1" fillId="31" borderId="1" xfId="0" applyFont="1" applyFill="1" applyBorder="1" applyAlignment="1">
      <alignment horizontal="left" vertical="center" wrapText="1"/>
    </xf>
    <xf numFmtId="0" fontId="9" fillId="31" borderId="1" xfId="0" applyFont="1" applyFill="1" applyBorder="1" applyAlignment="1">
      <alignment horizontal="left" vertical="center"/>
    </xf>
    <xf numFmtId="0" fontId="9" fillId="31" borderId="1" xfId="0" applyFont="1" applyFill="1" applyBorder="1" applyAlignment="1">
      <alignment horizontal="left"/>
    </xf>
    <xf numFmtId="0" fontId="9" fillId="31" borderId="1" xfId="0" applyFont="1" applyFill="1" applyBorder="1" applyAlignment="1">
      <alignment horizontal="left" vertical="top"/>
    </xf>
    <xf numFmtId="14" fontId="8" fillId="31" borderId="1" xfId="0" applyNumberFormat="1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 wrapText="1"/>
    </xf>
    <xf numFmtId="0" fontId="8" fillId="31" borderId="1" xfId="0" applyFont="1" applyFill="1" applyBorder="1" applyAlignment="1">
      <alignment horizontal="left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center"/>
    </xf>
    <xf numFmtId="0" fontId="10" fillId="13" borderId="1" xfId="0" applyFont="1" applyFill="1" applyBorder="1" applyAlignment="1">
      <alignment horizontal="left" wrapText="1"/>
    </xf>
    <xf numFmtId="0" fontId="8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14" fontId="9" fillId="13" borderId="1" xfId="0" applyNumberFormat="1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/>
    </xf>
    <xf numFmtId="14" fontId="9" fillId="13" borderId="1" xfId="0" applyNumberFormat="1" applyFont="1" applyFill="1" applyBorder="1" applyAlignment="1">
      <alignment horizontal="left"/>
    </xf>
    <xf numFmtId="0" fontId="11" fillId="23" borderId="1" xfId="0" applyFont="1" applyFill="1" applyBorder="1" applyAlignment="1">
      <alignment horizontal="left" vertical="center" wrapText="1"/>
    </xf>
    <xf numFmtId="0" fontId="9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 wrapText="1"/>
    </xf>
    <xf numFmtId="0" fontId="9" fillId="23" borderId="1" xfId="0" applyFont="1" applyFill="1" applyBorder="1" applyAlignment="1">
      <alignment horizontal="left" vertical="top"/>
    </xf>
    <xf numFmtId="14" fontId="9" fillId="23" borderId="1" xfId="0" applyNumberFormat="1" applyFont="1" applyFill="1" applyBorder="1" applyAlignment="1">
      <alignment horizontal="left" vertical="center" wrapText="1"/>
    </xf>
    <xf numFmtId="1" fontId="8" fillId="23" borderId="1" xfId="0" applyNumberFormat="1" applyFont="1" applyFill="1" applyBorder="1" applyAlignment="1">
      <alignment horizontal="left" vertical="top"/>
    </xf>
    <xf numFmtId="0" fontId="9" fillId="23" borderId="1" xfId="0" applyFont="1" applyFill="1" applyBorder="1" applyAlignment="1">
      <alignment horizontal="left"/>
    </xf>
    <xf numFmtId="0" fontId="8" fillId="23" borderId="1" xfId="0" applyFont="1" applyFill="1" applyBorder="1" applyAlignment="1">
      <alignment horizontal="left" vertical="center"/>
    </xf>
    <xf numFmtId="14" fontId="11" fillId="23" borderId="1" xfId="0" applyNumberFormat="1" applyFont="1" applyFill="1" applyBorder="1" applyAlignment="1">
      <alignment horizontal="left" vertical="center" wrapText="1"/>
    </xf>
    <xf numFmtId="0" fontId="10" fillId="23" borderId="1" xfId="0" applyFont="1" applyFill="1" applyBorder="1" applyAlignment="1">
      <alignment horizontal="left" wrapText="1"/>
    </xf>
    <xf numFmtId="14" fontId="9" fillId="23" borderId="1" xfId="0" applyNumberFormat="1" applyFont="1" applyFill="1" applyBorder="1" applyAlignment="1">
      <alignment horizontal="left"/>
    </xf>
    <xf numFmtId="0" fontId="8" fillId="23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/>
    </xf>
    <xf numFmtId="0" fontId="10" fillId="27" borderId="1" xfId="0" applyFont="1" applyFill="1" applyBorder="1" applyAlignment="1">
      <alignment horizontal="left" wrapText="1"/>
    </xf>
    <xf numFmtId="0" fontId="10" fillId="27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wrapText="1"/>
    </xf>
    <xf numFmtId="14" fontId="11" fillId="8" borderId="1" xfId="0" applyNumberFormat="1" applyFont="1" applyFill="1" applyBorder="1" applyAlignment="1">
      <alignment horizontal="left" wrapText="1"/>
    </xf>
    <xf numFmtId="0" fontId="10" fillId="8" borderId="1" xfId="0" applyFont="1" applyFill="1" applyBorder="1" applyAlignment="1">
      <alignment horizontal="left" wrapText="1"/>
    </xf>
    <xf numFmtId="0" fontId="8" fillId="27" borderId="1" xfId="0" applyFont="1" applyFill="1" applyBorder="1" applyAlignment="1">
      <alignment horizontal="left" wrapText="1"/>
    </xf>
    <xf numFmtId="14" fontId="8" fillId="27" borderId="1" xfId="0" applyNumberFormat="1" applyFont="1" applyFill="1" applyBorder="1" applyAlignment="1">
      <alignment horizontal="left" wrapText="1"/>
    </xf>
    <xf numFmtId="0" fontId="9" fillId="27" borderId="1" xfId="0" applyFont="1" applyFill="1" applyBorder="1" applyAlignment="1">
      <alignment horizontal="left" vertical="center" wrapText="1"/>
    </xf>
    <xf numFmtId="14" fontId="9" fillId="27" borderId="1" xfId="0" applyNumberFormat="1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horizontal="left" vertical="center" wrapText="1"/>
    </xf>
    <xf numFmtId="0" fontId="9" fillId="23" borderId="1" xfId="0" applyFont="1" applyFill="1" applyBorder="1" applyAlignment="1">
      <alignment horizontal="left" wrapText="1"/>
    </xf>
    <xf numFmtId="14" fontId="13" fillId="23" borderId="1" xfId="0" applyNumberFormat="1" applyFont="1" applyFill="1" applyBorder="1" applyAlignment="1">
      <alignment horizontal="left" vertical="center" wrapText="1"/>
    </xf>
    <xf numFmtId="14" fontId="9" fillId="23" borderId="1" xfId="0" applyNumberFormat="1" applyFont="1" applyFill="1" applyBorder="1" applyAlignment="1">
      <alignment horizontal="left" vertical="top"/>
    </xf>
    <xf numFmtId="0" fontId="10" fillId="23" borderId="1" xfId="0" applyFont="1" applyFill="1" applyBorder="1" applyAlignment="1">
      <alignment horizontal="left"/>
    </xf>
    <xf numFmtId="0" fontId="11" fillId="23" borderId="1" xfId="0" applyFont="1" applyFill="1" applyBorder="1" applyAlignment="1">
      <alignment horizontal="left" wrapText="1"/>
    </xf>
    <xf numFmtId="14" fontId="11" fillId="23" borderId="1" xfId="0" applyNumberFormat="1" applyFont="1" applyFill="1" applyBorder="1" applyAlignment="1">
      <alignment horizontal="left" wrapText="1"/>
    </xf>
    <xf numFmtId="0" fontId="11" fillId="23" borderId="1" xfId="0" applyFont="1" applyFill="1" applyBorder="1" applyAlignment="1">
      <alignment horizontal="left" vertical="top" wrapText="1"/>
    </xf>
    <xf numFmtId="14" fontId="11" fillId="23" borderId="1" xfId="0" applyNumberFormat="1" applyFont="1" applyFill="1" applyBorder="1" applyAlignment="1">
      <alignment horizontal="left" vertical="top" wrapText="1"/>
    </xf>
    <xf numFmtId="0" fontId="9" fillId="23" borderId="1" xfId="0" applyFont="1" applyFill="1" applyBorder="1" applyAlignment="1">
      <alignment horizontal="left" vertical="top" wrapText="1"/>
    </xf>
    <xf numFmtId="1" fontId="8" fillId="31" borderId="1" xfId="0" applyNumberFormat="1" applyFont="1" applyFill="1" applyBorder="1" applyAlignment="1">
      <alignment horizontal="left" vertical="top"/>
    </xf>
    <xf numFmtId="0" fontId="9" fillId="32" borderId="1" xfId="0" applyFont="1" applyFill="1" applyBorder="1" applyAlignment="1">
      <alignment horizontal="left" vertical="center"/>
    </xf>
    <xf numFmtId="0" fontId="11" fillId="32" borderId="1" xfId="0" applyFont="1" applyFill="1" applyBorder="1" applyAlignment="1">
      <alignment horizontal="left" vertical="center" wrapText="1"/>
    </xf>
    <xf numFmtId="0" fontId="9" fillId="32" borderId="1" xfId="0" applyFont="1" applyFill="1" applyBorder="1" applyAlignment="1">
      <alignment horizontal="left" vertical="top"/>
    </xf>
    <xf numFmtId="0" fontId="9" fillId="32" borderId="1" xfId="0" applyFont="1" applyFill="1" applyBorder="1" applyAlignment="1">
      <alignment horizontal="left" wrapText="1"/>
    </xf>
    <xf numFmtId="1" fontId="8" fillId="32" borderId="1" xfId="0" applyNumberFormat="1" applyFont="1" applyFill="1" applyBorder="1" applyAlignment="1">
      <alignment horizontal="left" vertical="top"/>
    </xf>
    <xf numFmtId="14" fontId="11" fillId="32" borderId="1" xfId="0" applyNumberFormat="1" applyFont="1" applyFill="1" applyBorder="1" applyAlignment="1">
      <alignment horizontal="left" vertical="center" wrapText="1"/>
    </xf>
    <xf numFmtId="0" fontId="8" fillId="32" borderId="1" xfId="0" applyFont="1" applyFill="1" applyBorder="1" applyAlignment="1">
      <alignment horizontal="left" vertical="center" wrapText="1"/>
    </xf>
    <xf numFmtId="0" fontId="9" fillId="32" borderId="1" xfId="0" applyFont="1" applyFill="1" applyBorder="1" applyAlignment="1">
      <alignment horizontal="left"/>
    </xf>
    <xf numFmtId="0" fontId="8" fillId="32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 wrapText="1"/>
    </xf>
    <xf numFmtId="14" fontId="13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14" fontId="8" fillId="6" borderId="1" xfId="0" applyNumberFormat="1" applyFont="1" applyFill="1" applyBorder="1" applyAlignment="1">
      <alignment horizontal="left" wrapText="1"/>
    </xf>
    <xf numFmtId="14" fontId="8" fillId="27" borderId="1" xfId="0" applyNumberFormat="1" applyFont="1" applyFill="1" applyBorder="1" applyAlignment="1">
      <alignment horizontal="left" vertical="center"/>
    </xf>
    <xf numFmtId="14" fontId="10" fillId="8" borderId="1" xfId="0" applyNumberFormat="1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14" fontId="8" fillId="8" borderId="1" xfId="0" applyNumberFormat="1" applyFont="1" applyFill="1" applyBorder="1" applyAlignment="1">
      <alignment horizontal="left" wrapText="1"/>
    </xf>
    <xf numFmtId="0" fontId="10" fillId="8" borderId="1" xfId="0" applyFont="1" applyFill="1" applyBorder="1" applyAlignment="1">
      <alignment horizontal="left"/>
    </xf>
    <xf numFmtId="14" fontId="8" fillId="13" borderId="1" xfId="0" applyNumberFormat="1" applyFont="1" applyFill="1" applyBorder="1" applyAlignment="1">
      <alignment horizontal="left" vertical="center"/>
    </xf>
    <xf numFmtId="14" fontId="10" fillId="27" borderId="1" xfId="0" applyNumberFormat="1" applyFont="1" applyFill="1" applyBorder="1" applyAlignment="1">
      <alignment horizontal="left" wrapText="1"/>
    </xf>
    <xf numFmtId="0" fontId="7" fillId="23" borderId="1" xfId="0" applyFont="1" applyFill="1" applyBorder="1" applyAlignment="1">
      <alignment horizontal="left" wrapText="1"/>
    </xf>
    <xf numFmtId="0" fontId="7" fillId="23" borderId="1" xfId="0" applyFont="1" applyFill="1" applyBorder="1" applyAlignment="1">
      <alignment horizontal="left" vertical="top" wrapText="1"/>
    </xf>
    <xf numFmtId="0" fontId="2" fillId="23" borderId="1" xfId="0" applyFont="1" applyFill="1" applyBorder="1" applyAlignment="1">
      <alignment horizontal="left" vertical="top" wrapText="1"/>
    </xf>
    <xf numFmtId="0" fontId="15" fillId="27" borderId="1" xfId="0" applyFont="1" applyFill="1" applyBorder="1" applyAlignment="1">
      <alignment horizontal="left" vertical="center" wrapText="1"/>
    </xf>
    <xf numFmtId="0" fontId="13" fillId="27" borderId="1" xfId="0" applyFont="1" applyFill="1" applyBorder="1" applyAlignment="1">
      <alignment horizontal="left" vertical="center" wrapText="1"/>
    </xf>
    <xf numFmtId="14" fontId="13" fillId="27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top" wrapText="1"/>
    </xf>
    <xf numFmtId="14" fontId="10" fillId="6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top"/>
    </xf>
    <xf numFmtId="0" fontId="2" fillId="14" borderId="0" xfId="0" applyFont="1" applyFill="1" applyAlignment="1">
      <alignment horizontal="left" vertical="top"/>
    </xf>
    <xf numFmtId="0" fontId="2" fillId="14" borderId="0" xfId="0" applyFont="1" applyFill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15" borderId="0" xfId="0" applyFont="1" applyFill="1" applyAlignment="1">
      <alignment horizontal="left" vertical="top"/>
    </xf>
    <xf numFmtId="0" fontId="2" fillId="19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20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2" fillId="22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  <xf numFmtId="0" fontId="2" fillId="23" borderId="0" xfId="0" applyFont="1" applyFill="1" applyAlignment="1">
      <alignment horizontal="left" vertical="top"/>
    </xf>
    <xf numFmtId="0" fontId="2" fillId="25" borderId="0" xfId="0" applyFont="1" applyFill="1" applyAlignment="1">
      <alignment horizontal="left" vertical="top"/>
    </xf>
    <xf numFmtId="0" fontId="2" fillId="27" borderId="0" xfId="0" applyFont="1" applyFill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8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27" borderId="0" xfId="0" applyFont="1" applyFill="1" applyAlignment="1">
      <alignment horizontal="left" vertical="top"/>
    </xf>
    <xf numFmtId="0" fontId="9" fillId="15" borderId="0" xfId="0" applyFont="1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9" fillId="20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14" borderId="0" xfId="0" applyFont="1" applyFill="1" applyAlignment="1">
      <alignment horizontal="left" vertical="top"/>
    </xf>
    <xf numFmtId="0" fontId="9" fillId="32" borderId="0" xfId="0" applyFont="1" applyFill="1" applyAlignment="1">
      <alignment horizontal="left" vertical="top"/>
    </xf>
    <xf numFmtId="0" fontId="9" fillId="31" borderId="0" xfId="0" applyFont="1" applyFill="1" applyAlignment="1">
      <alignment horizontal="left" vertical="top"/>
    </xf>
    <xf numFmtId="0" fontId="7" fillId="6" borderId="1" xfId="0" applyFont="1" applyFill="1" applyBorder="1" applyAlignment="1">
      <alignment horizontal="left" wrapText="1"/>
    </xf>
    <xf numFmtId="0" fontId="13" fillId="15" borderId="1" xfId="0" applyFont="1" applyFill="1" applyBorder="1" applyAlignment="1">
      <alignment horizontal="left" vertical="center" wrapText="1"/>
    </xf>
    <xf numFmtId="0" fontId="14" fillId="27" borderId="1" xfId="0" applyFont="1" applyFill="1" applyBorder="1" applyAlignment="1">
      <alignment horizontal="left" wrapText="1"/>
    </xf>
    <xf numFmtId="0" fontId="7" fillId="15" borderId="1" xfId="0" applyFont="1" applyFill="1" applyBorder="1" applyAlignment="1">
      <alignment horizontal="left" wrapText="1"/>
    </xf>
    <xf numFmtId="0" fontId="14" fillId="15" borderId="1" xfId="0" applyFont="1" applyFill="1" applyBorder="1" applyAlignment="1">
      <alignment horizontal="left" wrapText="1"/>
    </xf>
    <xf numFmtId="14" fontId="10" fillId="15" borderId="1" xfId="0" applyNumberFormat="1" applyFont="1" applyFill="1" applyBorder="1" applyAlignment="1">
      <alignment horizontal="left" wrapText="1"/>
    </xf>
    <xf numFmtId="0" fontId="7" fillId="27" borderId="4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wrapText="1"/>
    </xf>
    <xf numFmtId="0" fontId="13" fillId="27" borderId="1" xfId="0" applyFont="1" applyFill="1" applyBorder="1" applyAlignment="1">
      <alignment horizontal="left" wrapText="1"/>
    </xf>
    <xf numFmtId="0" fontId="13" fillId="13" borderId="1" xfId="0" applyFont="1" applyFill="1" applyBorder="1" applyAlignment="1">
      <alignment horizontal="left" wrapText="1"/>
    </xf>
    <xf numFmtId="14" fontId="11" fillId="13" borderId="1" xfId="0" applyNumberFormat="1" applyFont="1" applyFill="1" applyBorder="1" applyAlignment="1">
      <alignment horizontal="left" wrapText="1"/>
    </xf>
    <xf numFmtId="0" fontId="3" fillId="13" borderId="1" xfId="0" applyFont="1" applyFill="1" applyBorder="1" applyAlignment="1">
      <alignment horizontal="left" wrapText="1"/>
    </xf>
    <xf numFmtId="0" fontId="9" fillId="13" borderId="0" xfId="0" applyFont="1" applyFill="1" applyAlignment="1">
      <alignment horizontal="left" vertical="top"/>
    </xf>
    <xf numFmtId="0" fontId="2" fillId="27" borderId="1" xfId="0" applyFont="1" applyFill="1" applyBorder="1" applyAlignment="1">
      <alignment horizontal="left"/>
    </xf>
    <xf numFmtId="0" fontId="1" fillId="27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11" fillId="15" borderId="1" xfId="0" applyFont="1" applyFill="1" applyBorder="1" applyAlignment="1">
      <alignment horizontal="left"/>
    </xf>
    <xf numFmtId="14" fontId="13" fillId="15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/>
    </xf>
    <xf numFmtId="14" fontId="9" fillId="4" borderId="1" xfId="0" applyNumberFormat="1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14" fontId="10" fillId="6" borderId="1" xfId="0" applyNumberFormat="1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1" fontId="9" fillId="7" borderId="1" xfId="0" applyNumberFormat="1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top"/>
    </xf>
    <xf numFmtId="14" fontId="9" fillId="7" borderId="1" xfId="0" applyNumberFormat="1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 vertical="center" wrapText="1"/>
    </xf>
    <xf numFmtId="14" fontId="11" fillId="7" borderId="1" xfId="0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wrapText="1"/>
    </xf>
    <xf numFmtId="14" fontId="9" fillId="7" borderId="1" xfId="0" applyNumberFormat="1" applyFont="1" applyFill="1" applyBorder="1" applyAlignment="1">
      <alignment horizontal="left"/>
    </xf>
    <xf numFmtId="0" fontId="9" fillId="7" borderId="6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1" fontId="9" fillId="15" borderId="1" xfId="0" applyNumberFormat="1" applyFont="1" applyFill="1" applyBorder="1" applyAlignment="1">
      <alignment horizontal="left"/>
    </xf>
    <xf numFmtId="14" fontId="11" fillId="15" borderId="1" xfId="0" applyNumberFormat="1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11" fillId="30" borderId="1" xfId="0" applyFont="1" applyFill="1" applyBorder="1" applyAlignment="1">
      <alignment horizontal="left"/>
    </xf>
    <xf numFmtId="0" fontId="10" fillId="30" borderId="1" xfId="0" applyFont="1" applyFill="1" applyBorder="1" applyAlignment="1">
      <alignment horizontal="left" wrapText="1"/>
    </xf>
    <xf numFmtId="0" fontId="2" fillId="30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11" fillId="13" borderId="1" xfId="0" applyFont="1" applyFill="1" applyBorder="1" applyAlignment="1">
      <alignment horizontal="left"/>
    </xf>
    <xf numFmtId="0" fontId="13" fillId="13" borderId="1" xfId="0" applyFont="1" applyFill="1" applyBorder="1" applyAlignment="1">
      <alignment horizontal="left" vertical="center" wrapText="1"/>
    </xf>
    <xf numFmtId="14" fontId="13" fillId="13" borderId="1" xfId="0" applyNumberFormat="1" applyFont="1" applyFill="1" applyBorder="1" applyAlignment="1">
      <alignment horizontal="left" vertical="center" wrapText="1"/>
    </xf>
    <xf numFmtId="0" fontId="9" fillId="13" borderId="0" xfId="0" applyFont="1" applyFill="1" applyAlignment="1">
      <alignment horizontal="left"/>
    </xf>
    <xf numFmtId="0" fontId="11" fillId="8" borderId="1" xfId="0" applyFont="1" applyFill="1" applyBorder="1" applyAlignment="1">
      <alignment horizontal="left"/>
    </xf>
    <xf numFmtId="14" fontId="1" fillId="8" borderId="1" xfId="0" applyNumberFormat="1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/>
    </xf>
    <xf numFmtId="0" fontId="10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top"/>
    </xf>
    <xf numFmtId="14" fontId="10" fillId="12" borderId="1" xfId="0" applyNumberFormat="1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14" fontId="8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wrapText="1"/>
    </xf>
    <xf numFmtId="0" fontId="9" fillId="12" borderId="1" xfId="0" applyFont="1" applyFill="1" applyBorder="1" applyAlignment="1">
      <alignment horizontal="left"/>
    </xf>
    <xf numFmtId="0" fontId="11" fillId="23" borderId="1" xfId="0" applyFont="1" applyFill="1" applyBorder="1" applyAlignment="1">
      <alignment horizontal="left"/>
    </xf>
    <xf numFmtId="0" fontId="1" fillId="23" borderId="1" xfId="0" applyFont="1" applyFill="1" applyBorder="1" applyAlignment="1">
      <alignment horizontal="left" vertical="center"/>
    </xf>
    <xf numFmtId="14" fontId="1" fillId="23" borderId="1" xfId="0" applyNumberFormat="1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wrapText="1"/>
    </xf>
    <xf numFmtId="0" fontId="2" fillId="23" borderId="1" xfId="0" applyFont="1" applyFill="1" applyBorder="1" applyAlignment="1">
      <alignment horizontal="left"/>
    </xf>
    <xf numFmtId="14" fontId="1" fillId="15" borderId="1" xfId="0" applyNumberFormat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wrapText="1"/>
    </xf>
    <xf numFmtId="0" fontId="10" fillId="27" borderId="1" xfId="0" applyFont="1" applyFill="1" applyBorder="1" applyAlignment="1">
      <alignment horizontal="left" vertical="center"/>
    </xf>
    <xf numFmtId="0" fontId="11" fillId="27" borderId="1" xfId="0" applyFont="1" applyFill="1" applyBorder="1" applyAlignment="1">
      <alignment horizontal="left"/>
    </xf>
    <xf numFmtId="14" fontId="10" fillId="27" borderId="1" xfId="0" applyNumberFormat="1" applyFont="1" applyFill="1" applyBorder="1" applyAlignment="1">
      <alignment horizontal="left" vertical="center"/>
    </xf>
    <xf numFmtId="14" fontId="8" fillId="8" borderId="1" xfId="0" applyNumberFormat="1" applyFont="1" applyFill="1" applyBorder="1" applyAlignment="1">
      <alignment horizontal="left" vertical="center"/>
    </xf>
    <xf numFmtId="16" fontId="9" fillId="8" borderId="1" xfId="0" applyNumberFormat="1" applyFont="1" applyFill="1" applyBorder="1" applyAlignment="1">
      <alignment horizontal="left" vertical="top"/>
    </xf>
    <xf numFmtId="1" fontId="9" fillId="6" borderId="1" xfId="0" applyNumberFormat="1" applyFont="1" applyFill="1" applyBorder="1" applyAlignment="1">
      <alignment horizontal="left"/>
    </xf>
    <xf numFmtId="14" fontId="11" fillId="6" borderId="1" xfId="0" applyNumberFormat="1" applyFont="1" applyFill="1" applyBorder="1" applyAlignment="1">
      <alignment horizontal="left"/>
    </xf>
    <xf numFmtId="14" fontId="13" fillId="8" borderId="1" xfId="0" applyNumberFormat="1" applyFont="1" applyFill="1" applyBorder="1" applyAlignment="1">
      <alignment horizontal="left" vertical="center" wrapText="1"/>
    </xf>
    <xf numFmtId="1" fontId="9" fillId="23" borderId="1" xfId="0" applyNumberFormat="1" applyFont="1" applyFill="1" applyBorder="1" applyAlignment="1">
      <alignment horizontal="left"/>
    </xf>
    <xf numFmtId="14" fontId="11" fillId="23" borderId="1" xfId="0" applyNumberFormat="1" applyFont="1" applyFill="1" applyBorder="1" applyAlignment="1">
      <alignment horizontal="left"/>
    </xf>
    <xf numFmtId="0" fontId="9" fillId="23" borderId="0" xfId="0" applyFont="1" applyFill="1" applyAlignment="1">
      <alignment horizontal="left"/>
    </xf>
    <xf numFmtId="0" fontId="13" fillId="23" borderId="1" xfId="0" applyFont="1" applyFill="1" applyBorder="1" applyAlignment="1">
      <alignment horizontal="left" wrapText="1"/>
    </xf>
    <xf numFmtId="14" fontId="1" fillId="27" borderId="1" xfId="0" applyNumberFormat="1" applyFont="1" applyFill="1" applyBorder="1" applyAlignment="1">
      <alignment horizontal="left" vertical="center"/>
    </xf>
    <xf numFmtId="0" fontId="11" fillId="26" borderId="1" xfId="0" applyFont="1" applyFill="1" applyBorder="1" applyAlignment="1">
      <alignment horizontal="left"/>
    </xf>
    <xf numFmtId="0" fontId="9" fillId="26" borderId="1" xfId="0" applyFont="1" applyFill="1" applyBorder="1" applyAlignment="1">
      <alignment horizontal="left"/>
    </xf>
    <xf numFmtId="1" fontId="9" fillId="26" borderId="1" xfId="0" applyNumberFormat="1" applyFont="1" applyFill="1" applyBorder="1" applyAlignment="1">
      <alignment horizontal="left"/>
    </xf>
    <xf numFmtId="0" fontId="9" fillId="26" borderId="1" xfId="0" applyFont="1" applyFill="1" applyBorder="1" applyAlignment="1">
      <alignment horizontal="left" vertical="top"/>
    </xf>
    <xf numFmtId="14" fontId="9" fillId="26" borderId="1" xfId="0" applyNumberFormat="1" applyFont="1" applyFill="1" applyBorder="1" applyAlignment="1">
      <alignment horizontal="left"/>
    </xf>
    <xf numFmtId="1" fontId="8" fillId="26" borderId="1" xfId="0" applyNumberFormat="1" applyFont="1" applyFill="1" applyBorder="1" applyAlignment="1">
      <alignment horizontal="left" vertical="top"/>
    </xf>
    <xf numFmtId="14" fontId="1" fillId="26" borderId="1" xfId="0" applyNumberFormat="1" applyFont="1" applyFill="1" applyBorder="1" applyAlignment="1">
      <alignment horizontal="left" vertical="center"/>
    </xf>
    <xf numFmtId="0" fontId="10" fillId="26" borderId="1" xfId="0" applyFont="1" applyFill="1" applyBorder="1" applyAlignment="1">
      <alignment horizontal="left" wrapText="1"/>
    </xf>
    <xf numFmtId="0" fontId="9" fillId="26" borderId="0" xfId="0" applyFont="1" applyFill="1" applyAlignment="1">
      <alignment horizontal="left"/>
    </xf>
    <xf numFmtId="0" fontId="9" fillId="26" borderId="1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left" vertical="center" wrapText="1"/>
    </xf>
    <xf numFmtId="14" fontId="13" fillId="26" borderId="1" xfId="0" applyNumberFormat="1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left" vertical="center"/>
    </xf>
    <xf numFmtId="0" fontId="9" fillId="27" borderId="0" xfId="0" applyFont="1" applyFill="1" applyAlignment="1">
      <alignment horizontal="left"/>
    </xf>
    <xf numFmtId="0" fontId="9" fillId="27" borderId="7" xfId="0" applyFont="1" applyFill="1" applyBorder="1" applyAlignment="1">
      <alignment horizontal="left" vertical="top"/>
    </xf>
    <xf numFmtId="14" fontId="1" fillId="13" borderId="1" xfId="0" applyNumberFormat="1" applyFont="1" applyFill="1" applyBorder="1" applyAlignment="1">
      <alignment horizontal="left" vertical="center"/>
    </xf>
    <xf numFmtId="1" fontId="8" fillId="30" borderId="1" xfId="0" applyNumberFormat="1" applyFont="1" applyFill="1" applyBorder="1" applyAlignment="1">
      <alignment horizontal="left" vertical="top"/>
    </xf>
    <xf numFmtId="0" fontId="9" fillId="30" borderId="0" xfId="0" applyFont="1" applyFill="1" applyAlignment="1">
      <alignment horizontal="left" vertical="top"/>
    </xf>
    <xf numFmtId="0" fontId="11" fillId="33" borderId="1" xfId="0" applyFont="1" applyFill="1" applyBorder="1" applyAlignment="1">
      <alignment horizontal="left"/>
    </xf>
    <xf numFmtId="0" fontId="11" fillId="33" borderId="1" xfId="0" applyFont="1" applyFill="1" applyBorder="1" applyAlignment="1">
      <alignment horizontal="left" vertical="center" wrapText="1"/>
    </xf>
    <xf numFmtId="0" fontId="9" fillId="33" borderId="1" xfId="0" applyFont="1" applyFill="1" applyBorder="1" applyAlignment="1">
      <alignment horizontal="left" vertical="top"/>
    </xf>
    <xf numFmtId="14" fontId="11" fillId="33" borderId="1" xfId="0" applyNumberFormat="1" applyFont="1" applyFill="1" applyBorder="1" applyAlignment="1">
      <alignment horizontal="left" vertical="center" wrapText="1"/>
    </xf>
    <xf numFmtId="1" fontId="8" fillId="33" borderId="1" xfId="0" applyNumberFormat="1" applyFont="1" applyFill="1" applyBorder="1" applyAlignment="1">
      <alignment horizontal="left" vertical="top"/>
    </xf>
    <xf numFmtId="0" fontId="8" fillId="33" borderId="1" xfId="0" applyFont="1" applyFill="1" applyBorder="1" applyAlignment="1">
      <alignment horizontal="left" vertical="center"/>
    </xf>
    <xf numFmtId="14" fontId="8" fillId="33" borderId="1" xfId="0" applyNumberFormat="1" applyFont="1" applyFill="1" applyBorder="1" applyAlignment="1">
      <alignment horizontal="left" vertical="center"/>
    </xf>
    <xf numFmtId="0" fontId="10" fillId="33" borderId="1" xfId="0" applyFont="1" applyFill="1" applyBorder="1" applyAlignment="1">
      <alignment horizontal="left" wrapText="1"/>
    </xf>
    <xf numFmtId="0" fontId="9" fillId="27" borderId="4" xfId="0" applyFont="1" applyFill="1" applyBorder="1" applyAlignment="1">
      <alignment horizontal="left" vertical="top"/>
    </xf>
    <xf numFmtId="0" fontId="8" fillId="27" borderId="4" xfId="0" applyFont="1" applyFill="1" applyBorder="1" applyAlignment="1">
      <alignment horizontal="left" vertical="center"/>
    </xf>
    <xf numFmtId="14" fontId="8" fillId="14" borderId="1" xfId="0" applyNumberFormat="1" applyFont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6" borderId="4" xfId="0" applyFont="1" applyFill="1" applyBorder="1" applyAlignment="1">
      <alignment horizontal="left" vertical="top"/>
    </xf>
    <xf numFmtId="14" fontId="11" fillId="7" borderId="1" xfId="0" applyNumberFormat="1" applyFont="1" applyFill="1" applyBorder="1" applyAlignment="1">
      <alignment horizontal="left"/>
    </xf>
    <xf numFmtId="0" fontId="9" fillId="6" borderId="4" xfId="0" applyFont="1" applyFill="1" applyBorder="1" applyAlignment="1">
      <alignment horizontal="left"/>
    </xf>
    <xf numFmtId="14" fontId="9" fillId="6" borderId="4" xfId="0" applyNumberFormat="1" applyFont="1" applyFill="1" applyBorder="1" applyAlignment="1">
      <alignment horizontal="left" vertical="top"/>
    </xf>
    <xf numFmtId="0" fontId="9" fillId="12" borderId="0" xfId="0" applyFont="1" applyFill="1" applyAlignment="1">
      <alignment horizontal="left"/>
    </xf>
    <xf numFmtId="0" fontId="9" fillId="23" borderId="0" xfId="0" applyFont="1" applyFill="1" applyAlignment="1">
      <alignment horizontal="left" vertical="top"/>
    </xf>
    <xf numFmtId="0" fontId="8" fillId="2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9" fillId="33" borderId="0" xfId="0" applyFont="1" applyFill="1" applyAlignment="1">
      <alignment horizontal="left" vertical="top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top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13" fillId="34" borderId="1" xfId="0" applyFont="1" applyFill="1" applyBorder="1" applyAlignment="1">
      <alignment horizontal="left" vertical="center" wrapText="1"/>
    </xf>
    <xf numFmtId="0" fontId="9" fillId="34" borderId="1" xfId="0" applyFont="1" applyFill="1" applyBorder="1" applyAlignment="1">
      <alignment horizontal="left" vertical="top"/>
    </xf>
    <xf numFmtId="14" fontId="5" fillId="34" borderId="1" xfId="0" applyNumberFormat="1" applyFont="1" applyFill="1" applyBorder="1" applyAlignment="1">
      <alignment horizontal="left" vertical="center" wrapText="1"/>
    </xf>
    <xf numFmtId="0" fontId="9" fillId="34" borderId="0" xfId="0" applyFont="1" applyFill="1" applyAlignment="1">
      <alignment horizontal="left" vertical="top"/>
    </xf>
    <xf numFmtId="0" fontId="9" fillId="34" borderId="1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left" vertical="top" wrapText="1"/>
    </xf>
    <xf numFmtId="0" fontId="2" fillId="34" borderId="0" xfId="0" applyFont="1" applyFill="1" applyAlignment="1">
      <alignment horizontal="left" vertical="center"/>
    </xf>
    <xf numFmtId="14" fontId="2" fillId="23" borderId="1" xfId="0" applyNumberFormat="1" applyFont="1" applyFill="1" applyBorder="1" applyAlignment="1">
      <alignment horizontal="left" wrapText="1"/>
    </xf>
    <xf numFmtId="0" fontId="10" fillId="15" borderId="1" xfId="0" applyFont="1" applyFill="1" applyBorder="1" applyAlignment="1">
      <alignment horizontal="left" wrapText="1"/>
    </xf>
    <xf numFmtId="0" fontId="9" fillId="15" borderId="1" xfId="0" applyFont="1" applyFill="1" applyBorder="1" applyAlignment="1">
      <alignment horizontal="left" vertical="top" wrapText="1"/>
    </xf>
    <xf numFmtId="0" fontId="9" fillId="15" borderId="0" xfId="0" applyFont="1" applyFill="1" applyAlignment="1">
      <alignment horizontal="left"/>
    </xf>
    <xf numFmtId="0" fontId="11" fillId="15" borderId="4" xfId="0" applyFont="1" applyFill="1" applyBorder="1" applyAlignment="1">
      <alignment horizontal="left"/>
    </xf>
    <xf numFmtId="0" fontId="13" fillId="15" borderId="4" xfId="0" applyFont="1" applyFill="1" applyBorder="1" applyAlignment="1">
      <alignment horizontal="left" vertical="center" wrapText="1"/>
    </xf>
    <xf numFmtId="1" fontId="8" fillId="15" borderId="4" xfId="0" applyNumberFormat="1" applyFont="1" applyFill="1" applyBorder="1" applyAlignment="1">
      <alignment horizontal="left" vertical="top"/>
    </xf>
    <xf numFmtId="0" fontId="8" fillId="15" borderId="4" xfId="0" applyFont="1" applyFill="1" applyBorder="1" applyAlignment="1">
      <alignment horizontal="left" vertical="center"/>
    </xf>
    <xf numFmtId="14" fontId="8" fillId="15" borderId="4" xfId="0" applyNumberFormat="1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wrapText="1"/>
    </xf>
    <xf numFmtId="0" fontId="9" fillId="15" borderId="4" xfId="0" applyFont="1" applyFill="1" applyBorder="1" applyAlignment="1">
      <alignment horizontal="left" vertical="top" wrapText="1"/>
    </xf>
    <xf numFmtId="0" fontId="11" fillId="28" borderId="1" xfId="0" applyFont="1" applyFill="1" applyBorder="1" applyAlignment="1">
      <alignment horizontal="left" wrapText="1"/>
    </xf>
    <xf numFmtId="0" fontId="7" fillId="28" borderId="1" xfId="0" applyFont="1" applyFill="1" applyBorder="1" applyAlignment="1">
      <alignment horizontal="left" wrapText="1"/>
    </xf>
    <xf numFmtId="14" fontId="11" fillId="28" borderId="1" xfId="0" applyNumberFormat="1" applyFont="1" applyFill="1" applyBorder="1" applyAlignment="1">
      <alignment horizontal="left" wrapText="1"/>
    </xf>
    <xf numFmtId="14" fontId="11" fillId="28" borderId="1" xfId="0" applyNumberFormat="1" applyFont="1" applyFill="1" applyBorder="1" applyAlignment="1">
      <alignment horizontal="left" vertical="top" wrapText="1"/>
    </xf>
    <xf numFmtId="0" fontId="9" fillId="29" borderId="1" xfId="0" applyFont="1" applyFill="1" applyBorder="1" applyAlignment="1">
      <alignment horizontal="left" wrapText="1"/>
    </xf>
    <xf numFmtId="14" fontId="11" fillId="29" borderId="1" xfId="0" applyNumberFormat="1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/>
    </xf>
    <xf numFmtId="14" fontId="9" fillId="31" borderId="1" xfId="0" applyNumberFormat="1" applyFont="1" applyFill="1" applyBorder="1" applyAlignment="1">
      <alignment horizontal="left"/>
    </xf>
    <xf numFmtId="14" fontId="11" fillId="31" borderId="1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 vertical="top"/>
    </xf>
    <xf numFmtId="14" fontId="5" fillId="2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7" fillId="14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0" fontId="7" fillId="7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1" fontId="8" fillId="6" borderId="4" xfId="0" applyNumberFormat="1" applyFont="1" applyFill="1" applyBorder="1" applyAlignment="1">
      <alignment horizontal="left" vertical="top"/>
    </xf>
    <xf numFmtId="0" fontId="14" fillId="15" borderId="1" xfId="0" applyFont="1" applyFill="1" applyBorder="1" applyAlignment="1">
      <alignment horizontal="left" vertical="center" wrapText="1"/>
    </xf>
    <xf numFmtId="1" fontId="8" fillId="12" borderId="1" xfId="0" applyNumberFormat="1" applyFont="1" applyFill="1" applyBorder="1" applyAlignment="1">
      <alignment horizontal="left" vertical="top"/>
    </xf>
    <xf numFmtId="0" fontId="7" fillId="26" borderId="1" xfId="0" applyFont="1" applyFill="1" applyBorder="1" applyAlignment="1">
      <alignment horizontal="left" wrapText="1"/>
    </xf>
    <xf numFmtId="14" fontId="5" fillId="33" borderId="1" xfId="0" applyNumberFormat="1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wrapText="1"/>
    </xf>
    <xf numFmtId="0" fontId="5" fillId="35" borderId="1" xfId="0" applyFont="1" applyFill="1" applyBorder="1" applyAlignment="1">
      <alignment horizontal="left" wrapText="1"/>
    </xf>
    <xf numFmtId="0" fontId="2" fillId="35" borderId="1" xfId="0" applyFont="1" applyFill="1" applyBorder="1" applyAlignment="1">
      <alignment horizontal="left" vertical="top" wrapText="1"/>
    </xf>
    <xf numFmtId="0" fontId="5" fillId="27" borderId="1" xfId="0" applyFont="1" applyFill="1" applyBorder="1" applyAlignment="1">
      <alignment horizontal="left" wrapText="1"/>
    </xf>
    <xf numFmtId="0" fontId="2" fillId="27" borderId="1" xfId="0" applyFont="1" applyFill="1" applyBorder="1" applyAlignment="1">
      <alignment horizontal="left" vertical="top" wrapText="1"/>
    </xf>
    <xf numFmtId="14" fontId="5" fillId="27" borderId="1" xfId="0" applyNumberFormat="1" applyFont="1" applyFill="1" applyBorder="1" applyAlignment="1">
      <alignment horizontal="left" wrapText="1"/>
    </xf>
    <xf numFmtId="14" fontId="2" fillId="27" borderId="1" xfId="0" applyNumberFormat="1" applyFont="1" applyFill="1" applyBorder="1" applyAlignment="1">
      <alignment horizontal="left" wrapText="1"/>
    </xf>
    <xf numFmtId="1" fontId="9" fillId="8" borderId="1" xfId="0" applyNumberFormat="1" applyFont="1" applyFill="1" applyBorder="1" applyAlignment="1">
      <alignment horizontal="left"/>
    </xf>
    <xf numFmtId="0" fontId="7" fillId="8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right" wrapText="1"/>
    </xf>
    <xf numFmtId="0" fontId="9" fillId="4" borderId="2" xfId="0" applyFont="1" applyFill="1" applyBorder="1" applyAlignment="1">
      <alignment horizontal="left" vertical="top"/>
    </xf>
    <xf numFmtId="0" fontId="9" fillId="25" borderId="22" xfId="0" applyFont="1" applyFill="1" applyBorder="1" applyAlignment="1">
      <alignment horizontal="left" vertical="top"/>
    </xf>
    <xf numFmtId="0" fontId="9" fillId="25" borderId="22" xfId="0" applyFont="1" applyFill="1" applyBorder="1" applyAlignment="1">
      <alignment wrapText="1"/>
    </xf>
    <xf numFmtId="0" fontId="9" fillId="25" borderId="22" xfId="0" applyFont="1" applyFill="1" applyBorder="1" applyAlignment="1">
      <alignment vertical="top" wrapText="1"/>
    </xf>
    <xf numFmtId="0" fontId="9" fillId="25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13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14" fontId="5" fillId="14" borderId="1" xfId="0" applyNumberFormat="1" applyFont="1" applyFill="1" applyBorder="1" applyAlignment="1">
      <alignment horizontal="left" wrapText="1"/>
    </xf>
    <xf numFmtId="14" fontId="2" fillId="14" borderId="1" xfId="0" applyNumberFormat="1" applyFont="1" applyFill="1" applyBorder="1" applyAlignment="1">
      <alignment horizontal="left" vertical="top" wrapText="1"/>
    </xf>
    <xf numFmtId="0" fontId="9" fillId="4" borderId="23" xfId="0" applyFont="1" applyFill="1" applyBorder="1" applyAlignment="1">
      <alignment horizontal="left" vertical="top"/>
    </xf>
    <xf numFmtId="0" fontId="9" fillId="6" borderId="23" xfId="0" applyFont="1" applyFill="1" applyBorder="1" applyAlignment="1">
      <alignment horizontal="left" vertical="top"/>
    </xf>
    <xf numFmtId="0" fontId="9" fillId="6" borderId="23" xfId="0" applyFont="1" applyFill="1" applyBorder="1" applyAlignment="1">
      <alignment wrapText="1"/>
    </xf>
    <xf numFmtId="0" fontId="9" fillId="6" borderId="23" xfId="0" applyFont="1" applyFill="1" applyBorder="1" applyAlignment="1">
      <alignment vertical="top" wrapText="1"/>
    </xf>
    <xf numFmtId="0" fontId="9" fillId="27" borderId="23" xfId="0" applyFont="1" applyFill="1" applyBorder="1" applyAlignment="1">
      <alignment horizontal="left" vertical="top"/>
    </xf>
    <xf numFmtId="1" fontId="8" fillId="27" borderId="23" xfId="0" applyNumberFormat="1" applyFont="1" applyFill="1" applyBorder="1" applyAlignment="1">
      <alignment horizontal="left" vertical="top"/>
    </xf>
    <xf numFmtId="0" fontId="2" fillId="6" borderId="15" xfId="0" applyFont="1" applyFill="1" applyBorder="1" applyAlignment="1">
      <alignment vertical="top" wrapText="1"/>
    </xf>
    <xf numFmtId="0" fontId="2" fillId="6" borderId="15" xfId="0" applyFont="1" applyFill="1" applyBorder="1" applyAlignment="1">
      <alignment wrapText="1"/>
    </xf>
    <xf numFmtId="0" fontId="7" fillId="6" borderId="15" xfId="0" applyFont="1" applyFill="1" applyBorder="1" applyAlignment="1">
      <alignment wrapText="1"/>
    </xf>
    <xf numFmtId="0" fontId="9" fillId="8" borderId="23" xfId="0" applyFont="1" applyFill="1" applyBorder="1" applyAlignment="1">
      <alignment horizontal="left" vertical="top"/>
    </xf>
    <xf numFmtId="0" fontId="9" fillId="8" borderId="23" xfId="0" applyFont="1" applyFill="1" applyBorder="1" applyAlignment="1">
      <alignment horizontal="left" wrapText="1"/>
    </xf>
    <xf numFmtId="0" fontId="9" fillId="8" borderId="23" xfId="0" applyFont="1" applyFill="1" applyBorder="1" applyAlignment="1">
      <alignment horizontal="left" vertical="top" wrapText="1"/>
    </xf>
    <xf numFmtId="0" fontId="2" fillId="8" borderId="23" xfId="0" applyFont="1" applyFill="1" applyBorder="1" applyAlignment="1">
      <alignment horizontal="left"/>
    </xf>
    <xf numFmtId="0" fontId="5" fillId="6" borderId="1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vertical="top" wrapText="1"/>
    </xf>
    <xf numFmtId="14" fontId="13" fillId="6" borderId="1" xfId="0" applyNumberFormat="1" applyFont="1" applyFill="1" applyBorder="1" applyAlignment="1">
      <alignment wrapText="1"/>
    </xf>
    <xf numFmtId="0" fontId="7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vertical="top" wrapText="1"/>
    </xf>
    <xf numFmtId="14" fontId="2" fillId="6" borderId="1" xfId="0" applyNumberFormat="1" applyFont="1" applyFill="1" applyBorder="1" applyAlignment="1">
      <alignment wrapText="1"/>
    </xf>
    <xf numFmtId="14" fontId="2" fillId="35" borderId="1" xfId="0" applyNumberFormat="1" applyFont="1" applyFill="1" applyBorder="1" applyAlignment="1">
      <alignment horizontal="left" wrapText="1"/>
    </xf>
    <xf numFmtId="0" fontId="11" fillId="7" borderId="2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0" fontId="11" fillId="27" borderId="23" xfId="0" applyFont="1" applyFill="1" applyBorder="1" applyAlignment="1">
      <alignment horizontal="left"/>
    </xf>
    <xf numFmtId="0" fontId="9" fillId="8" borderId="23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 wrapText="1"/>
    </xf>
    <xf numFmtId="0" fontId="11" fillId="13" borderId="1" xfId="0" applyFont="1" applyFill="1" applyBorder="1" applyAlignment="1">
      <alignment horizontal="left" wrapText="1"/>
    </xf>
    <xf numFmtId="0" fontId="13" fillId="7" borderId="23" xfId="0" applyFont="1" applyFill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wrapText="1"/>
    </xf>
    <xf numFmtId="0" fontId="0" fillId="15" borderId="1" xfId="0" applyFill="1" applyBorder="1" applyAlignment="1">
      <alignment horizontal="left" wrapText="1"/>
    </xf>
    <xf numFmtId="0" fontId="13" fillId="26" borderId="1" xfId="0" applyFont="1" applyFill="1" applyBorder="1" applyAlignment="1">
      <alignment horizontal="left" wrapText="1"/>
    </xf>
    <xf numFmtId="0" fontId="11" fillId="30" borderId="1" xfId="0" applyFont="1" applyFill="1" applyBorder="1" applyAlignment="1">
      <alignment horizontal="left" wrapText="1"/>
    </xf>
    <xf numFmtId="0" fontId="11" fillId="7" borderId="23" xfId="0" applyFont="1" applyFill="1" applyBorder="1" applyAlignment="1">
      <alignment horizontal="left" vertical="center"/>
    </xf>
    <xf numFmtId="0" fontId="18" fillId="8" borderId="23" xfId="0" applyFont="1" applyFill="1" applyBorder="1" applyAlignment="1">
      <alignment wrapText="1"/>
    </xf>
    <xf numFmtId="0" fontId="2" fillId="8" borderId="23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wrapText="1"/>
    </xf>
    <xf numFmtId="0" fontId="5" fillId="7" borderId="23" xfId="0" applyFont="1" applyFill="1" applyBorder="1" applyAlignment="1">
      <alignment horizontal="left" vertical="center" wrapText="1"/>
    </xf>
    <xf numFmtId="0" fontId="18" fillId="8" borderId="23" xfId="0" applyFont="1" applyFill="1" applyBorder="1" applyAlignment="1">
      <alignment horizontal="left" wrapText="1"/>
    </xf>
    <xf numFmtId="1" fontId="2" fillId="2" borderId="4" xfId="0" applyNumberFormat="1" applyFont="1" applyFill="1" applyBorder="1" applyAlignment="1">
      <alignment horizontal="left"/>
    </xf>
    <xf numFmtId="11" fontId="9" fillId="13" borderId="1" xfId="0" applyNumberFormat="1" applyFont="1" applyFill="1" applyBorder="1" applyAlignment="1">
      <alignment horizontal="left" vertical="top"/>
    </xf>
    <xf numFmtId="0" fontId="9" fillId="7" borderId="23" xfId="0" applyFont="1" applyFill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9" fillId="15" borderId="3" xfId="0" applyFont="1" applyFill="1" applyBorder="1" applyAlignment="1">
      <alignment horizontal="left" vertical="top"/>
    </xf>
    <xf numFmtId="0" fontId="9" fillId="27" borderId="3" xfId="0" applyFont="1" applyFill="1" applyBorder="1" applyAlignment="1">
      <alignment horizontal="left" vertical="top"/>
    </xf>
    <xf numFmtId="0" fontId="9" fillId="8" borderId="6" xfId="0" applyFont="1" applyFill="1" applyBorder="1" applyAlignment="1">
      <alignment horizontal="left" wrapText="1"/>
    </xf>
    <xf numFmtId="0" fontId="7" fillId="30" borderId="1" xfId="0" applyFont="1" applyFill="1" applyBorder="1" applyAlignment="1">
      <alignment horizontal="left" wrapText="1"/>
    </xf>
    <xf numFmtId="0" fontId="2" fillId="8" borderId="23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14" fontId="13" fillId="7" borderId="23" xfId="0" applyNumberFormat="1" applyFont="1" applyFill="1" applyBorder="1" applyAlignment="1">
      <alignment horizontal="left" vertical="center" wrapText="1"/>
    </xf>
    <xf numFmtId="14" fontId="11" fillId="27" borderId="2" xfId="0" applyNumberFormat="1" applyFont="1" applyFill="1" applyBorder="1" applyAlignment="1">
      <alignment horizontal="left" vertical="center" wrapText="1"/>
    </xf>
    <xf numFmtId="14" fontId="11" fillId="15" borderId="2" xfId="0" applyNumberFormat="1" applyFont="1" applyFill="1" applyBorder="1" applyAlignment="1">
      <alignment horizontal="left" vertical="center" wrapText="1"/>
    </xf>
    <xf numFmtId="14" fontId="11" fillId="8" borderId="1" xfId="0" applyNumberFormat="1" applyFont="1" applyFill="1" applyBorder="1" applyAlignment="1">
      <alignment horizontal="left"/>
    </xf>
    <xf numFmtId="14" fontId="2" fillId="8" borderId="23" xfId="0" applyNumberFormat="1" applyFont="1" applyFill="1" applyBorder="1" applyAlignment="1">
      <alignment horizontal="left" vertical="center" wrapText="1"/>
    </xf>
    <xf numFmtId="14" fontId="11" fillId="7" borderId="23" xfId="0" applyNumberFormat="1" applyFont="1" applyFill="1" applyBorder="1" applyAlignment="1">
      <alignment horizontal="left" vertical="center"/>
    </xf>
    <xf numFmtId="14" fontId="18" fillId="8" borderId="23" xfId="0" applyNumberFormat="1" applyFont="1" applyFill="1" applyBorder="1" applyAlignment="1">
      <alignment horizontal="left" wrapText="1"/>
    </xf>
    <xf numFmtId="14" fontId="5" fillId="7" borderId="23" xfId="0" applyNumberFormat="1" applyFont="1" applyFill="1" applyBorder="1" applyAlignment="1">
      <alignment horizontal="left" vertical="center" wrapText="1"/>
    </xf>
    <xf numFmtId="1" fontId="8" fillId="7" borderId="23" xfId="0" applyNumberFormat="1" applyFont="1" applyFill="1" applyBorder="1" applyAlignment="1">
      <alignment horizontal="left" vertical="top"/>
    </xf>
    <xf numFmtId="1" fontId="9" fillId="8" borderId="23" xfId="0" applyNumberFormat="1" applyFont="1" applyFill="1" applyBorder="1" applyAlignment="1">
      <alignment horizontal="left" vertical="top"/>
    </xf>
    <xf numFmtId="0" fontId="8" fillId="7" borderId="23" xfId="0" applyFont="1" applyFill="1" applyBorder="1" applyAlignment="1">
      <alignment horizontal="left" vertical="center"/>
    </xf>
    <xf numFmtId="0" fontId="8" fillId="27" borderId="23" xfId="0" applyFont="1" applyFill="1" applyBorder="1" applyAlignment="1">
      <alignment horizontal="left" vertical="center"/>
    </xf>
    <xf numFmtId="14" fontId="8" fillId="7" borderId="23" xfId="0" applyNumberFormat="1" applyFont="1" applyFill="1" applyBorder="1" applyAlignment="1">
      <alignment horizontal="left" vertical="center"/>
    </xf>
    <xf numFmtId="14" fontId="2" fillId="2" borderId="4" xfId="0" applyNumberFormat="1" applyFont="1" applyFill="1" applyBorder="1" applyAlignment="1">
      <alignment horizontal="left" vertical="top"/>
    </xf>
    <xf numFmtId="14" fontId="8" fillId="27" borderId="23" xfId="0" applyNumberFormat="1" applyFont="1" applyFill="1" applyBorder="1" applyAlignment="1">
      <alignment horizontal="left" vertical="center"/>
    </xf>
    <xf numFmtId="14" fontId="2" fillId="23" borderId="1" xfId="0" applyNumberFormat="1" applyFont="1" applyFill="1" applyBorder="1" applyAlignment="1">
      <alignment horizontal="left" vertical="top" wrapText="1"/>
    </xf>
    <xf numFmtId="0" fontId="10" fillId="7" borderId="23" xfId="0" applyFont="1" applyFill="1" applyBorder="1" applyAlignment="1">
      <alignment horizontal="left" wrapText="1"/>
    </xf>
    <xf numFmtId="0" fontId="3" fillId="26" borderId="1" xfId="0" applyFont="1" applyFill="1" applyBorder="1" applyAlignment="1">
      <alignment horizontal="left" wrapText="1"/>
    </xf>
    <xf numFmtId="0" fontId="10" fillId="27" borderId="23" xfId="0" applyFont="1" applyFill="1" applyBorder="1" applyAlignment="1">
      <alignment horizontal="left" wrapText="1"/>
    </xf>
    <xf numFmtId="0" fontId="9" fillId="13" borderId="23" xfId="0" applyFont="1" applyFill="1" applyBorder="1" applyAlignment="1">
      <alignment horizontal="left" vertical="top"/>
    </xf>
    <xf numFmtId="0" fontId="2" fillId="13" borderId="23" xfId="0" applyFont="1" applyFill="1" applyBorder="1" applyAlignment="1">
      <alignment horizontal="left"/>
    </xf>
    <xf numFmtId="0" fontId="2" fillId="13" borderId="23" xfId="0" applyFont="1" applyFill="1" applyBorder="1" applyAlignment="1">
      <alignment horizontal="left" vertical="center"/>
    </xf>
    <xf numFmtId="0" fontId="13" fillId="25" borderId="1" xfId="0" applyFont="1" applyFill="1" applyBorder="1" applyAlignment="1">
      <alignment horizontal="left" vertical="center"/>
    </xf>
    <xf numFmtId="0" fontId="13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7" fillId="37" borderId="19" xfId="0" applyFont="1" applyFill="1" applyBorder="1" applyAlignment="1">
      <alignment horizontal="left" wrapText="1"/>
    </xf>
    <xf numFmtId="0" fontId="2" fillId="37" borderId="13" xfId="0" applyFont="1" applyFill="1" applyBorder="1" applyAlignment="1">
      <alignment horizontal="left" wrapText="1"/>
    </xf>
    <xf numFmtId="0" fontId="2" fillId="37" borderId="13" xfId="0" applyFont="1" applyFill="1" applyBorder="1" applyAlignment="1">
      <alignment horizontal="left" vertical="top" wrapText="1"/>
    </xf>
    <xf numFmtId="0" fontId="7" fillId="25" borderId="1" xfId="0" applyFont="1" applyFill="1" applyBorder="1" applyAlignment="1">
      <alignment wrapText="1"/>
    </xf>
    <xf numFmtId="0" fontId="7" fillId="25" borderId="1" xfId="0" applyFont="1" applyFill="1" applyBorder="1" applyAlignment="1">
      <alignment horizontal="right" wrapText="1"/>
    </xf>
    <xf numFmtId="14" fontId="2" fillId="25" borderId="1" xfId="0" applyNumberFormat="1" applyFont="1" applyFill="1" applyBorder="1" applyAlignment="1">
      <alignment horizontal="left" vertical="center" wrapText="1"/>
    </xf>
    <xf numFmtId="1" fontId="9" fillId="25" borderId="1" xfId="0" applyNumberFormat="1" applyFont="1" applyFill="1" applyBorder="1" applyAlignment="1">
      <alignment horizontal="left" vertical="top"/>
    </xf>
    <xf numFmtId="0" fontId="9" fillId="25" borderId="1" xfId="0" applyFont="1" applyFill="1" applyBorder="1" applyAlignment="1">
      <alignment vertical="top" wrapText="1"/>
    </xf>
    <xf numFmtId="14" fontId="13" fillId="25" borderId="1" xfId="0" applyNumberFormat="1" applyFont="1" applyFill="1" applyBorder="1" applyAlignment="1">
      <alignment horizontal="left" vertical="center"/>
    </xf>
    <xf numFmtId="0" fontId="9" fillId="25" borderId="1" xfId="0" applyFont="1" applyFill="1" applyBorder="1" applyAlignment="1">
      <alignment horizontal="left" vertical="top" wrapText="1"/>
    </xf>
    <xf numFmtId="14" fontId="13" fillId="25" borderId="1" xfId="0" applyNumberFormat="1" applyFont="1" applyFill="1" applyBorder="1" applyAlignment="1">
      <alignment horizontal="left" vertical="center" wrapText="1"/>
    </xf>
    <xf numFmtId="0" fontId="7" fillId="32" borderId="1" xfId="0" applyFont="1" applyFill="1" applyBorder="1" applyAlignment="1">
      <alignment wrapText="1"/>
    </xf>
    <xf numFmtId="0" fontId="7" fillId="32" borderId="1" xfId="0" applyFont="1" applyFill="1" applyBorder="1" applyAlignment="1">
      <alignment horizontal="right" wrapText="1"/>
    </xf>
    <xf numFmtId="0" fontId="2" fillId="32" borderId="1" xfId="0" applyFont="1" applyFill="1" applyBorder="1" applyAlignment="1">
      <alignment horizontal="left"/>
    </xf>
    <xf numFmtId="0" fontId="2" fillId="32" borderId="1" xfId="0" applyFont="1" applyFill="1" applyBorder="1" applyAlignment="1">
      <alignment horizontal="left" vertical="center"/>
    </xf>
    <xf numFmtId="14" fontId="2" fillId="32" borderId="1" xfId="0" applyNumberFormat="1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left" wrapText="1"/>
    </xf>
    <xf numFmtId="0" fontId="9" fillId="32" borderId="1" xfId="0" applyFont="1" applyFill="1" applyBorder="1" applyAlignment="1">
      <alignment horizontal="left" vertical="top" wrapText="1"/>
    </xf>
    <xf numFmtId="0" fontId="13" fillId="32" borderId="1" xfId="0" applyFont="1" applyFill="1" applyBorder="1" applyAlignment="1">
      <alignment horizontal="left" vertical="center" wrapText="1"/>
    </xf>
    <xf numFmtId="14" fontId="13" fillId="32" borderId="1" xfId="0" applyNumberFormat="1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top" wrapText="1"/>
    </xf>
    <xf numFmtId="0" fontId="2" fillId="32" borderId="0" xfId="0" applyFont="1" applyFill="1" applyAlignment="1">
      <alignment horizontal="left" vertical="center"/>
    </xf>
    <xf numFmtId="0" fontId="9" fillId="34" borderId="1" xfId="0" applyFont="1" applyFill="1" applyBorder="1" applyAlignment="1">
      <alignment horizontal="left"/>
    </xf>
    <xf numFmtId="14" fontId="13" fillId="34" borderId="1" xfId="0" applyNumberFormat="1" applyFont="1" applyFill="1" applyBorder="1" applyAlignment="1">
      <alignment horizontal="left" vertical="center" wrapText="1"/>
    </xf>
    <xf numFmtId="1" fontId="9" fillId="34" borderId="1" xfId="0" applyNumberFormat="1" applyFont="1" applyFill="1" applyBorder="1" applyAlignment="1">
      <alignment horizontal="left" vertical="top"/>
    </xf>
    <xf numFmtId="0" fontId="2" fillId="34" borderId="1" xfId="0" applyFont="1" applyFill="1" applyBorder="1" applyAlignment="1">
      <alignment horizontal="left"/>
    </xf>
    <xf numFmtId="0" fontId="2" fillId="34" borderId="1" xfId="0" applyFont="1" applyFill="1" applyBorder="1" applyAlignment="1">
      <alignment horizontal="left" vertical="center"/>
    </xf>
    <xf numFmtId="14" fontId="2" fillId="34" borderId="1" xfId="0" applyNumberFormat="1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left" wrapText="1"/>
    </xf>
    <xf numFmtId="0" fontId="2" fillId="31" borderId="1" xfId="0" applyFont="1" applyFill="1" applyBorder="1" applyAlignment="1">
      <alignment horizontal="left"/>
    </xf>
    <xf numFmtId="0" fontId="2" fillId="31" borderId="1" xfId="0" applyFont="1" applyFill="1" applyBorder="1" applyAlignment="1">
      <alignment horizontal="left" vertical="center"/>
    </xf>
    <xf numFmtId="14" fontId="2" fillId="31" borderId="1" xfId="0" applyNumberFormat="1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left" wrapText="1"/>
    </xf>
    <xf numFmtId="0" fontId="0" fillId="34" borderId="1" xfId="0" applyFill="1" applyBorder="1" applyAlignment="1">
      <alignment horizontal="left"/>
    </xf>
    <xf numFmtId="0" fontId="3" fillId="34" borderId="1" xfId="0" applyFont="1" applyFill="1" applyBorder="1" applyAlignment="1">
      <alignment horizontal="left" vertical="center"/>
    </xf>
    <xf numFmtId="0" fontId="3" fillId="34" borderId="1" xfId="0" applyFont="1" applyFill="1" applyBorder="1" applyAlignment="1">
      <alignment horizontal="left" wrapText="1"/>
    </xf>
    <xf numFmtId="14" fontId="3" fillId="34" borderId="1" xfId="0" applyNumberFormat="1" applyFont="1" applyFill="1" applyBorder="1" applyAlignment="1">
      <alignment horizontal="left" vertical="top" wrapText="1"/>
    </xf>
    <xf numFmtId="0" fontId="3" fillId="34" borderId="1" xfId="0" applyFont="1" applyFill="1" applyBorder="1" applyAlignment="1">
      <alignment horizontal="left"/>
    </xf>
    <xf numFmtId="0" fontId="0" fillId="34" borderId="1" xfId="0" applyFill="1" applyBorder="1"/>
    <xf numFmtId="0" fontId="9" fillId="35" borderId="0" xfId="0" applyFont="1" applyFill="1" applyAlignment="1">
      <alignment horizontal="left" vertical="top"/>
    </xf>
    <xf numFmtId="0" fontId="3" fillId="35" borderId="1" xfId="0" applyFont="1" applyFill="1" applyBorder="1" applyAlignment="1">
      <alignment horizontal="left"/>
    </xf>
    <xf numFmtId="0" fontId="9" fillId="3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13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wrapText="1"/>
    </xf>
    <xf numFmtId="0" fontId="7" fillId="13" borderId="1" xfId="0" applyFont="1" applyFill="1" applyBorder="1" applyAlignment="1">
      <alignment horizontal="right" wrapText="1"/>
    </xf>
    <xf numFmtId="14" fontId="13" fillId="13" borderId="1" xfId="0" applyNumberFormat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left"/>
    </xf>
    <xf numFmtId="0" fontId="5" fillId="33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left" vertical="top"/>
    </xf>
    <xf numFmtId="1" fontId="2" fillId="33" borderId="1" xfId="0" applyNumberFormat="1" applyFont="1" applyFill="1" applyBorder="1" applyAlignment="1">
      <alignment horizontal="left" vertical="top"/>
    </xf>
    <xf numFmtId="0" fontId="3" fillId="33" borderId="1" xfId="0" applyFont="1" applyFill="1" applyBorder="1" applyAlignment="1">
      <alignment horizontal="left" vertical="center"/>
    </xf>
    <xf numFmtId="0" fontId="3" fillId="33" borderId="1" xfId="0" applyFont="1" applyFill="1" applyBorder="1" applyAlignment="1">
      <alignment horizontal="left" wrapText="1"/>
    </xf>
    <xf numFmtId="14" fontId="3" fillId="33" borderId="1" xfId="0" applyNumberFormat="1" applyFont="1" applyFill="1" applyBorder="1" applyAlignment="1">
      <alignment horizontal="left" vertical="top" wrapText="1"/>
    </xf>
    <xf numFmtId="14" fontId="2" fillId="33" borderId="1" xfId="0" applyNumberFormat="1" applyFont="1" applyFill="1" applyBorder="1" applyAlignment="1">
      <alignment horizontal="left"/>
    </xf>
    <xf numFmtId="0" fontId="7" fillId="27" borderId="1" xfId="0" applyFont="1" applyFill="1" applyBorder="1" applyAlignment="1">
      <alignment wrapText="1"/>
    </xf>
    <xf numFmtId="0" fontId="7" fillId="27" borderId="1" xfId="0" applyFont="1" applyFill="1" applyBorder="1" applyAlignment="1">
      <alignment horizontal="right" wrapText="1"/>
    </xf>
    <xf numFmtId="0" fontId="3" fillId="27" borderId="1" xfId="0" applyFont="1" applyFill="1" applyBorder="1" applyAlignment="1">
      <alignment horizontal="left" vertical="center"/>
    </xf>
    <xf numFmtId="14" fontId="3" fillId="27" borderId="1" xfId="0" applyNumberFormat="1" applyFont="1" applyFill="1" applyBorder="1" applyAlignment="1">
      <alignment horizontal="left" vertical="top" wrapText="1"/>
    </xf>
    <xf numFmtId="1" fontId="2" fillId="27" borderId="1" xfId="0" applyNumberFormat="1" applyFont="1" applyFill="1" applyBorder="1" applyAlignment="1">
      <alignment horizontal="left" vertical="top"/>
    </xf>
    <xf numFmtId="14" fontId="2" fillId="27" borderId="1" xfId="0" applyNumberFormat="1" applyFont="1" applyFill="1" applyBorder="1" applyAlignment="1">
      <alignment horizontal="left"/>
    </xf>
    <xf numFmtId="0" fontId="13" fillId="13" borderId="1" xfId="0" applyFont="1" applyFill="1" applyBorder="1" applyAlignment="1">
      <alignment vertical="center" wrapText="1"/>
    </xf>
    <xf numFmtId="14" fontId="3" fillId="13" borderId="1" xfId="0" applyNumberFormat="1" applyFont="1" applyFill="1" applyBorder="1" applyAlignment="1">
      <alignment horizontal="left" vertical="top" wrapText="1"/>
    </xf>
    <xf numFmtId="1" fontId="2" fillId="13" borderId="1" xfId="0" applyNumberFormat="1" applyFont="1" applyFill="1" applyBorder="1" applyAlignment="1">
      <alignment horizontal="left" vertical="top"/>
    </xf>
    <xf numFmtId="14" fontId="13" fillId="13" borderId="1" xfId="0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left" vertical="top" wrapText="1"/>
    </xf>
    <xf numFmtId="0" fontId="3" fillId="27" borderId="1" xfId="0" applyFont="1" applyFill="1" applyBorder="1" applyAlignment="1">
      <alignment horizontal="left"/>
    </xf>
    <xf numFmtId="1" fontId="2" fillId="8" borderId="1" xfId="0" applyNumberFormat="1" applyFont="1" applyFill="1" applyBorder="1" applyAlignment="1">
      <alignment horizontal="left" vertical="top"/>
    </xf>
    <xf numFmtId="14" fontId="3" fillId="8" borderId="1" xfId="0" applyNumberFormat="1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1" fontId="2" fillId="14" borderId="1" xfId="0" applyNumberFormat="1" applyFont="1" applyFill="1" applyBorder="1" applyAlignment="1">
      <alignment horizontal="left" vertical="top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wrapText="1"/>
    </xf>
    <xf numFmtId="14" fontId="3" fillId="14" borderId="1" xfId="0" applyNumberFormat="1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/>
    </xf>
    <xf numFmtId="0" fontId="5" fillId="34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left" vertical="top"/>
    </xf>
    <xf numFmtId="1" fontId="2" fillId="34" borderId="1" xfId="0" applyNumberFormat="1" applyFont="1" applyFill="1" applyBorder="1" applyAlignment="1">
      <alignment horizontal="left" vertical="top"/>
    </xf>
    <xf numFmtId="0" fontId="2" fillId="34" borderId="1" xfId="0" applyFont="1" applyFill="1" applyBorder="1" applyAlignment="1">
      <alignment horizontal="left" vertical="center" wrapText="1"/>
    </xf>
    <xf numFmtId="14" fontId="2" fillId="34" borderId="1" xfId="0" applyNumberFormat="1" applyFont="1" applyFill="1" applyBorder="1" applyAlignment="1">
      <alignment horizontal="left" wrapText="1"/>
    </xf>
    <xf numFmtId="14" fontId="5" fillId="3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18" fillId="32" borderId="13" xfId="0" applyFont="1" applyFill="1" applyBorder="1" applyAlignment="1">
      <alignment horizontal="left" wrapText="1"/>
    </xf>
    <xf numFmtId="0" fontId="2" fillId="32" borderId="13" xfId="0" applyFont="1" applyFill="1" applyBorder="1" applyAlignment="1">
      <alignment horizontal="left" wrapText="1"/>
    </xf>
    <xf numFmtId="14" fontId="18" fillId="32" borderId="13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12" borderId="0" xfId="0" applyFill="1" applyAlignment="1">
      <alignment horizontal="left"/>
    </xf>
    <xf numFmtId="0" fontId="2" fillId="27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left" wrapText="1"/>
    </xf>
    <xf numFmtId="0" fontId="7" fillId="8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vertical="top"/>
    </xf>
    <xf numFmtId="0" fontId="7" fillId="6" borderId="18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18" fillId="6" borderId="13" xfId="0" applyFont="1" applyFill="1" applyBorder="1" applyAlignment="1">
      <alignment wrapText="1"/>
    </xf>
    <xf numFmtId="0" fontId="7" fillId="6" borderId="19" xfId="0" applyFont="1" applyFill="1" applyBorder="1" applyAlignment="1">
      <alignment wrapText="1"/>
    </xf>
    <xf numFmtId="0" fontId="7" fillId="6" borderId="20" xfId="0" applyFont="1" applyFill="1" applyBorder="1" applyAlignment="1">
      <alignment wrapText="1"/>
    </xf>
    <xf numFmtId="0" fontId="2" fillId="8" borderId="1" xfId="0" applyFont="1" applyFill="1" applyBorder="1" applyAlignment="1">
      <alignment horizontal="left" vertical="top" wrapText="1"/>
    </xf>
    <xf numFmtId="0" fontId="0" fillId="8" borderId="0" xfId="0" applyFill="1" applyAlignment="1">
      <alignment horizontal="left"/>
    </xf>
    <xf numFmtId="14" fontId="2" fillId="23" borderId="1" xfId="0" applyNumberFormat="1" applyFont="1" applyFill="1" applyBorder="1" applyAlignment="1">
      <alignment horizontal="left"/>
    </xf>
    <xf numFmtId="0" fontId="0" fillId="23" borderId="0" xfId="0" applyFill="1" applyAlignment="1">
      <alignment horizontal="left"/>
    </xf>
    <xf numFmtId="0" fontId="0" fillId="13" borderId="0" xfId="0" applyFill="1" applyAlignment="1">
      <alignment horizontal="left"/>
    </xf>
    <xf numFmtId="14" fontId="2" fillId="13" borderId="1" xfId="0" applyNumberFormat="1" applyFont="1" applyFill="1" applyBorder="1" applyAlignment="1">
      <alignment horizontal="left" wrapText="1"/>
    </xf>
    <xf numFmtId="14" fontId="5" fillId="21" borderId="1" xfId="0" applyNumberFormat="1" applyFont="1" applyFill="1" applyBorder="1" applyAlignment="1">
      <alignment horizontal="left" vertical="center" wrapText="1"/>
    </xf>
    <xf numFmtId="0" fontId="0" fillId="21" borderId="0" xfId="0" applyFill="1" applyAlignment="1">
      <alignment horizontal="left"/>
    </xf>
    <xf numFmtId="0" fontId="2" fillId="21" borderId="1" xfId="0" applyFont="1" applyFill="1" applyBorder="1" applyAlignment="1">
      <alignment horizontal="left" vertical="top" wrapText="1"/>
    </xf>
    <xf numFmtId="0" fontId="2" fillId="32" borderId="1" xfId="0" applyFont="1" applyFill="1" applyBorder="1" applyAlignment="1">
      <alignment horizontal="left" vertical="top"/>
    </xf>
    <xf numFmtId="14" fontId="2" fillId="32" borderId="1" xfId="0" applyNumberFormat="1" applyFont="1" applyFill="1" applyBorder="1" applyAlignment="1">
      <alignment horizontal="left"/>
    </xf>
    <xf numFmtId="0" fontId="2" fillId="32" borderId="0" xfId="0" applyFont="1" applyFill="1" applyAlignment="1">
      <alignment horizontal="left" vertical="top"/>
    </xf>
    <xf numFmtId="0" fontId="2" fillId="32" borderId="1" xfId="0" applyFont="1" applyFill="1" applyBorder="1" applyAlignment="1">
      <alignment horizontal="left" vertical="top" wrapText="1"/>
    </xf>
    <xf numFmtId="0" fontId="2" fillId="4" borderId="23" xfId="0" applyFont="1" applyFill="1" applyBorder="1" applyAlignment="1">
      <alignment horizontal="left" vertical="top"/>
    </xf>
    <xf numFmtId="0" fontId="2" fillId="4" borderId="27" xfId="0" applyFont="1" applyFill="1" applyBorder="1" applyAlignment="1">
      <alignment horizontal="left" vertical="top"/>
    </xf>
    <xf numFmtId="0" fontId="2" fillId="13" borderId="15" xfId="0" applyFont="1" applyFill="1" applyBorder="1" applyAlignment="1">
      <alignment horizontal="left" vertical="top" wrapText="1"/>
    </xf>
    <xf numFmtId="0" fontId="7" fillId="13" borderId="19" xfId="0" applyFont="1" applyFill="1" applyBorder="1" applyAlignment="1">
      <alignment horizontal="left" wrapText="1"/>
    </xf>
    <xf numFmtId="0" fontId="2" fillId="13" borderId="13" xfId="0" applyFont="1" applyFill="1" applyBorder="1" applyAlignment="1">
      <alignment horizontal="left" vertical="top" wrapText="1"/>
    </xf>
    <xf numFmtId="0" fontId="0" fillId="27" borderId="0" xfId="0" applyFill="1" applyAlignment="1">
      <alignment horizontal="left"/>
    </xf>
    <xf numFmtId="0" fontId="7" fillId="19" borderId="7" xfId="0" applyFont="1" applyFill="1" applyBorder="1" applyAlignment="1">
      <alignment wrapText="1"/>
    </xf>
    <xf numFmtId="0" fontId="2" fillId="37" borderId="13" xfId="0" applyFont="1" applyFill="1" applyBorder="1" applyAlignment="1">
      <alignment wrapText="1"/>
    </xf>
    <xf numFmtId="0" fontId="18" fillId="37" borderId="13" xfId="0" applyFont="1" applyFill="1" applyBorder="1" applyAlignment="1">
      <alignment wrapText="1"/>
    </xf>
    <xf numFmtId="0" fontId="7" fillId="37" borderId="7" xfId="0" applyFont="1" applyFill="1" applyBorder="1" applyAlignment="1">
      <alignment wrapText="1"/>
    </xf>
    <xf numFmtId="0" fontId="7" fillId="37" borderId="19" xfId="0" applyFont="1" applyFill="1" applyBorder="1" applyAlignment="1">
      <alignment wrapText="1"/>
    </xf>
    <xf numFmtId="0" fontId="13" fillId="23" borderId="1" xfId="0" applyFont="1" applyFill="1" applyBorder="1" applyAlignment="1">
      <alignment vertical="center" wrapText="1"/>
    </xf>
    <xf numFmtId="14" fontId="13" fillId="23" borderId="1" xfId="0" applyNumberFormat="1" applyFont="1" applyFill="1" applyBorder="1" applyAlignment="1">
      <alignment horizontal="right" vertical="center" wrapText="1"/>
    </xf>
    <xf numFmtId="14" fontId="2" fillId="14" borderId="1" xfId="0" applyNumberFormat="1" applyFont="1" applyFill="1" applyBorder="1" applyAlignment="1">
      <alignment horizontal="left"/>
    </xf>
    <xf numFmtId="0" fontId="3" fillId="14" borderId="1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2" fillId="26" borderId="1" xfId="0" applyFont="1" applyFill="1" applyBorder="1" applyAlignment="1">
      <alignment horizontal="left"/>
    </xf>
    <xf numFmtId="0" fontId="2" fillId="37" borderId="1" xfId="0" applyFont="1" applyFill="1" applyBorder="1" applyAlignment="1">
      <alignment wrapText="1"/>
    </xf>
    <xf numFmtId="0" fontId="2" fillId="19" borderId="16" xfId="0" applyFont="1" applyFill="1" applyBorder="1" applyAlignment="1">
      <alignment horizontal="left"/>
    </xf>
    <xf numFmtId="0" fontId="2" fillId="21" borderId="16" xfId="0" applyFont="1" applyFill="1" applyBorder="1" applyAlignment="1">
      <alignment horizontal="left"/>
    </xf>
    <xf numFmtId="0" fontId="2" fillId="37" borderId="1" xfId="0" applyFont="1" applyFill="1" applyBorder="1" applyAlignment="1">
      <alignment horizontal="left" wrapText="1"/>
    </xf>
    <xf numFmtId="0" fontId="9" fillId="32" borderId="16" xfId="0" applyFont="1" applyFill="1" applyBorder="1" applyAlignment="1">
      <alignment horizontal="left"/>
    </xf>
    <xf numFmtId="0" fontId="2" fillId="27" borderId="16" xfId="0" applyFont="1" applyFill="1" applyBorder="1" applyAlignment="1">
      <alignment horizontal="left"/>
    </xf>
    <xf numFmtId="0" fontId="11" fillId="30" borderId="4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11" fillId="6" borderId="4" xfId="0" applyFont="1" applyFill="1" applyBorder="1" applyAlignment="1">
      <alignment horizontal="left"/>
    </xf>
    <xf numFmtId="0" fontId="5" fillId="13" borderId="4" xfId="0" applyFont="1" applyFill="1" applyBorder="1" applyAlignment="1">
      <alignment horizontal="left" vertical="center" wrapText="1"/>
    </xf>
    <xf numFmtId="0" fontId="2" fillId="21" borderId="14" xfId="0" applyFont="1" applyFill="1" applyBorder="1" applyAlignment="1">
      <alignment horizontal="left"/>
    </xf>
    <xf numFmtId="0" fontId="11" fillId="15" borderId="22" xfId="0" applyFont="1" applyFill="1" applyBorder="1" applyAlignment="1">
      <alignment horizontal="left"/>
    </xf>
    <xf numFmtId="0" fontId="11" fillId="27" borderId="14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left"/>
    </xf>
    <xf numFmtId="0" fontId="2" fillId="32" borderId="16" xfId="0" applyFont="1" applyFill="1" applyBorder="1" applyAlignment="1">
      <alignment horizontal="left"/>
    </xf>
    <xf numFmtId="0" fontId="2" fillId="19" borderId="13" xfId="0" applyFont="1" applyFill="1" applyBorder="1" applyAlignment="1">
      <alignment horizontal="left"/>
    </xf>
    <xf numFmtId="0" fontId="2" fillId="21" borderId="13" xfId="0" applyFont="1" applyFill="1" applyBorder="1" applyAlignment="1">
      <alignment horizontal="left"/>
    </xf>
    <xf numFmtId="0" fontId="9" fillId="32" borderId="13" xfId="0" applyFont="1" applyFill="1" applyBorder="1" applyAlignment="1">
      <alignment horizontal="left"/>
    </xf>
    <xf numFmtId="0" fontId="2" fillId="27" borderId="13" xfId="0" applyFont="1" applyFill="1" applyBorder="1" applyAlignment="1">
      <alignment horizontal="left"/>
    </xf>
    <xf numFmtId="0" fontId="2" fillId="21" borderId="15" xfId="0" applyFont="1" applyFill="1" applyBorder="1" applyAlignment="1">
      <alignment horizontal="left"/>
    </xf>
    <xf numFmtId="0" fontId="11" fillId="27" borderId="15" xfId="0" applyFont="1" applyFill="1" applyBorder="1" applyAlignment="1">
      <alignment horizontal="left"/>
    </xf>
    <xf numFmtId="0" fontId="2" fillId="8" borderId="15" xfId="0" applyFont="1" applyFill="1" applyBorder="1" applyAlignment="1">
      <alignment horizontal="left"/>
    </xf>
    <xf numFmtId="0" fontId="2" fillId="32" borderId="13" xfId="0" applyFont="1" applyFill="1" applyBorder="1" applyAlignment="1">
      <alignment horizontal="left"/>
    </xf>
    <xf numFmtId="0" fontId="13" fillId="37" borderId="1" xfId="0" applyFont="1" applyFill="1" applyBorder="1" applyAlignment="1">
      <alignment wrapText="1"/>
    </xf>
    <xf numFmtId="0" fontId="13" fillId="19" borderId="13" xfId="0" applyFont="1" applyFill="1" applyBorder="1" applyAlignment="1">
      <alignment horizontal="left" vertical="center" wrapText="1"/>
    </xf>
    <xf numFmtId="0" fontId="5" fillId="21" borderId="13" xfId="0" applyFont="1" applyFill="1" applyBorder="1" applyAlignment="1">
      <alignment horizontal="left"/>
    </xf>
    <xf numFmtId="0" fontId="13" fillId="37" borderId="1" xfId="0" applyFont="1" applyFill="1" applyBorder="1" applyAlignment="1">
      <alignment horizontal="left" wrapText="1"/>
    </xf>
    <xf numFmtId="0" fontId="0" fillId="32" borderId="13" xfId="0" applyFill="1" applyBorder="1" applyAlignment="1">
      <alignment horizontal="left"/>
    </xf>
    <xf numFmtId="0" fontId="19" fillId="27" borderId="1" xfId="0" applyFont="1" applyFill="1" applyBorder="1" applyAlignment="1">
      <alignment horizontal="left" wrapText="1"/>
    </xf>
    <xf numFmtId="0" fontId="13" fillId="27" borderId="13" xfId="0" applyFont="1" applyFill="1" applyBorder="1" applyAlignment="1">
      <alignment horizontal="left" vertical="center"/>
    </xf>
    <xf numFmtId="0" fontId="18" fillId="37" borderId="1" xfId="0" applyFont="1" applyFill="1" applyBorder="1" applyAlignment="1">
      <alignment horizontal="left" wrapText="1"/>
    </xf>
    <xf numFmtId="0" fontId="9" fillId="27" borderId="23" xfId="0" applyFont="1" applyFill="1" applyBorder="1" applyAlignment="1">
      <alignment horizontal="left" wrapText="1"/>
    </xf>
    <xf numFmtId="0" fontId="11" fillId="30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wrapText="1"/>
    </xf>
    <xf numFmtId="0" fontId="13" fillId="13" borderId="4" xfId="0" applyFont="1" applyFill="1" applyBorder="1" applyAlignment="1">
      <alignment horizontal="left" wrapText="1"/>
    </xf>
    <xf numFmtId="0" fontId="13" fillId="21" borderId="15" xfId="0" applyFont="1" applyFill="1" applyBorder="1" applyAlignment="1">
      <alignment horizontal="left" vertical="center" wrapText="1"/>
    </xf>
    <xf numFmtId="0" fontId="18" fillId="15" borderId="22" xfId="0" applyFont="1" applyFill="1" applyBorder="1" applyAlignment="1">
      <alignment horizontal="left" wrapText="1"/>
    </xf>
    <xf numFmtId="0" fontId="11" fillId="15" borderId="4" xfId="0" applyFont="1" applyFill="1" applyBorder="1" applyAlignment="1">
      <alignment horizontal="left" vertical="center" wrapText="1"/>
    </xf>
    <xf numFmtId="0" fontId="11" fillId="27" borderId="15" xfId="0" applyFont="1" applyFill="1" applyBorder="1" applyAlignment="1">
      <alignment horizontal="left" vertical="center" wrapText="1"/>
    </xf>
    <xf numFmtId="0" fontId="13" fillId="32" borderId="13" xfId="0" applyFont="1" applyFill="1" applyBorder="1" applyAlignment="1">
      <alignment horizontal="left" vertical="center" wrapText="1"/>
    </xf>
    <xf numFmtId="0" fontId="13" fillId="8" borderId="15" xfId="0" applyFont="1" applyFill="1" applyBorder="1" applyAlignment="1">
      <alignment horizontal="left" vertical="center" wrapText="1"/>
    </xf>
    <xf numFmtId="0" fontId="18" fillId="32" borderId="13" xfId="0" applyFont="1" applyFill="1" applyBorder="1" applyAlignment="1">
      <alignment wrapText="1"/>
    </xf>
    <xf numFmtId="0" fontId="13" fillId="26" borderId="1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wrapText="1"/>
    </xf>
    <xf numFmtId="0" fontId="18" fillId="37" borderId="1" xfId="0" applyFont="1" applyFill="1" applyBorder="1" applyAlignment="1">
      <alignment wrapText="1"/>
    </xf>
    <xf numFmtId="0" fontId="2" fillId="19" borderId="13" xfId="0" applyFont="1" applyFill="1" applyBorder="1" applyAlignment="1">
      <alignment horizontal="left" vertical="top"/>
    </xf>
    <xf numFmtId="0" fontId="2" fillId="21" borderId="13" xfId="0" applyFont="1" applyFill="1" applyBorder="1" applyAlignment="1">
      <alignment horizontal="left" vertical="top"/>
    </xf>
    <xf numFmtId="0" fontId="7" fillId="37" borderId="1" xfId="0" applyFont="1" applyFill="1" applyBorder="1" applyAlignment="1">
      <alignment horizontal="left" vertical="top" wrapText="1"/>
    </xf>
    <xf numFmtId="0" fontId="9" fillId="32" borderId="13" xfId="0" applyFont="1" applyFill="1" applyBorder="1" applyAlignment="1">
      <alignment horizontal="left" vertical="top"/>
    </xf>
    <xf numFmtId="0" fontId="2" fillId="27" borderId="13" xfId="0" applyFont="1" applyFill="1" applyBorder="1" applyAlignment="1">
      <alignment horizontal="left" vertical="top"/>
    </xf>
    <xf numFmtId="0" fontId="2" fillId="37" borderId="1" xfId="0" applyFont="1" applyFill="1" applyBorder="1" applyAlignment="1">
      <alignment horizontal="left" vertical="top" wrapText="1"/>
    </xf>
    <xf numFmtId="0" fontId="9" fillId="30" borderId="4" xfId="0" applyFont="1" applyFill="1" applyBorder="1" applyAlignment="1">
      <alignment horizontal="left" vertical="top"/>
    </xf>
    <xf numFmtId="0" fontId="9" fillId="13" borderId="4" xfId="0" applyFont="1" applyFill="1" applyBorder="1" applyAlignment="1">
      <alignment horizontal="left" vertical="top"/>
    </xf>
    <xf numFmtId="0" fontId="2" fillId="21" borderId="15" xfId="0" applyFont="1" applyFill="1" applyBorder="1" applyAlignment="1">
      <alignment horizontal="left" vertical="top"/>
    </xf>
    <xf numFmtId="0" fontId="9" fillId="15" borderId="22" xfId="0" applyFont="1" applyFill="1" applyBorder="1" applyAlignment="1">
      <alignment horizontal="left" vertical="top"/>
    </xf>
    <xf numFmtId="0" fontId="9" fillId="27" borderId="15" xfId="0" applyFont="1" applyFill="1" applyBorder="1" applyAlignment="1">
      <alignment horizontal="left" vertical="top"/>
    </xf>
    <xf numFmtId="0" fontId="2" fillId="8" borderId="15" xfId="0" applyFont="1" applyFill="1" applyBorder="1" applyAlignment="1">
      <alignment horizontal="left" vertical="top"/>
    </xf>
    <xf numFmtId="0" fontId="2" fillId="32" borderId="13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/>
    </xf>
    <xf numFmtId="0" fontId="9" fillId="6" borderId="3" xfId="0" applyFont="1" applyFill="1" applyBorder="1" applyAlignment="1">
      <alignment horizontal="left" vertical="top"/>
    </xf>
    <xf numFmtId="0" fontId="7" fillId="37" borderId="1" xfId="0" applyFont="1" applyFill="1" applyBorder="1" applyAlignment="1">
      <alignment wrapText="1"/>
    </xf>
    <xf numFmtId="0" fontId="7" fillId="8" borderId="7" xfId="0" applyFont="1" applyFill="1" applyBorder="1" applyAlignment="1">
      <alignment wrapText="1"/>
    </xf>
    <xf numFmtId="0" fontId="0" fillId="21" borderId="20" xfId="0" applyFill="1" applyBorder="1" applyAlignment="1">
      <alignment horizontal="left" wrapText="1"/>
    </xf>
    <xf numFmtId="0" fontId="7" fillId="37" borderId="1" xfId="0" applyFont="1" applyFill="1" applyBorder="1" applyAlignment="1">
      <alignment horizontal="left" wrapText="1"/>
    </xf>
    <xf numFmtId="0" fontId="7" fillId="32" borderId="7" xfId="0" applyFont="1" applyFill="1" applyBorder="1" applyAlignment="1">
      <alignment wrapText="1"/>
    </xf>
    <xf numFmtId="0" fontId="9" fillId="7" borderId="10" xfId="0" applyFont="1" applyFill="1" applyBorder="1" applyAlignment="1">
      <alignment horizontal="left" vertical="top"/>
    </xf>
    <xf numFmtId="0" fontId="9" fillId="6" borderId="5" xfId="0" applyFont="1" applyFill="1" applyBorder="1" applyAlignment="1">
      <alignment horizontal="left" wrapText="1"/>
    </xf>
    <xf numFmtId="0" fontId="9" fillId="32" borderId="7" xfId="0" applyFont="1" applyFill="1" applyBorder="1" applyAlignment="1">
      <alignment horizontal="left" vertical="top"/>
    </xf>
    <xf numFmtId="0" fontId="9" fillId="7" borderId="4" xfId="0" applyFont="1" applyFill="1" applyBorder="1" applyAlignment="1">
      <alignment horizontal="left" wrapText="1"/>
    </xf>
    <xf numFmtId="0" fontId="0" fillId="21" borderId="7" xfId="0" applyFill="1" applyBorder="1" applyAlignment="1">
      <alignment horizontal="left" wrapText="1"/>
    </xf>
    <xf numFmtId="0" fontId="7" fillId="15" borderId="22" xfId="0" applyFont="1" applyFill="1" applyBorder="1" applyAlignment="1">
      <alignment wrapText="1"/>
    </xf>
    <xf numFmtId="0" fontId="9" fillId="27" borderId="15" xfId="0" applyFont="1" applyFill="1" applyBorder="1" applyAlignment="1">
      <alignment horizontal="left" wrapText="1"/>
    </xf>
    <xf numFmtId="0" fontId="9" fillId="13" borderId="7" xfId="0" applyFont="1" applyFill="1" applyBorder="1" applyAlignment="1">
      <alignment horizontal="left" vertical="top"/>
    </xf>
    <xf numFmtId="0" fontId="7" fillId="15" borderId="6" xfId="0" applyFont="1" applyFill="1" applyBorder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7" fillId="13" borderId="29" xfId="0" applyFont="1" applyFill="1" applyBorder="1" applyAlignment="1">
      <alignment wrapText="1"/>
    </xf>
    <xf numFmtId="0" fontId="7" fillId="32" borderId="13" xfId="0" applyFont="1" applyFill="1" applyBorder="1" applyAlignment="1">
      <alignment wrapText="1"/>
    </xf>
    <xf numFmtId="0" fontId="18" fillId="8" borderId="15" xfId="0" applyFont="1" applyFill="1" applyBorder="1" applyAlignment="1">
      <alignment horizontal="left" wrapText="1"/>
    </xf>
    <xf numFmtId="0" fontId="9" fillId="26" borderId="7" xfId="0" applyFont="1" applyFill="1" applyBorder="1" applyAlignment="1">
      <alignment horizontal="left" vertical="top"/>
    </xf>
    <xf numFmtId="0" fontId="2" fillId="15" borderId="4" xfId="0" applyFont="1" applyFill="1" applyBorder="1" applyAlignment="1">
      <alignment horizontal="left" vertical="center"/>
    </xf>
    <xf numFmtId="0" fontId="2" fillId="12" borderId="7" xfId="0" applyFont="1" applyFill="1" applyBorder="1" applyAlignment="1">
      <alignment horizontal="left" vertical="center"/>
    </xf>
    <xf numFmtId="0" fontId="7" fillId="37" borderId="1" xfId="0" applyFont="1" applyFill="1" applyBorder="1" applyAlignment="1">
      <alignment horizontal="right" wrapText="1"/>
    </xf>
    <xf numFmtId="0" fontId="7" fillId="19" borderId="19" xfId="0" applyFont="1" applyFill="1" applyBorder="1" applyAlignment="1">
      <alignment horizontal="right" wrapText="1"/>
    </xf>
    <xf numFmtId="0" fontId="7" fillId="8" borderId="7" xfId="0" applyFont="1" applyFill="1" applyBorder="1" applyAlignment="1">
      <alignment horizontal="right" wrapText="1"/>
    </xf>
    <xf numFmtId="0" fontId="0" fillId="21" borderId="13" xfId="0" applyFill="1" applyBorder="1" applyAlignment="1">
      <alignment horizontal="left" wrapText="1"/>
    </xf>
    <xf numFmtId="0" fontId="7" fillId="32" borderId="19" xfId="0" applyFont="1" applyFill="1" applyBorder="1" applyAlignment="1">
      <alignment horizontal="right" wrapText="1"/>
    </xf>
    <xf numFmtId="0" fontId="9" fillId="7" borderId="11" xfId="0" applyFont="1" applyFill="1" applyBorder="1" applyAlignment="1">
      <alignment horizontal="left" vertical="top"/>
    </xf>
    <xf numFmtId="0" fontId="9" fillId="32" borderId="19" xfId="0" applyFont="1" applyFill="1" applyBorder="1" applyAlignment="1">
      <alignment horizontal="left" vertical="top"/>
    </xf>
    <xf numFmtId="0" fontId="0" fillId="21" borderId="19" xfId="0" applyFill="1" applyBorder="1" applyAlignment="1">
      <alignment horizontal="left" wrapText="1"/>
    </xf>
    <xf numFmtId="0" fontId="7" fillId="15" borderId="22" xfId="0" applyFont="1" applyFill="1" applyBorder="1" applyAlignment="1">
      <alignment horizontal="right" wrapText="1"/>
    </xf>
    <xf numFmtId="0" fontId="7" fillId="13" borderId="28" xfId="0" applyFont="1" applyFill="1" applyBorder="1" applyAlignment="1">
      <alignment horizontal="right" wrapText="1"/>
    </xf>
    <xf numFmtId="0" fontId="7" fillId="37" borderId="7" xfId="0" applyFont="1" applyFill="1" applyBorder="1" applyAlignment="1">
      <alignment horizontal="right" wrapText="1"/>
    </xf>
    <xf numFmtId="0" fontId="7" fillId="32" borderId="13" xfId="0" applyFont="1" applyFill="1" applyBorder="1" applyAlignment="1">
      <alignment horizontal="right" wrapText="1"/>
    </xf>
    <xf numFmtId="14" fontId="13" fillId="37" borderId="1" xfId="0" applyNumberFormat="1" applyFont="1" applyFill="1" applyBorder="1" applyAlignment="1">
      <alignment wrapText="1"/>
    </xf>
    <xf numFmtId="14" fontId="13" fillId="19" borderId="13" xfId="0" applyNumberFormat="1" applyFont="1" applyFill="1" applyBorder="1" applyAlignment="1">
      <alignment horizontal="left" vertical="center" wrapText="1"/>
    </xf>
    <xf numFmtId="14" fontId="5" fillId="21" borderId="13" xfId="0" applyNumberFormat="1" applyFont="1" applyFill="1" applyBorder="1" applyAlignment="1">
      <alignment horizontal="left"/>
    </xf>
    <xf numFmtId="14" fontId="13" fillId="37" borderId="1" xfId="0" applyNumberFormat="1" applyFont="1" applyFill="1" applyBorder="1" applyAlignment="1">
      <alignment horizontal="left" wrapText="1"/>
    </xf>
    <xf numFmtId="14" fontId="0" fillId="32" borderId="13" xfId="0" applyNumberFormat="1" applyFill="1" applyBorder="1" applyAlignment="1">
      <alignment horizontal="left"/>
    </xf>
    <xf numFmtId="14" fontId="19" fillId="27" borderId="1" xfId="0" applyNumberFormat="1" applyFont="1" applyFill="1" applyBorder="1" applyAlignment="1">
      <alignment horizontal="left" wrapText="1"/>
    </xf>
    <xf numFmtId="14" fontId="10" fillId="0" borderId="12" xfId="0" applyNumberFormat="1" applyFont="1" applyBorder="1" applyAlignment="1">
      <alignment horizontal="left" wrapText="1"/>
    </xf>
    <xf numFmtId="14" fontId="10" fillId="15" borderId="2" xfId="0" applyNumberFormat="1" applyFont="1" applyFill="1" applyBorder="1" applyAlignment="1">
      <alignment horizontal="left" wrapText="1"/>
    </xf>
    <xf numFmtId="14" fontId="13" fillId="27" borderId="13" xfId="0" applyNumberFormat="1" applyFont="1" applyFill="1" applyBorder="1" applyAlignment="1">
      <alignment horizontal="left" vertical="center"/>
    </xf>
    <xf numFmtId="14" fontId="18" fillId="37" borderId="1" xfId="0" applyNumberFormat="1" applyFont="1" applyFill="1" applyBorder="1" applyAlignment="1">
      <alignment horizontal="left" wrapText="1"/>
    </xf>
    <xf numFmtId="14" fontId="9" fillId="27" borderId="23" xfId="0" applyNumberFormat="1" applyFont="1" applyFill="1" applyBorder="1" applyAlignment="1">
      <alignment horizontal="left" wrapText="1"/>
    </xf>
    <xf numFmtId="14" fontId="11" fillId="30" borderId="4" xfId="0" applyNumberFormat="1" applyFont="1" applyFill="1" applyBorder="1" applyAlignment="1">
      <alignment horizontal="left" vertical="center" wrapText="1"/>
    </xf>
    <xf numFmtId="14" fontId="13" fillId="3" borderId="12" xfId="0" applyNumberFormat="1" applyFont="1" applyFill="1" applyBorder="1" applyAlignment="1">
      <alignment horizontal="left" vertical="center" wrapText="1"/>
    </xf>
    <xf numFmtId="14" fontId="9" fillId="7" borderId="4" xfId="0" applyNumberFormat="1" applyFont="1" applyFill="1" applyBorder="1" applyAlignment="1">
      <alignment horizontal="left" vertical="top"/>
    </xf>
    <xf numFmtId="14" fontId="11" fillId="2" borderId="6" xfId="0" applyNumberFormat="1" applyFont="1" applyFill="1" applyBorder="1" applyAlignment="1">
      <alignment horizontal="left" vertical="center" wrapText="1"/>
    </xf>
    <xf numFmtId="14" fontId="2" fillId="2" borderId="9" xfId="0" applyNumberFormat="1" applyFont="1" applyFill="1" applyBorder="1" applyAlignment="1">
      <alignment horizontal="left"/>
    </xf>
    <xf numFmtId="14" fontId="11" fillId="13" borderId="4" xfId="0" applyNumberFormat="1" applyFont="1" applyFill="1" applyBorder="1" applyAlignment="1">
      <alignment horizontal="left" wrapText="1"/>
    </xf>
    <xf numFmtId="14" fontId="11" fillId="8" borderId="2" xfId="0" applyNumberFormat="1" applyFont="1" applyFill="1" applyBorder="1" applyAlignment="1">
      <alignment horizontal="left" wrapText="1"/>
    </xf>
    <xf numFmtId="14" fontId="13" fillId="21" borderId="15" xfId="0" applyNumberFormat="1" applyFont="1" applyFill="1" applyBorder="1" applyAlignment="1">
      <alignment horizontal="left" vertical="center" wrapText="1"/>
    </xf>
    <xf numFmtId="14" fontId="18" fillId="15" borderId="22" xfId="0" applyNumberFormat="1" applyFont="1" applyFill="1" applyBorder="1" applyAlignment="1">
      <alignment horizontal="left" wrapText="1"/>
    </xf>
    <xf numFmtId="14" fontId="5" fillId="15" borderId="4" xfId="0" applyNumberFormat="1" applyFont="1" applyFill="1" applyBorder="1" applyAlignment="1">
      <alignment horizontal="left" vertical="center" wrapText="1"/>
    </xf>
    <xf numFmtId="14" fontId="11" fillId="27" borderId="15" xfId="0" applyNumberFormat="1" applyFont="1" applyFill="1" applyBorder="1" applyAlignment="1">
      <alignment horizontal="left" vertical="center" wrapText="1"/>
    </xf>
    <xf numFmtId="14" fontId="13" fillId="32" borderId="13" xfId="0" applyNumberFormat="1" applyFont="1" applyFill="1" applyBorder="1" applyAlignment="1">
      <alignment horizontal="left" vertical="center" wrapText="1"/>
    </xf>
    <xf numFmtId="14" fontId="13" fillId="8" borderId="15" xfId="0" applyNumberFormat="1" applyFont="1" applyFill="1" applyBorder="1" applyAlignment="1">
      <alignment horizontal="left" vertical="center" wrapText="1"/>
    </xf>
    <xf numFmtId="14" fontId="18" fillId="32" borderId="13" xfId="0" applyNumberFormat="1" applyFont="1" applyFill="1" applyBorder="1" applyAlignment="1">
      <alignment horizontal="left" vertical="center" wrapText="1"/>
    </xf>
    <xf numFmtId="14" fontId="13" fillId="6" borderId="2" xfId="0" applyNumberFormat="1" applyFont="1" applyFill="1" applyBorder="1" applyAlignment="1">
      <alignment horizontal="left" vertical="center" wrapText="1"/>
    </xf>
    <xf numFmtId="0" fontId="7" fillId="37" borderId="1" xfId="0" applyFont="1" applyFill="1" applyBorder="1" applyAlignment="1">
      <alignment vertical="top" wrapText="1"/>
    </xf>
    <xf numFmtId="1" fontId="9" fillId="32" borderId="13" xfId="0" applyNumberFormat="1" applyFont="1" applyFill="1" applyBorder="1" applyAlignment="1">
      <alignment horizontal="left" vertical="top"/>
    </xf>
    <xf numFmtId="1" fontId="8" fillId="30" borderId="4" xfId="0" applyNumberFormat="1" applyFont="1" applyFill="1" applyBorder="1" applyAlignment="1">
      <alignment horizontal="left" vertical="top"/>
    </xf>
    <xf numFmtId="1" fontId="8" fillId="7" borderId="4" xfId="0" applyNumberFormat="1" applyFont="1" applyFill="1" applyBorder="1" applyAlignment="1">
      <alignment horizontal="left" vertical="top"/>
    </xf>
    <xf numFmtId="1" fontId="8" fillId="13" borderId="4" xfId="0" applyNumberFormat="1" applyFont="1" applyFill="1" applyBorder="1" applyAlignment="1">
      <alignment horizontal="left" vertical="top"/>
    </xf>
    <xf numFmtId="1" fontId="8" fillId="27" borderId="15" xfId="0" applyNumberFormat="1" applyFont="1" applyFill="1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0" fontId="8" fillId="30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left"/>
    </xf>
    <xf numFmtId="0" fontId="8" fillId="15" borderId="22" xfId="0" applyFont="1" applyFill="1" applyBorder="1" applyAlignment="1">
      <alignment horizontal="left" vertical="center"/>
    </xf>
    <xf numFmtId="0" fontId="8" fillId="27" borderId="15" xfId="0" applyFont="1" applyFill="1" applyBorder="1" applyAlignment="1">
      <alignment horizontal="left" vertical="center"/>
    </xf>
    <xf numFmtId="0" fontId="2" fillId="32" borderId="13" xfId="0" applyFont="1" applyFill="1" applyBorder="1" applyAlignment="1">
      <alignment horizontal="left" vertical="center"/>
    </xf>
    <xf numFmtId="0" fontId="7" fillId="27" borderId="13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/>
    </xf>
    <xf numFmtId="0" fontId="5" fillId="37" borderId="1" xfId="0" applyFont="1" applyFill="1" applyBorder="1" applyAlignment="1">
      <alignment wrapText="1"/>
    </xf>
    <xf numFmtId="14" fontId="2" fillId="26" borderId="1" xfId="0" applyNumberFormat="1" applyFont="1" applyFill="1" applyBorder="1" applyAlignment="1">
      <alignment horizontal="left"/>
    </xf>
    <xf numFmtId="14" fontId="5" fillId="37" borderId="1" xfId="0" applyNumberFormat="1" applyFont="1" applyFill="1" applyBorder="1" applyAlignment="1">
      <alignment wrapText="1"/>
    </xf>
    <xf numFmtId="14" fontId="2" fillId="19" borderId="13" xfId="0" applyNumberFormat="1" applyFont="1" applyFill="1" applyBorder="1" applyAlignment="1">
      <alignment horizontal="left"/>
    </xf>
    <xf numFmtId="14" fontId="2" fillId="21" borderId="13" xfId="0" applyNumberFormat="1" applyFont="1" applyFill="1" applyBorder="1" applyAlignment="1">
      <alignment horizontal="left"/>
    </xf>
    <xf numFmtId="14" fontId="2" fillId="27" borderId="1" xfId="0" applyNumberFormat="1" applyFont="1" applyFill="1" applyBorder="1" applyAlignment="1">
      <alignment horizontal="left" vertical="top" wrapText="1"/>
    </xf>
    <xf numFmtId="14" fontId="2" fillId="32" borderId="1" xfId="0" applyNumberFormat="1" applyFont="1" applyFill="1" applyBorder="1" applyAlignment="1">
      <alignment horizontal="left" vertical="top" wrapText="1"/>
    </xf>
    <xf numFmtId="14" fontId="2" fillId="37" borderId="1" xfId="0" applyNumberFormat="1" applyFont="1" applyFill="1" applyBorder="1" applyAlignment="1">
      <alignment horizontal="left" wrapText="1"/>
    </xf>
    <xf numFmtId="14" fontId="9" fillId="32" borderId="13" xfId="0" applyNumberFormat="1" applyFont="1" applyFill="1" applyBorder="1" applyAlignment="1">
      <alignment horizontal="left" vertical="center"/>
    </xf>
    <xf numFmtId="14" fontId="2" fillId="27" borderId="13" xfId="0" applyNumberFormat="1" applyFont="1" applyFill="1" applyBorder="1" applyAlignment="1">
      <alignment horizontal="left"/>
    </xf>
    <xf numFmtId="14" fontId="8" fillId="30" borderId="4" xfId="0" applyNumberFormat="1" applyFont="1" applyFill="1" applyBorder="1" applyAlignment="1">
      <alignment horizontal="left" vertical="center"/>
    </xf>
    <xf numFmtId="14" fontId="9" fillId="2" borderId="6" xfId="0" applyNumberFormat="1" applyFont="1" applyFill="1" applyBorder="1" applyAlignment="1">
      <alignment horizontal="left" vertical="top"/>
    </xf>
    <xf numFmtId="14" fontId="9" fillId="13" borderId="4" xfId="0" applyNumberFormat="1" applyFont="1" applyFill="1" applyBorder="1" applyAlignment="1">
      <alignment horizontal="left" vertical="top"/>
    </xf>
    <xf numFmtId="14" fontId="2" fillId="21" borderId="15" xfId="0" applyNumberFormat="1" applyFont="1" applyFill="1" applyBorder="1" applyAlignment="1">
      <alignment horizontal="left"/>
    </xf>
    <xf numFmtId="14" fontId="8" fillId="15" borderId="22" xfId="0" applyNumberFormat="1" applyFont="1" applyFill="1" applyBorder="1" applyAlignment="1">
      <alignment horizontal="left" vertical="center"/>
    </xf>
    <xf numFmtId="14" fontId="8" fillId="27" borderId="15" xfId="0" applyNumberFormat="1" applyFont="1" applyFill="1" applyBorder="1" applyAlignment="1">
      <alignment horizontal="left" vertical="center"/>
    </xf>
    <xf numFmtId="14" fontId="2" fillId="32" borderId="13" xfId="0" applyNumberFormat="1" applyFont="1" applyFill="1" applyBorder="1" applyAlignment="1">
      <alignment horizontal="left"/>
    </xf>
    <xf numFmtId="14" fontId="2" fillId="8" borderId="15" xfId="0" applyNumberFormat="1" applyFont="1" applyFill="1" applyBorder="1" applyAlignment="1">
      <alignment horizontal="left" vertical="top"/>
    </xf>
    <xf numFmtId="0" fontId="10" fillId="30" borderId="4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wrapText="1"/>
    </xf>
    <xf numFmtId="0" fontId="9" fillId="6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wrapText="1"/>
    </xf>
    <xf numFmtId="0" fontId="10" fillId="15" borderId="22" xfId="0" applyFont="1" applyFill="1" applyBorder="1" applyAlignment="1">
      <alignment horizontal="left" wrapText="1"/>
    </xf>
    <xf numFmtId="0" fontId="10" fillId="27" borderId="15" xfId="0" applyFont="1" applyFill="1" applyBorder="1" applyAlignment="1">
      <alignment horizontal="left" wrapText="1"/>
    </xf>
    <xf numFmtId="0" fontId="8" fillId="0" borderId="0" xfId="0" applyFont="1" applyAlignment="1">
      <alignment horizontal="left" vertical="center"/>
    </xf>
    <xf numFmtId="0" fontId="9" fillId="7" borderId="4" xfId="0" applyFont="1" applyFill="1" applyBorder="1" applyAlignment="1">
      <alignment horizontal="left"/>
    </xf>
    <xf numFmtId="0" fontId="10" fillId="0" borderId="0" xfId="0" applyFont="1" applyAlignment="1">
      <alignment horizontal="left" wrapText="1"/>
    </xf>
    <xf numFmtId="0" fontId="7" fillId="37" borderId="0" xfId="0" applyFont="1" applyFill="1" applyAlignment="1">
      <alignment wrapText="1"/>
    </xf>
    <xf numFmtId="0" fontId="2" fillId="19" borderId="7" xfId="0" applyFont="1" applyFill="1" applyBorder="1" applyAlignment="1">
      <alignment horizontal="left" vertical="top"/>
    </xf>
    <xf numFmtId="0" fontId="7" fillId="13" borderId="0" xfId="0" applyFont="1" applyFill="1" applyAlignment="1">
      <alignment horizontal="left" wrapText="1"/>
    </xf>
    <xf numFmtId="0" fontId="0" fillId="21" borderId="7" xfId="0" applyFill="1" applyBorder="1" applyAlignment="1">
      <alignment horizontal="left"/>
    </xf>
    <xf numFmtId="0" fontId="7" fillId="32" borderId="0" xfId="0" applyFont="1" applyFill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7" fillId="27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7" fillId="27" borderId="0" xfId="0" applyFont="1" applyFill="1" applyAlignment="1">
      <alignment horizontal="left" wrapText="1"/>
    </xf>
    <xf numFmtId="0" fontId="9" fillId="8" borderId="0" xfId="0" applyFont="1" applyFill="1" applyAlignment="1">
      <alignment horizontal="left"/>
    </xf>
    <xf numFmtId="0" fontId="2" fillId="27" borderId="7" xfId="0" applyFont="1" applyFill="1" applyBorder="1" applyAlignment="1">
      <alignment horizontal="left" vertical="top"/>
    </xf>
    <xf numFmtId="0" fontId="9" fillId="27" borderId="15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/>
    </xf>
    <xf numFmtId="0" fontId="2" fillId="32" borderId="7" xfId="0" applyFont="1" applyFill="1" applyBorder="1" applyAlignment="1">
      <alignment horizontal="left" vertical="top"/>
    </xf>
    <xf numFmtId="0" fontId="0" fillId="15" borderId="0" xfId="0" applyFill="1" applyAlignment="1">
      <alignment horizontal="left"/>
    </xf>
    <xf numFmtId="0" fontId="7" fillId="26" borderId="1" xfId="0" applyFont="1" applyFill="1" applyBorder="1" applyAlignment="1">
      <alignment wrapText="1"/>
    </xf>
    <xf numFmtId="0" fontId="7" fillId="26" borderId="1" xfId="0" applyFont="1" applyFill="1" applyBorder="1" applyAlignment="1">
      <alignment horizontal="right" wrapText="1"/>
    </xf>
    <xf numFmtId="0" fontId="0" fillId="26" borderId="0" xfId="0" applyFill="1" applyAlignment="1">
      <alignment horizontal="left"/>
    </xf>
    <xf numFmtId="0" fontId="3" fillId="26" borderId="1" xfId="0" applyFont="1" applyFill="1" applyBorder="1" applyAlignment="1">
      <alignment horizontal="left" vertical="top" wrapText="1"/>
    </xf>
    <xf numFmtId="0" fontId="2" fillId="26" borderId="7" xfId="0" applyFont="1" applyFill="1" applyBorder="1" applyAlignment="1">
      <alignment horizontal="left" vertical="top"/>
    </xf>
    <xf numFmtId="14" fontId="13" fillId="26" borderId="1" xfId="0" applyNumberFormat="1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2" fillId="4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14" fontId="13" fillId="3" borderId="1" xfId="0" applyNumberFormat="1" applyFont="1" applyFill="1" applyBorder="1" applyAlignment="1">
      <alignment horizontal="left" vertical="center"/>
    </xf>
    <xf numFmtId="0" fontId="2" fillId="3" borderId="15" xfId="0" applyFont="1" applyFill="1" applyBorder="1" applyAlignment="1">
      <alignment vertical="top"/>
    </xf>
    <xf numFmtId="0" fontId="7" fillId="3" borderId="15" xfId="0" applyFont="1" applyFill="1" applyBorder="1" applyAlignment="1">
      <alignment vertical="top"/>
    </xf>
    <xf numFmtId="0" fontId="7" fillId="3" borderId="7" xfId="0" applyFont="1" applyFill="1" applyBorder="1"/>
    <xf numFmtId="0" fontId="7" fillId="3" borderId="7" xfId="0" applyFont="1" applyFill="1" applyBorder="1" applyAlignment="1">
      <alignment vertical="top"/>
    </xf>
    <xf numFmtId="0" fontId="7" fillId="0" borderId="21" xfId="0" applyFont="1" applyBorder="1"/>
    <xf numFmtId="0" fontId="7" fillId="0" borderId="15" xfId="0" applyFont="1" applyBorder="1" applyAlignment="1">
      <alignment horizontal="right"/>
    </xf>
    <xf numFmtId="14" fontId="5" fillId="0" borderId="1" xfId="0" applyNumberFormat="1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18" fillId="0" borderId="1" xfId="0" applyFont="1" applyBorder="1" applyAlignment="1">
      <alignment vertical="center"/>
    </xf>
    <xf numFmtId="14" fontId="18" fillId="0" borderId="1" xfId="0" applyNumberFormat="1" applyFont="1" applyBorder="1" applyAlignment="1">
      <alignment horizontal="right" vertical="center"/>
    </xf>
    <xf numFmtId="0" fontId="7" fillId="3" borderId="7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3" borderId="15" xfId="0" applyFont="1" applyFill="1" applyBorder="1" applyAlignment="1">
      <alignment vertical="top" wrapText="1"/>
    </xf>
    <xf numFmtId="0" fontId="7" fillId="0" borderId="7" xfId="0" applyFont="1" applyBorder="1"/>
    <xf numFmtId="14" fontId="2" fillId="38" borderId="15" xfId="0" applyNumberFormat="1" applyFont="1" applyFill="1" applyBorder="1" applyAlignment="1">
      <alignment horizontal="right" wrapText="1"/>
    </xf>
    <xf numFmtId="0" fontId="7" fillId="38" borderId="7" xfId="0" applyFont="1" applyFill="1" applyBorder="1" applyAlignment="1">
      <alignment wrapText="1"/>
    </xf>
    <xf numFmtId="0" fontId="7" fillId="0" borderId="19" xfId="0" applyFont="1" applyBorder="1" applyAlignment="1">
      <alignment wrapText="1"/>
    </xf>
    <xf numFmtId="0" fontId="2" fillId="38" borderId="13" xfId="0" applyFont="1" applyFill="1" applyBorder="1" applyAlignment="1">
      <alignment vertical="top" wrapText="1"/>
    </xf>
    <xf numFmtId="0" fontId="18" fillId="38" borderId="13" xfId="0" applyFont="1" applyFill="1" applyBorder="1" applyAlignment="1">
      <alignment wrapText="1"/>
    </xf>
    <xf numFmtId="0" fontId="18" fillId="38" borderId="13" xfId="0" applyFont="1" applyFill="1" applyBorder="1" applyAlignment="1">
      <alignment horizontal="right" wrapText="1"/>
    </xf>
    <xf numFmtId="0" fontId="2" fillId="38" borderId="13" xfId="0" applyFont="1" applyFill="1" applyBorder="1" applyAlignment="1">
      <alignment horizontal="right" vertical="top" wrapText="1"/>
    </xf>
    <xf numFmtId="14" fontId="18" fillId="38" borderId="13" xfId="0" applyNumberFormat="1" applyFont="1" applyFill="1" applyBorder="1" applyAlignment="1">
      <alignment horizontal="right" wrapText="1"/>
    </xf>
    <xf numFmtId="0" fontId="7" fillId="38" borderId="13" xfId="0" applyFont="1" applyFill="1" applyBorder="1" applyAlignment="1">
      <alignment vertical="top" wrapText="1"/>
    </xf>
    <xf numFmtId="0" fontId="2" fillId="38" borderId="13" xfId="0" applyFont="1" applyFill="1" applyBorder="1" applyAlignment="1">
      <alignment wrapText="1"/>
    </xf>
    <xf numFmtId="0" fontId="7" fillId="38" borderId="13" xfId="0" applyFont="1" applyFill="1" applyBorder="1" applyAlignment="1">
      <alignment wrapText="1"/>
    </xf>
    <xf numFmtId="0" fontId="2" fillId="38" borderId="13" xfId="0" applyFont="1" applyFill="1" applyBorder="1" applyAlignment="1">
      <alignment horizontal="right" wrapText="1"/>
    </xf>
    <xf numFmtId="14" fontId="2" fillId="38" borderId="13" xfId="0" applyNumberFormat="1" applyFont="1" applyFill="1" applyBorder="1" applyAlignment="1">
      <alignment horizontal="right" wrapText="1"/>
    </xf>
    <xf numFmtId="0" fontId="2" fillId="38" borderId="16" xfId="0" applyFont="1" applyFill="1" applyBorder="1" applyAlignment="1">
      <alignment wrapText="1"/>
    </xf>
    <xf numFmtId="0" fontId="2" fillId="38" borderId="20" xfId="0" applyFont="1" applyFill="1" applyBorder="1" applyAlignment="1">
      <alignment vertical="center"/>
    </xf>
    <xf numFmtId="0" fontId="2" fillId="38" borderId="13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wrapText="1"/>
    </xf>
    <xf numFmtId="0" fontId="7" fillId="0" borderId="20" xfId="0" applyFont="1" applyBorder="1" applyAlignment="1">
      <alignment wrapText="1"/>
    </xf>
    <xf numFmtId="0" fontId="2" fillId="3" borderId="20" xfId="0" applyFont="1" applyFill="1" applyBorder="1" applyAlignment="1">
      <alignment horizontal="right" wrapText="1"/>
    </xf>
    <xf numFmtId="0" fontId="7" fillId="0" borderId="13" xfId="0" applyFont="1" applyBorder="1" applyAlignment="1">
      <alignment horizontal="right" wrapText="1"/>
    </xf>
    <xf numFmtId="0" fontId="2" fillId="3" borderId="15" xfId="0" applyFont="1" applyFill="1" applyBorder="1" applyAlignment="1">
      <alignment wrapText="1"/>
    </xf>
    <xf numFmtId="0" fontId="2" fillId="3" borderId="15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left" vertical="top" wrapText="1"/>
    </xf>
    <xf numFmtId="14" fontId="2" fillId="6" borderId="1" xfId="0" applyNumberFormat="1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left" wrapText="1"/>
    </xf>
    <xf numFmtId="14" fontId="5" fillId="13" borderId="1" xfId="0" applyNumberFormat="1" applyFont="1" applyFill="1" applyBorder="1" applyAlignment="1">
      <alignment horizontal="left" wrapText="1"/>
    </xf>
    <xf numFmtId="0" fontId="2" fillId="3" borderId="17" xfId="0" applyFont="1" applyFill="1" applyBorder="1" applyAlignment="1">
      <alignment horizontal="left" wrapText="1"/>
    </xf>
    <xf numFmtId="0" fontId="5" fillId="27" borderId="1" xfId="0" applyFont="1" applyFill="1" applyBorder="1" applyAlignment="1">
      <alignment horizontal="left"/>
    </xf>
    <xf numFmtId="1" fontId="1" fillId="27" borderId="1" xfId="0" applyNumberFormat="1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/>
    </xf>
    <xf numFmtId="0" fontId="1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left" vertical="top"/>
    </xf>
    <xf numFmtId="0" fontId="5" fillId="30" borderId="1" xfId="0" applyFont="1" applyFill="1" applyBorder="1" applyAlignment="1">
      <alignment horizontal="left"/>
    </xf>
    <xf numFmtId="0" fontId="5" fillId="30" borderId="1" xfId="0" applyFont="1" applyFill="1" applyBorder="1" applyAlignment="1">
      <alignment horizontal="left" vertical="center" wrapText="1"/>
    </xf>
    <xf numFmtId="0" fontId="2" fillId="30" borderId="1" xfId="0" applyFont="1" applyFill="1" applyBorder="1" applyAlignment="1">
      <alignment horizontal="left" wrapText="1"/>
    </xf>
    <xf numFmtId="14" fontId="5" fillId="30" borderId="1" xfId="0" applyNumberFormat="1" applyFont="1" applyFill="1" applyBorder="1" applyAlignment="1">
      <alignment horizontal="left" vertical="center" wrapText="1"/>
    </xf>
    <xf numFmtId="1" fontId="1" fillId="30" borderId="1" xfId="0" applyNumberFormat="1" applyFont="1" applyFill="1" applyBorder="1" applyAlignment="1">
      <alignment horizontal="left" vertical="top"/>
    </xf>
    <xf numFmtId="14" fontId="1" fillId="30" borderId="1" xfId="0" applyNumberFormat="1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wrapText="1"/>
    </xf>
    <xf numFmtId="0" fontId="3" fillId="30" borderId="1" xfId="0" applyFont="1" applyFill="1" applyBorder="1" applyAlignment="1">
      <alignment horizontal="left" vertical="center"/>
    </xf>
    <xf numFmtId="14" fontId="3" fillId="30" borderId="1" xfId="0" applyNumberFormat="1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top"/>
    </xf>
    <xf numFmtId="0" fontId="2" fillId="27" borderId="4" xfId="0" applyFont="1" applyFill="1" applyBorder="1" applyAlignment="1">
      <alignment horizontal="left" vertical="top"/>
    </xf>
    <xf numFmtId="0" fontId="1" fillId="27" borderId="4" xfId="0" applyFont="1" applyFill="1" applyBorder="1" applyAlignment="1">
      <alignment horizontal="left" vertical="center"/>
    </xf>
    <xf numFmtId="0" fontId="1" fillId="3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34" borderId="0" xfId="0" applyFont="1" applyFill="1" applyAlignment="1">
      <alignment horizontal="left" vertical="top"/>
    </xf>
    <xf numFmtId="0" fontId="5" fillId="34" borderId="1" xfId="0" applyFont="1" applyFill="1" applyBorder="1" applyAlignment="1">
      <alignment horizontal="left"/>
    </xf>
    <xf numFmtId="1" fontId="1" fillId="34" borderId="1" xfId="0" applyNumberFormat="1" applyFont="1" applyFill="1" applyBorder="1" applyAlignment="1">
      <alignment horizontal="left" vertical="top"/>
    </xf>
    <xf numFmtId="0" fontId="1" fillId="34" borderId="1" xfId="0" applyFont="1" applyFill="1" applyBorder="1" applyAlignment="1">
      <alignment horizontal="left" vertical="center"/>
    </xf>
    <xf numFmtId="14" fontId="1" fillId="34" borderId="1" xfId="0" applyNumberFormat="1" applyFont="1" applyFill="1" applyBorder="1" applyAlignment="1">
      <alignment horizontal="left" vertical="center"/>
    </xf>
    <xf numFmtId="14" fontId="3" fillId="13" borderId="1" xfId="0" applyNumberFormat="1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1" fontId="2" fillId="27" borderId="1" xfId="0" applyNumberFormat="1" applyFont="1" applyFill="1" applyBorder="1" applyAlignment="1">
      <alignment horizontal="left"/>
    </xf>
    <xf numFmtId="0" fontId="2" fillId="33" borderId="1" xfId="0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wrapText="1"/>
    </xf>
    <xf numFmtId="0" fontId="5" fillId="33" borderId="1" xfId="0" applyFont="1" applyFill="1" applyBorder="1" applyAlignment="1">
      <alignment horizontal="left"/>
    </xf>
    <xf numFmtId="1" fontId="1" fillId="33" borderId="1" xfId="0" applyNumberFormat="1" applyFont="1" applyFill="1" applyBorder="1" applyAlignment="1">
      <alignment horizontal="left" vertical="top"/>
    </xf>
    <xf numFmtId="14" fontId="2" fillId="15" borderId="1" xfId="0" applyNumberFormat="1" applyFont="1" applyFill="1" applyBorder="1" applyAlignment="1">
      <alignment horizontal="left" wrapText="1"/>
    </xf>
    <xf numFmtId="1" fontId="2" fillId="32" borderId="1" xfId="0" applyNumberFormat="1" applyFont="1" applyFill="1" applyBorder="1" applyAlignment="1">
      <alignment horizontal="left" vertical="top"/>
    </xf>
    <xf numFmtId="0" fontId="2" fillId="31" borderId="1" xfId="0" applyFont="1" applyFill="1" applyBorder="1" applyAlignment="1">
      <alignment horizontal="left" vertical="top" wrapText="1"/>
    </xf>
    <xf numFmtId="0" fontId="2" fillId="31" borderId="1" xfId="0" applyFont="1" applyFill="1" applyBorder="1" applyAlignment="1">
      <alignment horizontal="left" vertical="top"/>
    </xf>
    <xf numFmtId="1" fontId="2" fillId="31" borderId="1" xfId="0" applyNumberFormat="1" applyFont="1" applyFill="1" applyBorder="1" applyAlignment="1">
      <alignment horizontal="left" vertical="top"/>
    </xf>
    <xf numFmtId="1" fontId="2" fillId="34" borderId="1" xfId="0" applyNumberFormat="1" applyFont="1" applyFill="1" applyBorder="1" applyAlignment="1">
      <alignment horizontal="left"/>
    </xf>
    <xf numFmtId="14" fontId="2" fillId="34" borderId="1" xfId="0" applyNumberFormat="1" applyFont="1" applyFill="1" applyBorder="1" applyAlignment="1">
      <alignment horizontal="left"/>
    </xf>
    <xf numFmtId="14" fontId="5" fillId="35" borderId="1" xfId="0" applyNumberFormat="1" applyFont="1" applyFill="1" applyBorder="1" applyAlignment="1">
      <alignment horizontal="left" wrapText="1"/>
    </xf>
    <xf numFmtId="0" fontId="5" fillId="32" borderId="1" xfId="0" applyFont="1" applyFill="1" applyBorder="1" applyAlignment="1">
      <alignment horizontal="left" vertical="center" wrapText="1"/>
    </xf>
    <xf numFmtId="14" fontId="5" fillId="32" borderId="1" xfId="0" applyNumberFormat="1" applyFont="1" applyFill="1" applyBorder="1" applyAlignment="1">
      <alignment horizontal="left" vertical="center" wrapText="1"/>
    </xf>
    <xf numFmtId="0" fontId="5" fillId="32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 wrapText="1"/>
    </xf>
    <xf numFmtId="14" fontId="5" fillId="31" borderId="1" xfId="0" applyNumberFormat="1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14" fontId="2" fillId="32" borderId="1" xfId="0" applyNumberFormat="1" applyFont="1" applyFill="1" applyBorder="1" applyAlignment="1">
      <alignment horizontal="left" wrapText="1"/>
    </xf>
    <xf numFmtId="11" fontId="5" fillId="27" borderId="1" xfId="0" applyNumberFormat="1" applyFont="1" applyFill="1" applyBorder="1" applyAlignment="1">
      <alignment horizontal="left" wrapText="1"/>
    </xf>
    <xf numFmtId="11" fontId="2" fillId="6" borderId="1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5" fillId="14" borderId="1" xfId="0" applyFont="1" applyFill="1" applyBorder="1" applyAlignment="1">
      <alignment horizontal="left" vertical="center"/>
    </xf>
    <xf numFmtId="14" fontId="5" fillId="14" borderId="1" xfId="0" applyNumberFormat="1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14" fontId="5" fillId="15" borderId="1" xfId="0" applyNumberFormat="1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left"/>
    </xf>
    <xf numFmtId="0" fontId="5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wrapText="1"/>
    </xf>
    <xf numFmtId="0" fontId="2" fillId="3" borderId="30" xfId="0" applyFont="1" applyFill="1" applyBorder="1" applyAlignment="1">
      <alignment horizontal="left" vertical="top"/>
    </xf>
    <xf numFmtId="0" fontId="2" fillId="3" borderId="31" xfId="0" applyFont="1" applyFill="1" applyBorder="1" applyAlignment="1">
      <alignment horizontal="left" vertical="top"/>
    </xf>
    <xf numFmtId="0" fontId="2" fillId="0" borderId="32" xfId="0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3" borderId="32" xfId="0" applyFont="1" applyFill="1" applyBorder="1" applyAlignment="1">
      <alignment horizontal="left" wrapText="1"/>
    </xf>
    <xf numFmtId="0" fontId="2" fillId="26" borderId="4" xfId="0" applyFont="1" applyFill="1" applyBorder="1" applyAlignment="1">
      <alignment horizontal="left"/>
    </xf>
    <xf numFmtId="0" fontId="5" fillId="26" borderId="4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top"/>
    </xf>
    <xf numFmtId="0" fontId="2" fillId="26" borderId="4" xfId="0" applyFont="1" applyFill="1" applyBorder="1" applyAlignment="1">
      <alignment horizontal="left" wrapText="1"/>
    </xf>
    <xf numFmtId="14" fontId="5" fillId="26" borderId="4" xfId="0" applyNumberFormat="1" applyFont="1" applyFill="1" applyBorder="1" applyAlignment="1">
      <alignment horizontal="left" vertical="center" wrapText="1"/>
    </xf>
    <xf numFmtId="14" fontId="2" fillId="26" borderId="4" xfId="0" applyNumberFormat="1" applyFont="1" applyFill="1" applyBorder="1" applyAlignment="1">
      <alignment horizontal="left"/>
    </xf>
    <xf numFmtId="0" fontId="0" fillId="26" borderId="4" xfId="0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11" fillId="27" borderId="4" xfId="0" applyFont="1" applyFill="1" applyBorder="1" applyAlignment="1">
      <alignment horizontal="left"/>
    </xf>
    <xf numFmtId="0" fontId="11" fillId="27" borderId="4" xfId="0" applyFont="1" applyFill="1" applyBorder="1" applyAlignment="1">
      <alignment horizontal="left" vertical="center" wrapText="1"/>
    </xf>
    <xf numFmtId="0" fontId="11" fillId="27" borderId="4" xfId="0" applyFont="1" applyFill="1" applyBorder="1" applyAlignment="1">
      <alignment horizontal="left" wrapText="1"/>
    </xf>
    <xf numFmtId="14" fontId="11" fillId="27" borderId="4" xfId="0" applyNumberFormat="1" applyFont="1" applyFill="1" applyBorder="1" applyAlignment="1">
      <alignment horizontal="left" vertical="center" wrapText="1"/>
    </xf>
    <xf numFmtId="1" fontId="8" fillId="27" borderId="4" xfId="0" applyNumberFormat="1" applyFont="1" applyFill="1" applyBorder="1" applyAlignment="1">
      <alignment horizontal="left" vertical="top"/>
    </xf>
    <xf numFmtId="14" fontId="1" fillId="27" borderId="4" xfId="0" applyNumberFormat="1" applyFont="1" applyFill="1" applyBorder="1" applyAlignment="1">
      <alignment horizontal="left" vertical="center"/>
    </xf>
    <xf numFmtId="0" fontId="10" fillId="27" borderId="4" xfId="0" applyFont="1" applyFill="1" applyBorder="1" applyAlignment="1">
      <alignment horizontal="left" wrapText="1"/>
    </xf>
    <xf numFmtId="0" fontId="3" fillId="27" borderId="4" xfId="0" applyFont="1" applyFill="1" applyBorder="1" applyAlignment="1">
      <alignment horizontal="left" wrapText="1"/>
    </xf>
    <xf numFmtId="0" fontId="11" fillId="13" borderId="4" xfId="0" applyFont="1" applyFill="1" applyBorder="1" applyAlignment="1">
      <alignment horizontal="left"/>
    </xf>
    <xf numFmtId="0" fontId="16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wrapText="1"/>
    </xf>
    <xf numFmtId="14" fontId="16" fillId="13" borderId="4" xfId="0" applyNumberFormat="1" applyFont="1" applyFill="1" applyBorder="1" applyAlignment="1">
      <alignment horizontal="left" vertical="center"/>
    </xf>
    <xf numFmtId="14" fontId="1" fillId="13" borderId="4" xfId="0" applyNumberFormat="1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 wrapText="1"/>
    </xf>
    <xf numFmtId="14" fontId="13" fillId="13" borderId="4" xfId="0" applyNumberFormat="1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/>
    </xf>
    <xf numFmtId="0" fontId="13" fillId="14" borderId="4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top"/>
    </xf>
    <xf numFmtId="14" fontId="13" fillId="14" borderId="4" xfId="0" applyNumberFormat="1" applyFont="1" applyFill="1" applyBorder="1" applyAlignment="1">
      <alignment horizontal="left" vertical="center" wrapText="1"/>
    </xf>
    <xf numFmtId="1" fontId="8" fillId="14" borderId="4" xfId="0" applyNumberFormat="1" applyFont="1" applyFill="1" applyBorder="1" applyAlignment="1">
      <alignment horizontal="left" vertical="top"/>
    </xf>
    <xf numFmtId="0" fontId="8" fillId="14" borderId="4" xfId="0" applyFont="1" applyFill="1" applyBorder="1" applyAlignment="1">
      <alignment horizontal="left" vertical="center"/>
    </xf>
    <xf numFmtId="14" fontId="8" fillId="14" borderId="4" xfId="0" applyNumberFormat="1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wrapText="1"/>
    </xf>
    <xf numFmtId="0" fontId="8" fillId="7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wrapText="1"/>
    </xf>
    <xf numFmtId="0" fontId="9" fillId="8" borderId="4" xfId="0" applyFont="1" applyFill="1" applyBorder="1" applyAlignment="1">
      <alignment horizontal="left" vertical="top"/>
    </xf>
    <xf numFmtId="0" fontId="8" fillId="8" borderId="4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wrapText="1"/>
    </xf>
    <xf numFmtId="14" fontId="13" fillId="0" borderId="4" xfId="0" applyNumberFormat="1" applyFont="1" applyBorder="1" applyAlignment="1">
      <alignment horizontal="left" vertical="center" wrapText="1"/>
    </xf>
    <xf numFmtId="1" fontId="8" fillId="0" borderId="4" xfId="0" applyNumberFormat="1" applyFont="1" applyBorder="1" applyAlignment="1">
      <alignment horizontal="left" vertical="top"/>
    </xf>
    <xf numFmtId="14" fontId="8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wrapText="1"/>
    </xf>
    <xf numFmtId="14" fontId="11" fillId="0" borderId="4" xfId="0" applyNumberFormat="1" applyFont="1" applyBorder="1" applyAlignment="1">
      <alignment horizontal="left" vertical="center" wrapText="1"/>
    </xf>
    <xf numFmtId="14" fontId="9" fillId="0" borderId="4" xfId="0" applyNumberFormat="1" applyFont="1" applyBorder="1" applyAlignment="1">
      <alignment horizontal="left" vertical="top"/>
    </xf>
    <xf numFmtId="0" fontId="11" fillId="34" borderId="4" xfId="0" applyFont="1" applyFill="1" applyBorder="1" applyAlignment="1">
      <alignment horizontal="left"/>
    </xf>
    <xf numFmtId="0" fontId="13" fillId="34" borderId="4" xfId="0" applyFont="1" applyFill="1" applyBorder="1" applyAlignment="1">
      <alignment horizontal="left" vertical="center" wrapText="1"/>
    </xf>
    <xf numFmtId="0" fontId="9" fillId="34" borderId="4" xfId="0" applyFont="1" applyFill="1" applyBorder="1" applyAlignment="1">
      <alignment horizontal="left" vertical="top"/>
    </xf>
    <xf numFmtId="14" fontId="5" fillId="34" borderId="4" xfId="0" applyNumberFormat="1" applyFont="1" applyFill="1" applyBorder="1" applyAlignment="1">
      <alignment horizontal="left" vertical="center" wrapText="1"/>
    </xf>
    <xf numFmtId="1" fontId="8" fillId="34" borderId="4" xfId="0" applyNumberFormat="1" applyFont="1" applyFill="1" applyBorder="1" applyAlignment="1">
      <alignment horizontal="left" vertical="top"/>
    </xf>
    <xf numFmtId="0" fontId="8" fillId="34" borderId="4" xfId="0" applyFont="1" applyFill="1" applyBorder="1" applyAlignment="1">
      <alignment horizontal="left" vertical="center"/>
    </xf>
    <xf numFmtId="14" fontId="8" fillId="34" borderId="4" xfId="0" applyNumberFormat="1" applyFont="1" applyFill="1" applyBorder="1" applyAlignment="1">
      <alignment horizontal="left" vertical="center"/>
    </xf>
    <xf numFmtId="0" fontId="10" fillId="34" borderId="4" xfId="0" applyFont="1" applyFill="1" applyBorder="1" applyAlignment="1">
      <alignment horizontal="left" wrapText="1"/>
    </xf>
    <xf numFmtId="14" fontId="13" fillId="15" borderId="4" xfId="0" applyNumberFormat="1" applyFont="1" applyFill="1" applyBorder="1" applyAlignment="1">
      <alignment horizontal="left" vertical="center" wrapText="1"/>
    </xf>
    <xf numFmtId="0" fontId="7" fillId="23" borderId="4" xfId="0" applyFont="1" applyFill="1" applyBorder="1" applyAlignment="1">
      <alignment horizontal="left" wrapText="1"/>
    </xf>
    <xf numFmtId="0" fontId="2" fillId="23" borderId="4" xfId="0" applyFont="1" applyFill="1" applyBorder="1" applyAlignment="1">
      <alignment horizontal="left" vertical="top" wrapText="1"/>
    </xf>
    <xf numFmtId="0" fontId="2" fillId="34" borderId="4" xfId="0" applyFont="1" applyFill="1" applyBorder="1" applyAlignment="1">
      <alignment horizontal="left" vertical="top" wrapText="1"/>
    </xf>
    <xf numFmtId="0" fontId="5" fillId="35" borderId="24" xfId="0" applyFont="1" applyFill="1" applyBorder="1" applyAlignment="1">
      <alignment horizontal="left" wrapText="1"/>
    </xf>
    <xf numFmtId="0" fontId="5" fillId="35" borderId="25" xfId="0" applyFont="1" applyFill="1" applyBorder="1" applyAlignment="1">
      <alignment horizontal="left" wrapText="1"/>
    </xf>
    <xf numFmtId="0" fontId="13" fillId="35" borderId="25" xfId="0" applyFont="1" applyFill="1" applyBorder="1" applyAlignment="1">
      <alignment horizontal="left" wrapText="1"/>
    </xf>
    <xf numFmtId="0" fontId="2" fillId="35" borderId="25" xfId="0" applyFont="1" applyFill="1" applyBorder="1" applyAlignment="1">
      <alignment horizontal="left" vertical="top" wrapText="1"/>
    </xf>
    <xf numFmtId="0" fontId="7" fillId="35" borderId="25" xfId="0" applyFont="1" applyFill="1" applyBorder="1" applyAlignment="1">
      <alignment horizontal="left" wrapText="1"/>
    </xf>
    <xf numFmtId="14" fontId="13" fillId="35" borderId="25" xfId="0" applyNumberFormat="1" applyFont="1" applyFill="1" applyBorder="1" applyAlignment="1">
      <alignment horizontal="left" wrapText="1"/>
    </xf>
    <xf numFmtId="0" fontId="2" fillId="35" borderId="25" xfId="0" applyFont="1" applyFill="1" applyBorder="1" applyAlignment="1">
      <alignment horizontal="left" wrapText="1"/>
    </xf>
    <xf numFmtId="0" fontId="7" fillId="35" borderId="25" xfId="0" applyFont="1" applyFill="1" applyBorder="1" applyAlignment="1">
      <alignment horizontal="left" vertical="top" wrapText="1"/>
    </xf>
    <xf numFmtId="14" fontId="2" fillId="35" borderId="25" xfId="0" applyNumberFormat="1" applyFont="1" applyFill="1" applyBorder="1" applyAlignment="1">
      <alignment horizontal="left" wrapText="1"/>
    </xf>
    <xf numFmtId="0" fontId="7" fillId="35" borderId="26" xfId="0" applyFont="1" applyFill="1" applyBorder="1" applyAlignment="1">
      <alignment horizontal="left" wrapText="1"/>
    </xf>
    <xf numFmtId="0" fontId="13" fillId="27" borderId="4" xfId="0" applyFont="1" applyFill="1" applyBorder="1" applyAlignment="1">
      <alignment horizontal="left" vertical="center" wrapText="1"/>
    </xf>
    <xf numFmtId="14" fontId="13" fillId="27" borderId="4" xfId="0" applyNumberFormat="1" applyFont="1" applyFill="1" applyBorder="1" applyAlignment="1">
      <alignment horizontal="left" vertical="center" wrapText="1"/>
    </xf>
    <xf numFmtId="0" fontId="11" fillId="33" borderId="33" xfId="0" applyFont="1" applyFill="1" applyBorder="1" applyAlignment="1">
      <alignment horizontal="left"/>
    </xf>
    <xf numFmtId="0" fontId="11" fillId="33" borderId="28" xfId="0" applyFont="1" applyFill="1" applyBorder="1" applyAlignment="1">
      <alignment horizontal="left"/>
    </xf>
    <xf numFmtId="0" fontId="11" fillId="33" borderId="28" xfId="0" applyFont="1" applyFill="1" applyBorder="1" applyAlignment="1">
      <alignment horizontal="left" vertical="center" wrapText="1"/>
    </xf>
    <xf numFmtId="0" fontId="9" fillId="33" borderId="28" xfId="0" applyFont="1" applyFill="1" applyBorder="1" applyAlignment="1">
      <alignment horizontal="left" vertical="top"/>
    </xf>
    <xf numFmtId="0" fontId="9" fillId="33" borderId="29" xfId="0" applyFont="1" applyFill="1" applyBorder="1" applyAlignment="1">
      <alignment horizontal="left" vertical="top"/>
    </xf>
    <xf numFmtId="14" fontId="11" fillId="33" borderId="28" xfId="0" applyNumberFormat="1" applyFont="1" applyFill="1" applyBorder="1" applyAlignment="1">
      <alignment horizontal="left" vertical="center" wrapText="1"/>
    </xf>
    <xf numFmtId="1" fontId="8" fillId="33" borderId="28" xfId="0" applyNumberFormat="1" applyFont="1" applyFill="1" applyBorder="1" applyAlignment="1">
      <alignment horizontal="left" vertical="top"/>
    </xf>
    <xf numFmtId="0" fontId="8" fillId="33" borderId="28" xfId="0" applyFont="1" applyFill="1" applyBorder="1" applyAlignment="1">
      <alignment horizontal="left" vertical="center"/>
    </xf>
    <xf numFmtId="14" fontId="9" fillId="33" borderId="28" xfId="0" applyNumberFormat="1" applyFont="1" applyFill="1" applyBorder="1" applyAlignment="1">
      <alignment horizontal="left"/>
    </xf>
    <xf numFmtId="0" fontId="10" fillId="33" borderId="28" xfId="0" applyFont="1" applyFill="1" applyBorder="1" applyAlignment="1">
      <alignment horizontal="left" wrapText="1"/>
    </xf>
    <xf numFmtId="0" fontId="9" fillId="33" borderId="26" xfId="0" applyFont="1" applyFill="1" applyBorder="1" applyAlignment="1">
      <alignment horizontal="left" vertical="top"/>
    </xf>
    <xf numFmtId="0" fontId="7" fillId="27" borderId="25" xfId="0" applyFont="1" applyFill="1" applyBorder="1" applyAlignment="1">
      <alignment horizontal="left" wrapText="1"/>
    </xf>
    <xf numFmtId="0" fontId="2" fillId="27" borderId="28" xfId="0" applyFont="1" applyFill="1" applyBorder="1" applyAlignment="1">
      <alignment horizontal="left" vertical="top" wrapText="1"/>
    </xf>
    <xf numFmtId="0" fontId="11" fillId="8" borderId="4" xfId="0" applyFont="1" applyFill="1" applyBorder="1" applyAlignment="1">
      <alignment horizontal="left"/>
    </xf>
    <xf numFmtId="0" fontId="11" fillId="8" borderId="4" xfId="0" applyFont="1" applyFill="1" applyBorder="1" applyAlignment="1">
      <alignment horizontal="left" vertical="center" wrapText="1"/>
    </xf>
    <xf numFmtId="14" fontId="11" fillId="8" borderId="4" xfId="0" applyNumberFormat="1" applyFont="1" applyFill="1" applyBorder="1" applyAlignment="1">
      <alignment horizontal="left" vertical="center" wrapText="1"/>
    </xf>
    <xf numFmtId="1" fontId="8" fillId="8" borderId="4" xfId="0" applyNumberFormat="1" applyFont="1" applyFill="1" applyBorder="1" applyAlignment="1">
      <alignment horizontal="left" vertical="top"/>
    </xf>
    <xf numFmtId="14" fontId="9" fillId="8" borderId="4" xfId="0" applyNumberFormat="1" applyFont="1" applyFill="1" applyBorder="1" applyAlignment="1">
      <alignment horizontal="left" vertical="top"/>
    </xf>
    <xf numFmtId="0" fontId="10" fillId="8" borderId="4" xfId="0" applyFont="1" applyFill="1" applyBorder="1" applyAlignment="1">
      <alignment horizontal="left" wrapText="1"/>
    </xf>
    <xf numFmtId="0" fontId="7" fillId="15" borderId="4" xfId="0" applyFont="1" applyFill="1" applyBorder="1" applyAlignment="1">
      <alignment wrapText="1"/>
    </xf>
    <xf numFmtId="0" fontId="7" fillId="15" borderId="4" xfId="0" applyFont="1" applyFill="1" applyBorder="1" applyAlignment="1">
      <alignment horizontal="right" wrapText="1"/>
    </xf>
    <xf numFmtId="14" fontId="11" fillId="15" borderId="4" xfId="0" applyNumberFormat="1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/>
    </xf>
    <xf numFmtId="0" fontId="9" fillId="8" borderId="4" xfId="0" applyFont="1" applyFill="1" applyBorder="1" applyAlignment="1">
      <alignment horizontal="left" vertical="top" wrapText="1"/>
    </xf>
    <xf numFmtId="0" fontId="11" fillId="8" borderId="34" xfId="0" applyFont="1" applyFill="1" applyBorder="1" applyAlignment="1">
      <alignment horizontal="left"/>
    </xf>
    <xf numFmtId="0" fontId="13" fillId="8" borderId="34" xfId="0" applyFont="1" applyFill="1" applyBorder="1" applyAlignment="1">
      <alignment horizontal="left" vertical="center"/>
    </xf>
    <xf numFmtId="0" fontId="9" fillId="8" borderId="34" xfId="0" applyFont="1" applyFill="1" applyBorder="1" applyAlignment="1">
      <alignment horizontal="left" vertical="top"/>
    </xf>
    <xf numFmtId="0" fontId="7" fillId="8" borderId="34" xfId="0" applyFont="1" applyFill="1" applyBorder="1" applyAlignment="1">
      <alignment wrapText="1"/>
    </xf>
    <xf numFmtId="0" fontId="7" fillId="8" borderId="34" xfId="0" applyFont="1" applyFill="1" applyBorder="1" applyAlignment="1">
      <alignment horizontal="right" wrapText="1"/>
    </xf>
    <xf numFmtId="14" fontId="13" fillId="8" borderId="34" xfId="0" applyNumberFormat="1" applyFont="1" applyFill="1" applyBorder="1" applyAlignment="1">
      <alignment horizontal="left" vertical="center"/>
    </xf>
    <xf numFmtId="14" fontId="9" fillId="8" borderId="34" xfId="0" applyNumberFormat="1" applyFont="1" applyFill="1" applyBorder="1" applyAlignment="1">
      <alignment horizontal="left" vertical="top"/>
    </xf>
    <xf numFmtId="0" fontId="9" fillId="25" borderId="34" xfId="0" applyFont="1" applyFill="1" applyBorder="1" applyAlignment="1">
      <alignment wrapText="1"/>
    </xf>
    <xf numFmtId="0" fontId="9" fillId="25" borderId="34" xfId="0" applyFont="1" applyFill="1" applyBorder="1" applyAlignment="1">
      <alignment vertical="top" wrapText="1"/>
    </xf>
    <xf numFmtId="0" fontId="9" fillId="25" borderId="34" xfId="0" applyFont="1" applyFill="1" applyBorder="1" applyAlignment="1">
      <alignment horizontal="left" vertical="top" wrapText="1"/>
    </xf>
    <xf numFmtId="0" fontId="11" fillId="27" borderId="35" xfId="0" applyFont="1" applyFill="1" applyBorder="1" applyAlignment="1">
      <alignment horizontal="left"/>
    </xf>
    <xf numFmtId="0" fontId="13" fillId="27" borderId="35" xfId="0" applyFont="1" applyFill="1" applyBorder="1" applyAlignment="1">
      <alignment horizontal="left" vertical="center" wrapText="1"/>
    </xf>
    <xf numFmtId="0" fontId="9" fillId="27" borderId="35" xfId="0" applyFont="1" applyFill="1" applyBorder="1" applyAlignment="1">
      <alignment horizontal="left" vertical="top"/>
    </xf>
    <xf numFmtId="14" fontId="13" fillId="27" borderId="35" xfId="0" applyNumberFormat="1" applyFont="1" applyFill="1" applyBorder="1" applyAlignment="1">
      <alignment horizontal="left" vertical="center" wrapText="1"/>
    </xf>
    <xf numFmtId="1" fontId="8" fillId="27" borderId="35" xfId="0" applyNumberFormat="1" applyFont="1" applyFill="1" applyBorder="1" applyAlignment="1">
      <alignment horizontal="left" vertical="top"/>
    </xf>
    <xf numFmtId="0" fontId="8" fillId="27" borderId="35" xfId="0" applyFont="1" applyFill="1" applyBorder="1" applyAlignment="1">
      <alignment horizontal="left" vertical="center"/>
    </xf>
    <xf numFmtId="14" fontId="8" fillId="27" borderId="35" xfId="0" applyNumberFormat="1" applyFont="1" applyFill="1" applyBorder="1" applyAlignment="1">
      <alignment horizontal="left" vertical="center"/>
    </xf>
    <xf numFmtId="0" fontId="10" fillId="27" borderId="35" xfId="0" applyFont="1" applyFill="1" applyBorder="1" applyAlignment="1">
      <alignment horizontal="left" wrapText="1"/>
    </xf>
    <xf numFmtId="0" fontId="9" fillId="6" borderId="35" xfId="0" applyFont="1" applyFill="1" applyBorder="1" applyAlignment="1">
      <alignment wrapText="1"/>
    </xf>
    <xf numFmtId="0" fontId="9" fillId="6" borderId="35" xfId="0" applyFont="1" applyFill="1" applyBorder="1" applyAlignment="1">
      <alignment vertical="top" wrapText="1"/>
    </xf>
    <xf numFmtId="0" fontId="9" fillId="6" borderId="35" xfId="0" applyFont="1" applyFill="1" applyBorder="1" applyAlignment="1">
      <alignment horizontal="left" vertical="top" wrapText="1"/>
    </xf>
    <xf numFmtId="0" fontId="11" fillId="7" borderId="35" xfId="0" applyFont="1" applyFill="1" applyBorder="1" applyAlignment="1">
      <alignment horizontal="left"/>
    </xf>
    <xf numFmtId="0" fontId="13" fillId="7" borderId="35" xfId="0" applyFont="1" applyFill="1" applyBorder="1" applyAlignment="1">
      <alignment horizontal="left" vertical="center" wrapText="1"/>
    </xf>
    <xf numFmtId="0" fontId="9" fillId="7" borderId="35" xfId="0" applyFont="1" applyFill="1" applyBorder="1" applyAlignment="1">
      <alignment horizontal="left" vertical="top"/>
    </xf>
    <xf numFmtId="14" fontId="13" fillId="7" borderId="35" xfId="0" applyNumberFormat="1" applyFont="1" applyFill="1" applyBorder="1" applyAlignment="1">
      <alignment horizontal="left" vertical="center" wrapText="1"/>
    </xf>
    <xf numFmtId="1" fontId="8" fillId="7" borderId="35" xfId="0" applyNumberFormat="1" applyFont="1" applyFill="1" applyBorder="1" applyAlignment="1">
      <alignment horizontal="left" vertical="top"/>
    </xf>
    <xf numFmtId="0" fontId="8" fillId="7" borderId="35" xfId="0" applyFont="1" applyFill="1" applyBorder="1" applyAlignment="1">
      <alignment horizontal="left" vertical="center"/>
    </xf>
    <xf numFmtId="14" fontId="8" fillId="7" borderId="35" xfId="0" applyNumberFormat="1" applyFont="1" applyFill="1" applyBorder="1" applyAlignment="1">
      <alignment horizontal="left" vertical="center"/>
    </xf>
    <xf numFmtId="0" fontId="10" fillId="7" borderId="35" xfId="0" applyFont="1" applyFill="1" applyBorder="1" applyAlignment="1">
      <alignment horizontal="left" wrapText="1"/>
    </xf>
    <xf numFmtId="0" fontId="9" fillId="8" borderId="35" xfId="0" applyFont="1" applyFill="1" applyBorder="1" applyAlignment="1">
      <alignment horizontal="left" wrapText="1"/>
    </xf>
    <xf numFmtId="0" fontId="9" fillId="8" borderId="35" xfId="0" applyFont="1" applyFill="1" applyBorder="1" applyAlignment="1">
      <alignment horizontal="left" vertical="top" wrapText="1"/>
    </xf>
    <xf numFmtId="0" fontId="9" fillId="8" borderId="35" xfId="0" applyFont="1" applyFill="1" applyBorder="1" applyAlignment="1">
      <alignment horizontal="left"/>
    </xf>
    <xf numFmtId="0" fontId="18" fillId="8" borderId="35" xfId="0" applyFont="1" applyFill="1" applyBorder="1" applyAlignment="1">
      <alignment wrapText="1"/>
    </xf>
    <xf numFmtId="0" fontId="18" fillId="8" borderId="35" xfId="0" applyFont="1" applyFill="1" applyBorder="1" applyAlignment="1">
      <alignment horizontal="left" wrapText="1"/>
    </xf>
    <xf numFmtId="0" fontId="9" fillId="8" borderId="35" xfId="0" applyFont="1" applyFill="1" applyBorder="1" applyAlignment="1">
      <alignment horizontal="left" vertical="top"/>
    </xf>
    <xf numFmtId="0" fontId="2" fillId="8" borderId="35" xfId="0" applyFont="1" applyFill="1" applyBorder="1" applyAlignment="1">
      <alignment horizontal="left" wrapText="1"/>
    </xf>
    <xf numFmtId="14" fontId="18" fillId="8" borderId="35" xfId="0" applyNumberFormat="1" applyFont="1" applyFill="1" applyBorder="1" applyAlignment="1">
      <alignment horizontal="left" wrapText="1"/>
    </xf>
    <xf numFmtId="1" fontId="9" fillId="8" borderId="35" xfId="0" applyNumberFormat="1" applyFont="1" applyFill="1" applyBorder="1" applyAlignment="1">
      <alignment horizontal="left" vertical="top"/>
    </xf>
    <xf numFmtId="0" fontId="2" fillId="8" borderId="35" xfId="0" applyFont="1" applyFill="1" applyBorder="1" applyAlignment="1">
      <alignment horizontal="left"/>
    </xf>
    <xf numFmtId="0" fontId="2" fillId="8" borderId="35" xfId="0" applyFont="1" applyFill="1" applyBorder="1" applyAlignment="1">
      <alignment horizontal="left" vertical="center"/>
    </xf>
    <xf numFmtId="14" fontId="2" fillId="8" borderId="35" xfId="0" applyNumberFormat="1" applyFont="1" applyFill="1" applyBorder="1" applyAlignment="1">
      <alignment horizontal="left" vertical="center" wrapText="1"/>
    </xf>
    <xf numFmtId="0" fontId="2" fillId="34" borderId="35" xfId="0" applyFont="1" applyFill="1" applyBorder="1" applyAlignment="1">
      <alignment horizontal="left" vertical="center"/>
    </xf>
    <xf numFmtId="0" fontId="2" fillId="34" borderId="35" xfId="0" applyFont="1" applyFill="1" applyBorder="1" applyAlignment="1">
      <alignment horizontal="left"/>
    </xf>
    <xf numFmtId="0" fontId="9" fillId="34" borderId="35" xfId="0" applyFont="1" applyFill="1" applyBorder="1" applyAlignment="1">
      <alignment horizontal="left" vertical="top"/>
    </xf>
    <xf numFmtId="0" fontId="9" fillId="32" borderId="4" xfId="0" applyFont="1" applyFill="1" applyBorder="1" applyAlignment="1">
      <alignment horizontal="left"/>
    </xf>
    <xf numFmtId="0" fontId="0" fillId="32" borderId="4" xfId="0" applyFill="1" applyBorder="1" applyAlignment="1">
      <alignment horizontal="left"/>
    </xf>
    <xf numFmtId="0" fontId="9" fillId="32" borderId="4" xfId="0" applyFont="1" applyFill="1" applyBorder="1" applyAlignment="1">
      <alignment horizontal="left" vertical="top"/>
    </xf>
    <xf numFmtId="0" fontId="7" fillId="32" borderId="4" xfId="0" applyFont="1" applyFill="1" applyBorder="1" applyAlignment="1">
      <alignment wrapText="1"/>
    </xf>
    <xf numFmtId="0" fontId="7" fillId="32" borderId="4" xfId="0" applyFont="1" applyFill="1" applyBorder="1" applyAlignment="1">
      <alignment horizontal="right" wrapText="1"/>
    </xf>
    <xf numFmtId="14" fontId="0" fillId="32" borderId="4" xfId="0" applyNumberFormat="1" applyFill="1" applyBorder="1" applyAlignment="1">
      <alignment horizontal="left"/>
    </xf>
    <xf numFmtId="1" fontId="9" fillId="32" borderId="4" xfId="0" applyNumberFormat="1" applyFont="1" applyFill="1" applyBorder="1" applyAlignment="1">
      <alignment horizontal="left" vertical="top"/>
    </xf>
    <xf numFmtId="0" fontId="2" fillId="32" borderId="4" xfId="0" applyFont="1" applyFill="1" applyBorder="1" applyAlignment="1">
      <alignment horizontal="left"/>
    </xf>
    <xf numFmtId="0" fontId="2" fillId="32" borderId="4" xfId="0" applyFont="1" applyFill="1" applyBorder="1" applyAlignment="1">
      <alignment horizontal="left" vertical="center"/>
    </xf>
    <xf numFmtId="14" fontId="2" fillId="32" borderId="4" xfId="0" applyNumberFormat="1" applyFont="1" applyFill="1" applyBorder="1" applyAlignment="1">
      <alignment horizontal="left" vertical="center" wrapText="1"/>
    </xf>
    <xf numFmtId="0" fontId="2" fillId="32" borderId="4" xfId="0" applyFont="1" applyFill="1" applyBorder="1" applyAlignment="1">
      <alignment horizontal="left" wrapText="1"/>
    </xf>
    <xf numFmtId="0" fontId="9" fillId="32" borderId="4" xfId="0" applyFont="1" applyFill="1" applyBorder="1" applyAlignment="1">
      <alignment horizontal="left" vertical="top" wrapText="1"/>
    </xf>
    <xf numFmtId="0" fontId="9" fillId="35" borderId="33" xfId="0" applyFont="1" applyFill="1" applyBorder="1" applyAlignment="1">
      <alignment horizontal="left"/>
    </xf>
    <xf numFmtId="0" fontId="9" fillId="35" borderId="28" xfId="0" applyFont="1" applyFill="1" applyBorder="1" applyAlignment="1">
      <alignment horizontal="left"/>
    </xf>
    <xf numFmtId="0" fontId="0" fillId="35" borderId="28" xfId="0" applyFill="1" applyBorder="1"/>
    <xf numFmtId="0" fontId="0" fillId="35" borderId="28" xfId="0" applyFill="1" applyBorder="1" applyAlignment="1">
      <alignment horizontal="left"/>
    </xf>
    <xf numFmtId="0" fontId="9" fillId="35" borderId="28" xfId="0" applyFont="1" applyFill="1" applyBorder="1" applyAlignment="1">
      <alignment horizontal="left" vertical="top"/>
    </xf>
    <xf numFmtId="14" fontId="0" fillId="35" borderId="28" xfId="0" applyNumberFormat="1" applyFill="1" applyBorder="1"/>
    <xf numFmtId="1" fontId="9" fillId="35" borderId="28" xfId="0" applyNumberFormat="1" applyFont="1" applyFill="1" applyBorder="1" applyAlignment="1">
      <alignment horizontal="left" vertical="top"/>
    </xf>
    <xf numFmtId="0" fontId="3" fillId="35" borderId="28" xfId="0" applyFont="1" applyFill="1" applyBorder="1" applyAlignment="1">
      <alignment horizontal="left" vertical="center"/>
    </xf>
    <xf numFmtId="0" fontId="3" fillId="35" borderId="28" xfId="0" applyFont="1" applyFill="1" applyBorder="1" applyAlignment="1">
      <alignment horizontal="left" wrapText="1"/>
    </xf>
    <xf numFmtId="14" fontId="3" fillId="35" borderId="28" xfId="0" applyNumberFormat="1" applyFont="1" applyFill="1" applyBorder="1" applyAlignment="1">
      <alignment horizontal="left" vertical="top" wrapText="1"/>
    </xf>
    <xf numFmtId="0" fontId="9" fillId="35" borderId="26" xfId="0" applyFont="1" applyFill="1" applyBorder="1" applyAlignment="1">
      <alignment horizontal="left" vertical="top"/>
    </xf>
    <xf numFmtId="0" fontId="7" fillId="27" borderId="25" xfId="0" applyFont="1" applyFill="1" applyBorder="1" applyAlignment="1">
      <alignment wrapText="1"/>
    </xf>
    <xf numFmtId="0" fontId="2" fillId="27" borderId="28" xfId="0" applyFont="1" applyFill="1" applyBorder="1" applyAlignment="1">
      <alignment wrapText="1"/>
    </xf>
    <xf numFmtId="0" fontId="2" fillId="27" borderId="28" xfId="0" applyFont="1" applyFill="1" applyBorder="1" applyAlignment="1">
      <alignment vertical="top" wrapText="1"/>
    </xf>
    <xf numFmtId="0" fontId="7" fillId="27" borderId="4" xfId="0" applyFont="1" applyFill="1" applyBorder="1" applyAlignment="1">
      <alignment wrapText="1"/>
    </xf>
    <xf numFmtId="0" fontId="2" fillId="13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left" wrapText="1"/>
    </xf>
    <xf numFmtId="0" fontId="9" fillId="27" borderId="4" xfId="0" applyFont="1" applyFill="1" applyBorder="1" applyAlignment="1">
      <alignment horizontal="left"/>
    </xf>
    <xf numFmtId="0" fontId="7" fillId="27" borderId="4" xfId="0" applyFont="1" applyFill="1" applyBorder="1" applyAlignment="1">
      <alignment horizontal="right" wrapText="1"/>
    </xf>
    <xf numFmtId="1" fontId="9" fillId="27" borderId="4" xfId="0" applyNumberFormat="1" applyFont="1" applyFill="1" applyBorder="1" applyAlignment="1">
      <alignment horizontal="left" vertical="top"/>
    </xf>
    <xf numFmtId="0" fontId="3" fillId="27" borderId="4" xfId="0" applyFont="1" applyFill="1" applyBorder="1" applyAlignment="1">
      <alignment horizontal="left" vertical="center"/>
    </xf>
    <xf numFmtId="14" fontId="3" fillId="27" borderId="4" xfId="0" applyNumberFormat="1" applyFont="1" applyFill="1" applyBorder="1" applyAlignment="1">
      <alignment horizontal="left" vertical="top" wrapText="1"/>
    </xf>
    <xf numFmtId="0" fontId="2" fillId="27" borderId="4" xfId="0" applyFont="1" applyFill="1" applyBorder="1" applyAlignment="1">
      <alignment horizontal="left"/>
    </xf>
    <xf numFmtId="14" fontId="2" fillId="27" borderId="4" xfId="0" applyNumberFormat="1" applyFont="1" applyFill="1" applyBorder="1" applyAlignment="1">
      <alignment horizontal="left"/>
    </xf>
    <xf numFmtId="1" fontId="2" fillId="27" borderId="4" xfId="0" applyNumberFormat="1" applyFont="1" applyFill="1" applyBorder="1" applyAlignment="1">
      <alignment horizontal="left" vertical="top"/>
    </xf>
    <xf numFmtId="0" fontId="5" fillId="27" borderId="4" xfId="0" applyFont="1" applyFill="1" applyBorder="1" applyAlignment="1">
      <alignment horizontal="left" vertical="center" wrapText="1"/>
    </xf>
    <xf numFmtId="14" fontId="5" fillId="27" borderId="4" xfId="0" applyNumberFormat="1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/>
    </xf>
    <xf numFmtId="0" fontId="2" fillId="27" borderId="4" xfId="0" applyFont="1" applyFill="1" applyBorder="1" applyAlignment="1">
      <alignment horizontal="left" wrapText="1"/>
    </xf>
    <xf numFmtId="0" fontId="2" fillId="13" borderId="4" xfId="0" applyFont="1" applyFill="1" applyBorder="1" applyAlignment="1">
      <alignment horizontal="left" vertical="top"/>
    </xf>
    <xf numFmtId="1" fontId="2" fillId="13" borderId="4" xfId="0" applyNumberFormat="1" applyFont="1" applyFill="1" applyBorder="1" applyAlignment="1">
      <alignment horizontal="left" vertical="top"/>
    </xf>
    <xf numFmtId="0" fontId="3" fillId="13" borderId="4" xfId="0" applyFont="1" applyFill="1" applyBorder="1" applyAlignment="1">
      <alignment horizontal="left" vertical="center"/>
    </xf>
    <xf numFmtId="14" fontId="3" fillId="13" borderId="4" xfId="0" applyNumberFormat="1" applyFont="1" applyFill="1" applyBorder="1" applyAlignment="1">
      <alignment horizontal="left" vertical="top" wrapText="1"/>
    </xf>
    <xf numFmtId="0" fontId="2" fillId="8" borderId="4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/>
    </xf>
    <xf numFmtId="0" fontId="18" fillId="12" borderId="33" xfId="0" applyFont="1" applyFill="1" applyBorder="1" applyAlignment="1">
      <alignment horizontal="left" wrapText="1"/>
    </xf>
    <xf numFmtId="0" fontId="18" fillId="12" borderId="28" xfId="0" applyFont="1" applyFill="1" applyBorder="1" applyAlignment="1">
      <alignment horizontal="left" wrapText="1"/>
    </xf>
    <xf numFmtId="0" fontId="18" fillId="12" borderId="28" xfId="0" applyFont="1" applyFill="1" applyBorder="1" applyAlignment="1">
      <alignment horizontal="left" vertical="top" wrapText="1"/>
    </xf>
    <xf numFmtId="0" fontId="18" fillId="12" borderId="26" xfId="0" applyFont="1" applyFill="1" applyBorder="1" applyAlignment="1">
      <alignment horizontal="left" wrapText="1"/>
    </xf>
    <xf numFmtId="0" fontId="18" fillId="12" borderId="25" xfId="0" applyFont="1" applyFill="1" applyBorder="1" applyAlignment="1">
      <alignment horizontal="left" wrapText="1"/>
    </xf>
    <xf numFmtId="14" fontId="18" fillId="12" borderId="28" xfId="0" applyNumberFormat="1" applyFont="1" applyFill="1" applyBorder="1" applyAlignment="1">
      <alignment horizontal="left" wrapText="1"/>
    </xf>
    <xf numFmtId="0" fontId="2" fillId="27" borderId="28" xfId="0" applyFont="1" applyFill="1" applyBorder="1" applyAlignment="1">
      <alignment horizontal="left" wrapText="1"/>
    </xf>
    <xf numFmtId="0" fontId="13" fillId="27" borderId="4" xfId="0" applyFont="1" applyFill="1" applyBorder="1" applyAlignment="1">
      <alignment horizontal="left" vertical="center"/>
    </xf>
    <xf numFmtId="14" fontId="13" fillId="27" borderId="4" xfId="0" applyNumberFormat="1" applyFont="1" applyFill="1" applyBorder="1" applyAlignment="1">
      <alignment horizontal="left" vertical="center"/>
    </xf>
    <xf numFmtId="0" fontId="7" fillId="27" borderId="4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 vertical="top"/>
    </xf>
    <xf numFmtId="0" fontId="2" fillId="23" borderId="4" xfId="0" applyFont="1" applyFill="1" applyBorder="1" applyAlignment="1">
      <alignment horizontal="left"/>
    </xf>
    <xf numFmtId="0" fontId="13" fillId="23" borderId="4" xfId="0" applyFont="1" applyFill="1" applyBorder="1" applyAlignment="1">
      <alignment horizontal="left" vertical="center" wrapText="1"/>
    </xf>
    <xf numFmtId="0" fontId="2" fillId="23" borderId="4" xfId="0" applyFont="1" applyFill="1" applyBorder="1" applyAlignment="1">
      <alignment horizontal="left" vertical="top"/>
    </xf>
    <xf numFmtId="14" fontId="2" fillId="23" borderId="4" xfId="0" applyNumberFormat="1" applyFont="1" applyFill="1" applyBorder="1" applyAlignment="1">
      <alignment horizontal="left"/>
    </xf>
    <xf numFmtId="14" fontId="2" fillId="13" borderId="4" xfId="0" applyNumberFormat="1" applyFont="1" applyFill="1" applyBorder="1" applyAlignment="1">
      <alignment horizontal="left" wrapText="1"/>
    </xf>
    <xf numFmtId="0" fontId="2" fillId="13" borderId="4" xfId="0" applyFont="1" applyFill="1" applyBorder="1" applyAlignment="1">
      <alignment horizontal="left" vertical="top" wrapText="1"/>
    </xf>
    <xf numFmtId="14" fontId="13" fillId="13" borderId="4" xfId="0" applyNumberFormat="1" applyFont="1" applyFill="1" applyBorder="1" applyAlignment="1">
      <alignment horizontal="left" wrapText="1"/>
    </xf>
    <xf numFmtId="0" fontId="7" fillId="13" borderId="4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/>
    </xf>
    <xf numFmtId="0" fontId="7" fillId="8" borderId="26" xfId="0" applyFont="1" applyFill="1" applyBorder="1" applyAlignment="1">
      <alignment wrapText="1"/>
    </xf>
    <xf numFmtId="0" fontId="7" fillId="8" borderId="26" xfId="0" applyFont="1" applyFill="1" applyBorder="1" applyAlignment="1">
      <alignment horizontal="right" wrapText="1"/>
    </xf>
    <xf numFmtId="14" fontId="0" fillId="8" borderId="4" xfId="0" applyNumberFormat="1" applyFill="1" applyBorder="1" applyAlignment="1">
      <alignment horizontal="left"/>
    </xf>
    <xf numFmtId="14" fontId="2" fillId="8" borderId="4" xfId="0" applyNumberFormat="1" applyFont="1" applyFill="1" applyBorder="1" applyAlignment="1">
      <alignment horizontal="left"/>
    </xf>
    <xf numFmtId="0" fontId="2" fillId="19" borderId="4" xfId="0" applyFont="1" applyFill="1" applyBorder="1" applyAlignment="1">
      <alignment horizontal="left"/>
    </xf>
    <xf numFmtId="0" fontId="2" fillId="19" borderId="4" xfId="0" applyFont="1" applyFill="1" applyBorder="1" applyAlignment="1">
      <alignment horizontal="left" vertical="top"/>
    </xf>
    <xf numFmtId="0" fontId="13" fillId="23" borderId="4" xfId="0" applyFont="1" applyFill="1" applyBorder="1" applyAlignment="1">
      <alignment vertical="center" wrapText="1"/>
    </xf>
    <xf numFmtId="0" fontId="7" fillId="23" borderId="29" xfId="0" applyFont="1" applyFill="1" applyBorder="1" applyAlignment="1">
      <alignment horizontal="left" wrapText="1"/>
    </xf>
    <xf numFmtId="0" fontId="7" fillId="23" borderId="28" xfId="0" applyFont="1" applyFill="1" applyBorder="1" applyAlignment="1">
      <alignment horizontal="left" wrapText="1"/>
    </xf>
    <xf numFmtId="14" fontId="13" fillId="23" borderId="4" xfId="0" applyNumberFormat="1" applyFont="1" applyFill="1" applyBorder="1" applyAlignment="1">
      <alignment horizontal="right" vertical="center" wrapText="1"/>
    </xf>
    <xf numFmtId="0" fontId="2" fillId="27" borderId="35" xfId="0" applyFont="1" applyFill="1" applyBorder="1" applyAlignment="1">
      <alignment horizontal="left"/>
    </xf>
    <xf numFmtId="0" fontId="5" fillId="27" borderId="35" xfId="0" applyFont="1" applyFill="1" applyBorder="1" applyAlignment="1">
      <alignment horizontal="left" vertical="center" wrapText="1"/>
    </xf>
    <xf numFmtId="0" fontId="2" fillId="27" borderId="35" xfId="0" applyFont="1" applyFill="1" applyBorder="1" applyAlignment="1">
      <alignment horizontal="left" vertical="top"/>
    </xf>
    <xf numFmtId="0" fontId="7" fillId="27" borderId="35" xfId="0" applyFont="1" applyFill="1" applyBorder="1" applyAlignment="1">
      <alignment horizontal="left" wrapText="1"/>
    </xf>
    <xf numFmtId="14" fontId="5" fillId="27" borderId="35" xfId="0" applyNumberFormat="1" applyFont="1" applyFill="1" applyBorder="1" applyAlignment="1">
      <alignment horizontal="left" vertical="center" wrapText="1"/>
    </xf>
    <xf numFmtId="14" fontId="2" fillId="27" borderId="35" xfId="0" applyNumberFormat="1" applyFont="1" applyFill="1" applyBorder="1" applyAlignment="1">
      <alignment horizontal="left"/>
    </xf>
    <xf numFmtId="0" fontId="0" fillId="27" borderId="35" xfId="0" applyFill="1" applyBorder="1" applyAlignment="1">
      <alignment horizontal="left"/>
    </xf>
    <xf numFmtId="0" fontId="0" fillId="26" borderId="35" xfId="0" applyFill="1" applyBorder="1" applyAlignment="1">
      <alignment horizontal="left"/>
    </xf>
    <xf numFmtId="0" fontId="3" fillId="26" borderId="35" xfId="0" applyFont="1" applyFill="1" applyBorder="1" applyAlignment="1">
      <alignment horizontal="left" vertical="top" wrapText="1"/>
    </xf>
    <xf numFmtId="0" fontId="3" fillId="26" borderId="35" xfId="0" applyFont="1" applyFill="1" applyBorder="1" applyAlignment="1">
      <alignment horizontal="left" wrapText="1"/>
    </xf>
    <xf numFmtId="0" fontId="2" fillId="26" borderId="35" xfId="0" applyFont="1" applyFill="1" applyBorder="1" applyAlignment="1">
      <alignment horizontal="left" vertical="top"/>
    </xf>
    <xf numFmtId="0" fontId="2" fillId="15" borderId="35" xfId="0" applyFont="1" applyFill="1" applyBorder="1" applyAlignment="1">
      <alignment wrapText="1"/>
    </xf>
    <xf numFmtId="0" fontId="5" fillId="15" borderId="35" xfId="0" applyFont="1" applyFill="1" applyBorder="1" applyAlignment="1">
      <alignment wrapText="1"/>
    </xf>
    <xf numFmtId="0" fontId="2" fillId="15" borderId="35" xfId="0" applyFont="1" applyFill="1" applyBorder="1" applyAlignment="1">
      <alignment vertical="top" wrapText="1"/>
    </xf>
    <xf numFmtId="14" fontId="5" fillId="15" borderId="35" xfId="0" applyNumberFormat="1" applyFont="1" applyFill="1" applyBorder="1" applyAlignment="1">
      <alignment wrapText="1"/>
    </xf>
    <xf numFmtId="0" fontId="7" fillId="15" borderId="35" xfId="0" applyFont="1" applyFill="1" applyBorder="1" applyAlignment="1">
      <alignment vertical="top" wrapText="1"/>
    </xf>
    <xf numFmtId="14" fontId="2" fillId="15" borderId="35" xfId="0" applyNumberFormat="1" applyFont="1" applyFill="1" applyBorder="1" applyAlignment="1">
      <alignment wrapText="1"/>
    </xf>
    <xf numFmtId="0" fontId="7" fillId="15" borderId="35" xfId="0" applyFont="1" applyFill="1" applyBorder="1" applyAlignment="1">
      <alignment wrapText="1"/>
    </xf>
    <xf numFmtId="0" fontId="13" fillId="26" borderId="4" xfId="0" applyFont="1" applyFill="1" applyBorder="1" applyAlignment="1">
      <alignment horizontal="left" vertical="center" wrapText="1"/>
    </xf>
    <xf numFmtId="14" fontId="13" fillId="26" borderId="4" xfId="0" applyNumberFormat="1" applyFont="1" applyFill="1" applyBorder="1" applyAlignment="1">
      <alignment horizontal="left" vertical="center" wrapText="1"/>
    </xf>
    <xf numFmtId="0" fontId="3" fillId="26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14" fontId="13" fillId="3" borderId="4" xfId="0" applyNumberFormat="1" applyFont="1" applyFill="1" applyBorder="1" applyAlignment="1">
      <alignment horizontal="left" vertical="center" wrapText="1"/>
    </xf>
    <xf numFmtId="14" fontId="2" fillId="3" borderId="4" xfId="0" applyNumberFormat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vertical="center" wrapText="1"/>
    </xf>
    <xf numFmtId="14" fontId="13" fillId="3" borderId="4" xfId="0" applyNumberFormat="1" applyFont="1" applyFill="1" applyBorder="1" applyAlignment="1">
      <alignment horizontal="right" vertical="center" wrapText="1"/>
    </xf>
    <xf numFmtId="0" fontId="2" fillId="0" borderId="33" xfId="0" applyFont="1" applyBorder="1"/>
    <xf numFmtId="0" fontId="2" fillId="0" borderId="28" xfId="0" applyFont="1" applyBorder="1"/>
    <xf numFmtId="0" fontId="18" fillId="0" borderId="28" xfId="0" applyFont="1" applyBorder="1"/>
    <xf numFmtId="0" fontId="18" fillId="0" borderId="28" xfId="0" applyFont="1" applyBorder="1" applyAlignment="1">
      <alignment horizontal="right"/>
    </xf>
    <xf numFmtId="0" fontId="2" fillId="0" borderId="28" xfId="0" applyFont="1" applyBorder="1" applyAlignment="1">
      <alignment vertical="top"/>
    </xf>
    <xf numFmtId="14" fontId="18" fillId="0" borderId="28" xfId="0" applyNumberFormat="1" applyFont="1" applyBorder="1" applyAlignment="1">
      <alignment horizontal="right"/>
    </xf>
    <xf numFmtId="0" fontId="7" fillId="0" borderId="28" xfId="0" applyFont="1" applyBorder="1"/>
    <xf numFmtId="14" fontId="2" fillId="3" borderId="28" xfId="0" applyNumberFormat="1" applyFont="1" applyFill="1" applyBorder="1"/>
    <xf numFmtId="0" fontId="2" fillId="3" borderId="28" xfId="0" applyFont="1" applyFill="1" applyBorder="1" applyAlignment="1">
      <alignment vertical="top"/>
    </xf>
    <xf numFmtId="0" fontId="2" fillId="3" borderId="28" xfId="0" applyFont="1" applyFill="1" applyBorder="1"/>
    <xf numFmtId="0" fontId="7" fillId="3" borderId="28" xfId="0" applyFont="1" applyFill="1" applyBorder="1"/>
    <xf numFmtId="0" fontId="18" fillId="0" borderId="4" xfId="0" applyFont="1" applyBorder="1" applyAlignment="1">
      <alignment vertical="center"/>
    </xf>
    <xf numFmtId="14" fontId="18" fillId="0" borderId="4" xfId="0" applyNumberFormat="1" applyFont="1" applyBorder="1" applyAlignment="1">
      <alignment horizontal="right" vertical="center"/>
    </xf>
    <xf numFmtId="0" fontId="2" fillId="3" borderId="28" xfId="0" applyFont="1" applyFill="1" applyBorder="1" applyAlignment="1">
      <alignment vertical="top" wrapText="1"/>
    </xf>
    <xf numFmtId="0" fontId="2" fillId="26" borderId="6" xfId="0" applyFont="1" applyFill="1" applyBorder="1" applyAlignment="1">
      <alignment horizontal="left"/>
    </xf>
    <xf numFmtId="0" fontId="13" fillId="26" borderId="6" xfId="0" applyFont="1" applyFill="1" applyBorder="1" applyAlignment="1">
      <alignment horizontal="left" vertical="center" wrapText="1"/>
    </xf>
    <xf numFmtId="0" fontId="13" fillId="26" borderId="6" xfId="0" applyFont="1" applyFill="1" applyBorder="1" applyAlignment="1">
      <alignment horizontal="left" vertical="center"/>
    </xf>
    <xf numFmtId="0" fontId="2" fillId="26" borderId="6" xfId="0" applyFont="1" applyFill="1" applyBorder="1" applyAlignment="1">
      <alignment horizontal="left" vertical="top"/>
    </xf>
    <xf numFmtId="0" fontId="0" fillId="26" borderId="6" xfId="0" applyFill="1" applyBorder="1"/>
    <xf numFmtId="14" fontId="13" fillId="26" borderId="6" xfId="0" applyNumberFormat="1" applyFont="1" applyFill="1" applyBorder="1" applyAlignment="1">
      <alignment horizontal="left" vertical="center" wrapText="1"/>
    </xf>
    <xf numFmtId="14" fontId="2" fillId="26" borderId="6" xfId="0" applyNumberFormat="1" applyFont="1" applyFill="1" applyBorder="1" applyAlignment="1">
      <alignment horizontal="left"/>
    </xf>
    <xf numFmtId="0" fontId="0" fillId="26" borderId="6" xfId="0" applyFill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left" vertical="center" wrapText="1"/>
    </xf>
    <xf numFmtId="1" fontId="1" fillId="4" borderId="6" xfId="0" applyNumberFormat="1" applyFont="1" applyFill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 wrapText="1"/>
    </xf>
    <xf numFmtId="0" fontId="11" fillId="27" borderId="5" xfId="0" applyFont="1" applyFill="1" applyBorder="1" applyAlignment="1">
      <alignment horizontal="left"/>
    </xf>
    <xf numFmtId="0" fontId="16" fillId="27" borderId="5" xfId="0" applyFont="1" applyFill="1" applyBorder="1" applyAlignment="1">
      <alignment horizontal="left" vertical="center"/>
    </xf>
    <xf numFmtId="0" fontId="9" fillId="27" borderId="5" xfId="0" applyFont="1" applyFill="1" applyBorder="1" applyAlignment="1">
      <alignment horizontal="left" vertical="top"/>
    </xf>
    <xf numFmtId="14" fontId="16" fillId="27" borderId="5" xfId="0" applyNumberFormat="1" applyFont="1" applyFill="1" applyBorder="1" applyAlignment="1">
      <alignment horizontal="left" vertical="center"/>
    </xf>
    <xf numFmtId="1" fontId="8" fillId="27" borderId="5" xfId="0" applyNumberFormat="1" applyFont="1" applyFill="1" applyBorder="1" applyAlignment="1">
      <alignment horizontal="left" vertical="top"/>
    </xf>
    <xf numFmtId="0" fontId="1" fillId="27" borderId="5" xfId="0" applyFont="1" applyFill="1" applyBorder="1" applyAlignment="1">
      <alignment horizontal="left" vertical="center"/>
    </xf>
    <xf numFmtId="14" fontId="1" fillId="27" borderId="5" xfId="0" applyNumberFormat="1" applyFont="1" applyFill="1" applyBorder="1" applyAlignment="1">
      <alignment horizontal="left" vertical="center"/>
    </xf>
    <xf numFmtId="0" fontId="3" fillId="27" borderId="5" xfId="0" applyFont="1" applyFill="1" applyBorder="1" applyAlignment="1">
      <alignment horizontal="left" wrapText="1"/>
    </xf>
    <xf numFmtId="0" fontId="9" fillId="13" borderId="5" xfId="0" applyFont="1" applyFill="1" applyBorder="1" applyAlignment="1">
      <alignment horizontal="left" vertical="top"/>
    </xf>
    <xf numFmtId="0" fontId="1" fillId="13" borderId="5" xfId="0" applyFont="1" applyFill="1" applyBorder="1" applyAlignment="1">
      <alignment horizontal="left" vertical="center"/>
    </xf>
    <xf numFmtId="0" fontId="11" fillId="13" borderId="6" xfId="0" applyFont="1" applyFill="1" applyBorder="1" applyAlignment="1">
      <alignment horizontal="left"/>
    </xf>
    <xf numFmtId="0" fontId="13" fillId="13" borderId="6" xfId="0" applyFont="1" applyFill="1" applyBorder="1" applyAlignment="1">
      <alignment horizontal="left" vertical="center" wrapText="1"/>
    </xf>
    <xf numFmtId="0" fontId="9" fillId="13" borderId="6" xfId="0" applyFont="1" applyFill="1" applyBorder="1" applyAlignment="1">
      <alignment horizontal="left" vertical="top"/>
    </xf>
    <xf numFmtId="14" fontId="13" fillId="13" borderId="6" xfId="0" applyNumberFormat="1" applyFont="1" applyFill="1" applyBorder="1" applyAlignment="1">
      <alignment horizontal="left" vertical="center" wrapText="1"/>
    </xf>
    <xf numFmtId="1" fontId="8" fillId="13" borderId="6" xfId="0" applyNumberFormat="1" applyFont="1" applyFill="1" applyBorder="1" applyAlignment="1">
      <alignment horizontal="left" vertical="top"/>
    </xf>
    <xf numFmtId="0" fontId="1" fillId="13" borderId="6" xfId="0" applyFont="1" applyFill="1" applyBorder="1" applyAlignment="1">
      <alignment horizontal="left" vertical="center"/>
    </xf>
    <xf numFmtId="14" fontId="1" fillId="13" borderId="6" xfId="0" applyNumberFormat="1" applyFont="1" applyFill="1" applyBorder="1" applyAlignment="1">
      <alignment horizontal="left" vertical="center"/>
    </xf>
    <xf numFmtId="0" fontId="3" fillId="13" borderId="6" xfId="0" applyFont="1" applyFill="1" applyBorder="1" applyAlignment="1">
      <alignment horizontal="left" wrapText="1"/>
    </xf>
    <xf numFmtId="0" fontId="9" fillId="13" borderId="6" xfId="0" applyFont="1" applyFill="1" applyBorder="1" applyAlignment="1">
      <alignment horizontal="left"/>
    </xf>
    <xf numFmtId="0" fontId="11" fillId="13" borderId="5" xfId="0" applyFont="1" applyFill="1" applyBorder="1" applyAlignment="1">
      <alignment horizontal="left"/>
    </xf>
    <xf numFmtId="0" fontId="13" fillId="13" borderId="5" xfId="0" applyFont="1" applyFill="1" applyBorder="1" applyAlignment="1">
      <alignment horizontal="left" vertical="center" wrapText="1"/>
    </xf>
    <xf numFmtId="0" fontId="7" fillId="13" borderId="5" xfId="0" applyFont="1" applyFill="1" applyBorder="1" applyAlignment="1">
      <alignment horizontal="left" wrapText="1"/>
    </xf>
    <xf numFmtId="14" fontId="13" fillId="13" borderId="5" xfId="0" applyNumberFormat="1" applyFont="1" applyFill="1" applyBorder="1" applyAlignment="1">
      <alignment horizontal="left" vertical="center" wrapText="1"/>
    </xf>
    <xf numFmtId="1" fontId="8" fillId="13" borderId="5" xfId="0" applyNumberFormat="1" applyFont="1" applyFill="1" applyBorder="1" applyAlignment="1">
      <alignment horizontal="left" vertical="top"/>
    </xf>
    <xf numFmtId="14" fontId="1" fillId="13" borderId="5" xfId="0" applyNumberFormat="1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wrapText="1"/>
    </xf>
    <xf numFmtId="0" fontId="8" fillId="30" borderId="5" xfId="0" applyFont="1" applyFill="1" applyBorder="1" applyAlignment="1">
      <alignment horizontal="left" vertical="center"/>
    </xf>
    <xf numFmtId="0" fontId="9" fillId="30" borderId="5" xfId="0" applyFont="1" applyFill="1" applyBorder="1" applyAlignment="1">
      <alignment horizontal="left" vertical="top"/>
    </xf>
    <xf numFmtId="0" fontId="11" fillId="30" borderId="6" xfId="0" applyFont="1" applyFill="1" applyBorder="1" applyAlignment="1">
      <alignment horizontal="left"/>
    </xf>
    <xf numFmtId="0" fontId="10" fillId="30" borderId="6" xfId="0" applyFont="1" applyFill="1" applyBorder="1" applyAlignment="1">
      <alignment horizontal="left" vertical="center"/>
    </xf>
    <xf numFmtId="0" fontId="9" fillId="30" borderId="6" xfId="0" applyFont="1" applyFill="1" applyBorder="1" applyAlignment="1">
      <alignment horizontal="left" vertical="top"/>
    </xf>
    <xf numFmtId="14" fontId="10" fillId="30" borderId="6" xfId="0" applyNumberFormat="1" applyFont="1" applyFill="1" applyBorder="1" applyAlignment="1">
      <alignment horizontal="left" vertical="center"/>
    </xf>
    <xf numFmtId="1" fontId="8" fillId="30" borderId="6" xfId="0" applyNumberFormat="1" applyFont="1" applyFill="1" applyBorder="1" applyAlignment="1">
      <alignment horizontal="left" vertical="top"/>
    </xf>
    <xf numFmtId="0" fontId="8" fillId="30" borderId="6" xfId="0" applyFont="1" applyFill="1" applyBorder="1" applyAlignment="1">
      <alignment horizontal="left" vertical="center"/>
    </xf>
    <xf numFmtId="14" fontId="8" fillId="30" borderId="6" xfId="0" applyNumberFormat="1" applyFont="1" applyFill="1" applyBorder="1" applyAlignment="1">
      <alignment horizontal="left" vertical="center"/>
    </xf>
    <xf numFmtId="0" fontId="10" fillId="30" borderId="6" xfId="0" applyFont="1" applyFill="1" applyBorder="1" applyAlignment="1">
      <alignment horizontal="left" wrapText="1"/>
    </xf>
    <xf numFmtId="0" fontId="9" fillId="27" borderId="6" xfId="0" applyFont="1" applyFill="1" applyBorder="1" applyAlignment="1">
      <alignment horizontal="left" vertical="top"/>
    </xf>
    <xf numFmtId="0" fontId="8" fillId="27" borderId="6" xfId="0" applyFont="1" applyFill="1" applyBorder="1" applyAlignment="1">
      <alignment horizontal="left" vertical="center"/>
    </xf>
    <xf numFmtId="0" fontId="11" fillId="23" borderId="5" xfId="0" applyFont="1" applyFill="1" applyBorder="1" applyAlignment="1">
      <alignment horizontal="left"/>
    </xf>
    <xf numFmtId="0" fontId="11" fillId="23" borderId="5" xfId="0" applyFont="1" applyFill="1" applyBorder="1" applyAlignment="1">
      <alignment horizontal="left" vertical="center" wrapText="1"/>
    </xf>
    <xf numFmtId="0" fontId="9" fillId="23" borderId="5" xfId="0" applyFont="1" applyFill="1" applyBorder="1" applyAlignment="1">
      <alignment horizontal="left" vertical="top"/>
    </xf>
    <xf numFmtId="14" fontId="11" fillId="23" borderId="5" xfId="0" applyNumberFormat="1" applyFont="1" applyFill="1" applyBorder="1" applyAlignment="1">
      <alignment horizontal="left" vertical="center" wrapText="1"/>
    </xf>
    <xf numFmtId="1" fontId="8" fillId="23" borderId="5" xfId="0" applyNumberFormat="1" applyFont="1" applyFill="1" applyBorder="1" applyAlignment="1">
      <alignment horizontal="left" vertical="top"/>
    </xf>
    <xf numFmtId="0" fontId="8" fillId="23" borderId="5" xfId="0" applyFont="1" applyFill="1" applyBorder="1" applyAlignment="1">
      <alignment horizontal="left" vertical="center"/>
    </xf>
    <xf numFmtId="14" fontId="8" fillId="23" borderId="5" xfId="0" applyNumberFormat="1" applyFont="1" applyFill="1" applyBorder="1" applyAlignment="1">
      <alignment horizontal="left" vertical="center"/>
    </xf>
    <xf numFmtId="0" fontId="10" fillId="23" borderId="5" xfId="0" applyFont="1" applyFill="1" applyBorder="1" applyAlignment="1">
      <alignment horizontal="left" wrapText="1"/>
    </xf>
    <xf numFmtId="0" fontId="9" fillId="33" borderId="5" xfId="0" applyFont="1" applyFill="1" applyBorder="1" applyAlignment="1">
      <alignment horizontal="left" vertical="top"/>
    </xf>
    <xf numFmtId="0" fontId="8" fillId="33" borderId="5" xfId="0" applyFont="1" applyFill="1" applyBorder="1" applyAlignment="1">
      <alignment horizontal="left" vertical="center"/>
    </xf>
    <xf numFmtId="0" fontId="11" fillId="27" borderId="6" xfId="0" applyFont="1" applyFill="1" applyBorder="1" applyAlignment="1">
      <alignment horizontal="left"/>
    </xf>
    <xf numFmtId="0" fontId="11" fillId="27" borderId="6" xfId="0" applyFont="1" applyFill="1" applyBorder="1" applyAlignment="1">
      <alignment horizontal="left" vertical="center" wrapText="1"/>
    </xf>
    <xf numFmtId="14" fontId="11" fillId="27" borderId="6" xfId="0" applyNumberFormat="1" applyFont="1" applyFill="1" applyBorder="1" applyAlignment="1">
      <alignment horizontal="left" vertical="center" wrapText="1"/>
    </xf>
    <xf numFmtId="1" fontId="8" fillId="27" borderId="6" xfId="0" applyNumberFormat="1" applyFont="1" applyFill="1" applyBorder="1" applyAlignment="1">
      <alignment horizontal="left" vertical="top"/>
    </xf>
    <xf numFmtId="14" fontId="8" fillId="27" borderId="6" xfId="0" applyNumberFormat="1" applyFont="1" applyFill="1" applyBorder="1" applyAlignment="1">
      <alignment horizontal="left" vertical="center"/>
    </xf>
    <xf numFmtId="0" fontId="10" fillId="27" borderId="6" xfId="0" applyFont="1" applyFill="1" applyBorder="1" applyAlignment="1">
      <alignment horizontal="left" wrapText="1"/>
    </xf>
    <xf numFmtId="0" fontId="8" fillId="14" borderId="6" xfId="0" applyFont="1" applyFill="1" applyBorder="1" applyAlignment="1">
      <alignment horizontal="left" vertical="center"/>
    </xf>
    <xf numFmtId="0" fontId="9" fillId="14" borderId="6" xfId="0" applyFont="1" applyFill="1" applyBorder="1" applyAlignment="1">
      <alignment horizontal="left" vertical="top"/>
    </xf>
    <xf numFmtId="0" fontId="8" fillId="13" borderId="5" xfId="0" applyFont="1" applyFill="1" applyBorder="1" applyAlignment="1">
      <alignment horizontal="left" vertical="center"/>
    </xf>
    <xf numFmtId="14" fontId="8" fillId="13" borderId="5" xfId="0" applyNumberFormat="1" applyFont="1" applyFill="1" applyBorder="1" applyAlignment="1">
      <alignment horizontal="left" vertical="center"/>
    </xf>
    <xf numFmtId="0" fontId="10" fillId="13" borderId="5" xfId="0" applyFont="1" applyFill="1" applyBorder="1" applyAlignment="1">
      <alignment horizontal="left" wrapText="1"/>
    </xf>
    <xf numFmtId="0" fontId="9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/>
    </xf>
    <xf numFmtId="0" fontId="11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top"/>
    </xf>
    <xf numFmtId="14" fontId="11" fillId="7" borderId="5" xfId="0" applyNumberFormat="1" applyFont="1" applyFill="1" applyBorder="1" applyAlignment="1">
      <alignment horizontal="left" vertical="center" wrapText="1"/>
    </xf>
    <xf numFmtId="1" fontId="8" fillId="7" borderId="5" xfId="0" applyNumberFormat="1" applyFont="1" applyFill="1" applyBorder="1" applyAlignment="1">
      <alignment horizontal="left" vertical="top"/>
    </xf>
    <xf numFmtId="0" fontId="8" fillId="7" borderId="5" xfId="0" applyFont="1" applyFill="1" applyBorder="1" applyAlignment="1">
      <alignment horizontal="left" vertical="center"/>
    </xf>
    <xf numFmtId="14" fontId="8" fillId="7" borderId="5" xfId="0" applyNumberFormat="1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wrapText="1"/>
    </xf>
    <xf numFmtId="0" fontId="9" fillId="13" borderId="5" xfId="0" applyFont="1" applyFill="1" applyBorder="1" applyAlignment="1">
      <alignment horizontal="left"/>
    </xf>
    <xf numFmtId="1" fontId="9" fillId="13" borderId="6" xfId="0" applyNumberFormat="1" applyFont="1" applyFill="1" applyBorder="1" applyAlignment="1">
      <alignment horizontal="left"/>
    </xf>
    <xf numFmtId="0" fontId="17" fillId="13" borderId="6" xfId="0" applyFont="1" applyFill="1" applyBorder="1" applyAlignment="1">
      <alignment horizontal="left" wrapText="1"/>
    </xf>
    <xf numFmtId="14" fontId="11" fillId="13" borderId="6" xfId="0" applyNumberFormat="1" applyFont="1" applyFill="1" applyBorder="1" applyAlignment="1">
      <alignment horizontal="left"/>
    </xf>
    <xf numFmtId="14" fontId="9" fillId="13" borderId="6" xfId="0" applyNumberFormat="1" applyFont="1" applyFill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14" fontId="13" fillId="0" borderId="6" xfId="0" applyNumberFormat="1" applyFont="1" applyBorder="1" applyAlignment="1">
      <alignment horizontal="left" vertical="center" wrapText="1"/>
    </xf>
    <xf numFmtId="1" fontId="8" fillId="0" borderId="6" xfId="0" applyNumberFormat="1" applyFont="1" applyBorder="1" applyAlignment="1">
      <alignment horizontal="left" vertical="top"/>
    </xf>
    <xf numFmtId="14" fontId="8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0" fontId="11" fillId="0" borderId="6" xfId="0" applyFont="1" applyBorder="1" applyAlignment="1">
      <alignment horizontal="left" wrapText="1"/>
    </xf>
    <xf numFmtId="14" fontId="11" fillId="0" borderId="6" xfId="0" applyNumberFormat="1" applyFont="1" applyBorder="1" applyAlignment="1">
      <alignment horizontal="left" wrapText="1"/>
    </xf>
    <xf numFmtId="0" fontId="11" fillId="34" borderId="5" xfId="0" applyFont="1" applyFill="1" applyBorder="1" applyAlignment="1">
      <alignment horizontal="left"/>
    </xf>
    <xf numFmtId="0" fontId="13" fillId="34" borderId="5" xfId="0" applyFont="1" applyFill="1" applyBorder="1" applyAlignment="1">
      <alignment horizontal="left" vertical="center" wrapText="1"/>
    </xf>
    <xf numFmtId="0" fontId="9" fillId="34" borderId="5" xfId="0" applyFont="1" applyFill="1" applyBorder="1" applyAlignment="1">
      <alignment horizontal="left" vertical="top"/>
    </xf>
    <xf numFmtId="14" fontId="5" fillId="34" borderId="5" xfId="0" applyNumberFormat="1" applyFont="1" applyFill="1" applyBorder="1" applyAlignment="1">
      <alignment horizontal="left" vertical="center" wrapText="1"/>
    </xf>
    <xf numFmtId="1" fontId="8" fillId="34" borderId="5" xfId="0" applyNumberFormat="1" applyFont="1" applyFill="1" applyBorder="1" applyAlignment="1">
      <alignment horizontal="left" vertical="top"/>
    </xf>
    <xf numFmtId="0" fontId="8" fillId="34" borderId="5" xfId="0" applyFont="1" applyFill="1" applyBorder="1" applyAlignment="1">
      <alignment horizontal="left" vertical="center"/>
    </xf>
    <xf numFmtId="14" fontId="8" fillId="34" borderId="5" xfId="0" applyNumberFormat="1" applyFont="1" applyFill="1" applyBorder="1" applyAlignment="1">
      <alignment horizontal="left" vertical="center"/>
    </xf>
    <xf numFmtId="0" fontId="10" fillId="34" borderId="5" xfId="0" applyFont="1" applyFill="1" applyBorder="1" applyAlignment="1">
      <alignment horizontal="left" wrapText="1"/>
    </xf>
    <xf numFmtId="0" fontId="9" fillId="34" borderId="5" xfId="0" applyFont="1" applyFill="1" applyBorder="1" applyAlignment="1">
      <alignment horizontal="left" vertical="top" wrapText="1"/>
    </xf>
    <xf numFmtId="0" fontId="11" fillId="34" borderId="6" xfId="0" applyFont="1" applyFill="1" applyBorder="1" applyAlignment="1">
      <alignment horizontal="left"/>
    </xf>
    <xf numFmtId="0" fontId="13" fillId="34" borderId="6" xfId="0" applyFont="1" applyFill="1" applyBorder="1" applyAlignment="1">
      <alignment horizontal="left" vertical="center" wrapText="1"/>
    </xf>
    <xf numFmtId="0" fontId="9" fillId="34" borderId="6" xfId="0" applyFont="1" applyFill="1" applyBorder="1" applyAlignment="1">
      <alignment horizontal="left" vertical="top"/>
    </xf>
    <xf numFmtId="14" fontId="5" fillId="34" borderId="6" xfId="0" applyNumberFormat="1" applyFont="1" applyFill="1" applyBorder="1" applyAlignment="1">
      <alignment horizontal="left" vertical="center" wrapText="1"/>
    </xf>
    <xf numFmtId="1" fontId="8" fillId="34" borderId="6" xfId="0" applyNumberFormat="1" applyFont="1" applyFill="1" applyBorder="1" applyAlignment="1">
      <alignment horizontal="left" vertical="top"/>
    </xf>
    <xf numFmtId="0" fontId="8" fillId="34" borderId="6" xfId="0" applyFont="1" applyFill="1" applyBorder="1" applyAlignment="1">
      <alignment horizontal="left" vertical="center"/>
    </xf>
    <xf numFmtId="14" fontId="8" fillId="34" borderId="6" xfId="0" applyNumberFormat="1" applyFont="1" applyFill="1" applyBorder="1" applyAlignment="1">
      <alignment horizontal="left" vertical="center"/>
    </xf>
    <xf numFmtId="0" fontId="10" fillId="34" borderId="6" xfId="0" applyFont="1" applyFill="1" applyBorder="1" applyAlignment="1">
      <alignment horizontal="left" wrapText="1"/>
    </xf>
    <xf numFmtId="0" fontId="9" fillId="13" borderId="6" xfId="0" applyFont="1" applyFill="1" applyBorder="1" applyAlignment="1">
      <alignment horizontal="left" vertical="top" wrapText="1"/>
    </xf>
    <xf numFmtId="0" fontId="11" fillId="15" borderId="6" xfId="0" applyFont="1" applyFill="1" applyBorder="1" applyAlignment="1">
      <alignment horizontal="left"/>
    </xf>
    <xf numFmtId="0" fontId="11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left" vertical="top"/>
    </xf>
    <xf numFmtId="14" fontId="11" fillId="15" borderId="6" xfId="0" applyNumberFormat="1" applyFont="1" applyFill="1" applyBorder="1" applyAlignment="1">
      <alignment horizontal="left" vertical="center" wrapText="1"/>
    </xf>
    <xf numFmtId="1" fontId="8" fillId="15" borderId="6" xfId="0" applyNumberFormat="1" applyFont="1" applyFill="1" applyBorder="1" applyAlignment="1">
      <alignment horizontal="left" vertical="top"/>
    </xf>
    <xf numFmtId="0" fontId="8" fillId="15" borderId="6" xfId="0" applyFont="1" applyFill="1" applyBorder="1" applyAlignment="1">
      <alignment horizontal="left" vertical="center"/>
    </xf>
    <xf numFmtId="14" fontId="8" fillId="15" borderId="6" xfId="0" applyNumberFormat="1" applyFont="1" applyFill="1" applyBorder="1" applyAlignment="1">
      <alignment horizontal="left" vertical="center"/>
    </xf>
    <xf numFmtId="0" fontId="10" fillId="15" borderId="6" xfId="0" applyFont="1" applyFill="1" applyBorder="1" applyAlignment="1">
      <alignment horizontal="left" wrapText="1"/>
    </xf>
    <xf numFmtId="0" fontId="9" fillId="15" borderId="6" xfId="0" applyFont="1" applyFill="1" applyBorder="1" applyAlignment="1">
      <alignment horizontal="left" vertical="top" wrapText="1"/>
    </xf>
    <xf numFmtId="0" fontId="9" fillId="15" borderId="5" xfId="0" applyFont="1" applyFill="1" applyBorder="1" applyAlignment="1">
      <alignment horizontal="left"/>
    </xf>
    <xf numFmtId="0" fontId="11" fillId="15" borderId="5" xfId="0" applyFont="1" applyFill="1" applyBorder="1" applyAlignment="1">
      <alignment horizontal="left"/>
    </xf>
    <xf numFmtId="1" fontId="9" fillId="15" borderId="5" xfId="0" applyNumberFormat="1" applyFont="1" applyFill="1" applyBorder="1" applyAlignment="1">
      <alignment horizontal="left"/>
    </xf>
    <xf numFmtId="0" fontId="9" fillId="15" borderId="5" xfId="0" applyFont="1" applyFill="1" applyBorder="1" applyAlignment="1">
      <alignment horizontal="left" vertical="top"/>
    </xf>
    <xf numFmtId="0" fontId="7" fillId="15" borderId="5" xfId="0" applyFont="1" applyFill="1" applyBorder="1" applyAlignment="1">
      <alignment horizontal="left" wrapText="1"/>
    </xf>
    <xf numFmtId="14" fontId="11" fillId="15" borderId="5" xfId="0" applyNumberFormat="1" applyFont="1" applyFill="1" applyBorder="1" applyAlignment="1">
      <alignment horizontal="left"/>
    </xf>
    <xf numFmtId="1" fontId="8" fillId="15" borderId="5" xfId="0" applyNumberFormat="1" applyFont="1" applyFill="1" applyBorder="1" applyAlignment="1">
      <alignment horizontal="left" vertical="top"/>
    </xf>
    <xf numFmtId="14" fontId="9" fillId="15" borderId="5" xfId="0" applyNumberFormat="1" applyFont="1" applyFill="1" applyBorder="1" applyAlignment="1">
      <alignment horizontal="left"/>
    </xf>
    <xf numFmtId="0" fontId="9" fillId="15" borderId="5" xfId="0" applyFont="1" applyFill="1" applyBorder="1" applyAlignment="1">
      <alignment horizontal="left" vertical="top" wrapText="1"/>
    </xf>
    <xf numFmtId="0" fontId="2" fillId="35" borderId="36" xfId="0" applyFont="1" applyFill="1" applyBorder="1" applyAlignment="1">
      <alignment horizontal="left" wrapText="1"/>
    </xf>
    <xf numFmtId="0" fontId="2" fillId="35" borderId="37" xfId="0" applyFont="1" applyFill="1" applyBorder="1" applyAlignment="1">
      <alignment horizontal="left" wrapText="1"/>
    </xf>
    <xf numFmtId="0" fontId="5" fillId="35" borderId="37" xfId="0" applyFont="1" applyFill="1" applyBorder="1" applyAlignment="1">
      <alignment horizontal="left" wrapText="1"/>
    </xf>
    <xf numFmtId="0" fontId="2" fillId="35" borderId="37" xfId="0" applyFont="1" applyFill="1" applyBorder="1" applyAlignment="1">
      <alignment horizontal="left" vertical="top" wrapText="1"/>
    </xf>
    <xf numFmtId="0" fontId="7" fillId="35" borderId="37" xfId="0" applyFont="1" applyFill="1" applyBorder="1" applyAlignment="1">
      <alignment horizontal="left" wrapText="1"/>
    </xf>
    <xf numFmtId="14" fontId="5" fillId="35" borderId="37" xfId="0" applyNumberFormat="1" applyFont="1" applyFill="1" applyBorder="1" applyAlignment="1">
      <alignment horizontal="left" wrapText="1"/>
    </xf>
    <xf numFmtId="0" fontId="7" fillId="35" borderId="37" xfId="0" applyFont="1" applyFill="1" applyBorder="1" applyAlignment="1">
      <alignment horizontal="left" vertical="top" wrapText="1"/>
    </xf>
    <xf numFmtId="14" fontId="2" fillId="35" borderId="37" xfId="0" applyNumberFormat="1" applyFont="1" applyFill="1" applyBorder="1" applyAlignment="1">
      <alignment horizontal="left" vertical="top" wrapText="1"/>
    </xf>
    <xf numFmtId="0" fontId="7" fillId="35" borderId="11" xfId="0" applyFont="1" applyFill="1" applyBorder="1" applyAlignment="1">
      <alignment horizontal="left" wrapText="1"/>
    </xf>
    <xf numFmtId="0" fontId="7" fillId="35" borderId="38" xfId="0" applyFont="1" applyFill="1" applyBorder="1" applyAlignment="1">
      <alignment horizontal="left" wrapText="1"/>
    </xf>
    <xf numFmtId="0" fontId="11" fillId="27" borderId="5" xfId="0" applyFont="1" applyFill="1" applyBorder="1" applyAlignment="1">
      <alignment horizontal="left" vertical="center" wrapText="1"/>
    </xf>
    <xf numFmtId="0" fontId="13" fillId="27" borderId="5" xfId="0" applyFont="1" applyFill="1" applyBorder="1" applyAlignment="1">
      <alignment horizontal="left" vertical="center" wrapText="1"/>
    </xf>
    <xf numFmtId="0" fontId="9" fillId="27" borderId="5" xfId="0" applyFont="1" applyFill="1" applyBorder="1" applyAlignment="1">
      <alignment horizontal="left" wrapText="1"/>
    </xf>
    <xf numFmtId="14" fontId="13" fillId="27" borderId="5" xfId="0" applyNumberFormat="1" applyFont="1" applyFill="1" applyBorder="1" applyAlignment="1">
      <alignment horizontal="left" vertical="center" wrapText="1"/>
    </xf>
    <xf numFmtId="0" fontId="8" fillId="27" borderId="5" xfId="0" applyFont="1" applyFill="1" applyBorder="1" applyAlignment="1">
      <alignment horizontal="left" vertical="center"/>
    </xf>
    <xf numFmtId="14" fontId="8" fillId="27" borderId="5" xfId="0" applyNumberFormat="1" applyFont="1" applyFill="1" applyBorder="1" applyAlignment="1">
      <alignment horizontal="left" vertical="center"/>
    </xf>
    <xf numFmtId="0" fontId="10" fillId="27" borderId="5" xfId="0" applyFont="1" applyFill="1" applyBorder="1" applyAlignment="1">
      <alignment horizontal="left" wrapText="1"/>
    </xf>
    <xf numFmtId="0" fontId="9" fillId="27" borderId="5" xfId="0" applyFont="1" applyFill="1" applyBorder="1" applyAlignment="1">
      <alignment horizontal="left" vertical="top" wrapText="1"/>
    </xf>
    <xf numFmtId="0" fontId="9" fillId="33" borderId="5" xfId="0" applyFont="1" applyFill="1" applyBorder="1" applyAlignment="1">
      <alignment horizontal="left" vertical="top" wrapText="1"/>
    </xf>
    <xf numFmtId="0" fontId="11" fillId="33" borderId="5" xfId="0" applyFont="1" applyFill="1" applyBorder="1" applyAlignment="1">
      <alignment horizontal="left"/>
    </xf>
    <xf numFmtId="0" fontId="13" fillId="33" borderId="5" xfId="0" applyFont="1" applyFill="1" applyBorder="1" applyAlignment="1">
      <alignment horizontal="left" vertical="center" wrapText="1"/>
    </xf>
    <xf numFmtId="0" fontId="7" fillId="33" borderId="5" xfId="0" applyFont="1" applyFill="1" applyBorder="1" applyAlignment="1">
      <alignment horizontal="left" wrapText="1"/>
    </xf>
    <xf numFmtId="14" fontId="5" fillId="33" borderId="5" xfId="0" applyNumberFormat="1" applyFont="1" applyFill="1" applyBorder="1" applyAlignment="1">
      <alignment horizontal="left" vertical="center" wrapText="1"/>
    </xf>
    <xf numFmtId="1" fontId="8" fillId="33" borderId="5" xfId="0" applyNumberFormat="1" applyFont="1" applyFill="1" applyBorder="1" applyAlignment="1">
      <alignment horizontal="left" vertical="top"/>
    </xf>
    <xf numFmtId="14" fontId="9" fillId="33" borderId="5" xfId="0" applyNumberFormat="1" applyFont="1" applyFill="1" applyBorder="1" applyAlignment="1">
      <alignment horizontal="left"/>
    </xf>
    <xf numFmtId="0" fontId="10" fillId="33" borderId="5" xfId="0" applyFont="1" applyFill="1" applyBorder="1" applyAlignment="1">
      <alignment horizontal="left" wrapText="1"/>
    </xf>
    <xf numFmtId="0" fontId="11" fillId="33" borderId="6" xfId="0" applyFont="1" applyFill="1" applyBorder="1" applyAlignment="1">
      <alignment horizontal="left"/>
    </xf>
    <xf numFmtId="0" fontId="11" fillId="33" borderId="6" xfId="0" applyFont="1" applyFill="1" applyBorder="1" applyAlignment="1">
      <alignment horizontal="left" vertical="center" wrapText="1"/>
    </xf>
    <xf numFmtId="0" fontId="9" fillId="33" borderId="6" xfId="0" applyFont="1" applyFill="1" applyBorder="1" applyAlignment="1">
      <alignment horizontal="left" vertical="top"/>
    </xf>
    <xf numFmtId="14" fontId="11" fillId="33" borderId="6" xfId="0" applyNumberFormat="1" applyFont="1" applyFill="1" applyBorder="1" applyAlignment="1">
      <alignment horizontal="left" vertical="center" wrapText="1"/>
    </xf>
    <xf numFmtId="1" fontId="8" fillId="33" borderId="6" xfId="0" applyNumberFormat="1" applyFont="1" applyFill="1" applyBorder="1" applyAlignment="1">
      <alignment horizontal="left" vertical="top"/>
    </xf>
    <xf numFmtId="0" fontId="8" fillId="33" borderId="6" xfId="0" applyFont="1" applyFill="1" applyBorder="1" applyAlignment="1">
      <alignment horizontal="left" vertical="center"/>
    </xf>
    <xf numFmtId="14" fontId="9" fillId="33" borderId="6" xfId="0" applyNumberFormat="1" applyFont="1" applyFill="1" applyBorder="1" applyAlignment="1">
      <alignment horizontal="left"/>
    </xf>
    <xf numFmtId="0" fontId="10" fillId="33" borderId="6" xfId="0" applyFont="1" applyFill="1" applyBorder="1" applyAlignment="1">
      <alignment horizontal="left" wrapText="1"/>
    </xf>
    <xf numFmtId="0" fontId="9" fillId="27" borderId="6" xfId="0" applyFont="1" applyFill="1" applyBorder="1" applyAlignment="1">
      <alignment horizontal="left" vertical="top" wrapText="1"/>
    </xf>
    <xf numFmtId="0" fontId="5" fillId="27" borderId="39" xfId="0" applyFont="1" applyFill="1" applyBorder="1" applyAlignment="1">
      <alignment horizontal="left" wrapText="1"/>
    </xf>
    <xf numFmtId="0" fontId="5" fillId="27" borderId="40" xfId="0" applyFont="1" applyFill="1" applyBorder="1" applyAlignment="1">
      <alignment horizontal="left" wrapText="1"/>
    </xf>
    <xf numFmtId="0" fontId="2" fillId="27" borderId="40" xfId="0" applyFont="1" applyFill="1" applyBorder="1" applyAlignment="1">
      <alignment horizontal="left" vertical="top" wrapText="1"/>
    </xf>
    <xf numFmtId="0" fontId="7" fillId="27" borderId="40" xfId="0" applyFont="1" applyFill="1" applyBorder="1" applyAlignment="1">
      <alignment horizontal="left" wrapText="1"/>
    </xf>
    <xf numFmtId="14" fontId="5" fillId="27" borderId="40" xfId="0" applyNumberFormat="1" applyFont="1" applyFill="1" applyBorder="1" applyAlignment="1">
      <alignment horizontal="left" wrapText="1"/>
    </xf>
    <xf numFmtId="0" fontId="2" fillId="27" borderId="40" xfId="0" applyFont="1" applyFill="1" applyBorder="1" applyAlignment="1">
      <alignment horizontal="left" wrapText="1"/>
    </xf>
    <xf numFmtId="0" fontId="7" fillId="27" borderId="40" xfId="0" applyFont="1" applyFill="1" applyBorder="1" applyAlignment="1">
      <alignment horizontal="left" vertical="top" wrapText="1"/>
    </xf>
    <xf numFmtId="14" fontId="2" fillId="27" borderId="40" xfId="0" applyNumberFormat="1" applyFont="1" applyFill="1" applyBorder="1" applyAlignment="1">
      <alignment horizontal="left" wrapText="1"/>
    </xf>
    <xf numFmtId="0" fontId="7" fillId="27" borderId="41" xfId="0" applyFont="1" applyFill="1" applyBorder="1" applyAlignment="1">
      <alignment horizontal="left" wrapText="1"/>
    </xf>
    <xf numFmtId="0" fontId="5" fillId="27" borderId="6" xfId="0" applyFont="1" applyFill="1" applyBorder="1" applyAlignment="1">
      <alignment horizontal="left" wrapText="1"/>
    </xf>
    <xf numFmtId="0" fontId="19" fillId="27" borderId="6" xfId="0" applyFont="1" applyFill="1" applyBorder="1" applyAlignment="1">
      <alignment horizontal="left" wrapText="1"/>
    </xf>
    <xf numFmtId="0" fontId="2" fillId="27" borderId="6" xfId="0" applyFont="1" applyFill="1" applyBorder="1" applyAlignment="1">
      <alignment horizontal="left" vertical="top" wrapText="1"/>
    </xf>
    <xf numFmtId="14" fontId="19" fillId="27" borderId="6" xfId="0" applyNumberFormat="1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vertical="top" wrapText="1"/>
    </xf>
    <xf numFmtId="0" fontId="2" fillId="27" borderId="6" xfId="0" applyFont="1" applyFill="1" applyBorder="1" applyAlignment="1">
      <alignment horizontal="left" wrapText="1"/>
    </xf>
    <xf numFmtId="14" fontId="2" fillId="27" borderId="6" xfId="0" applyNumberFormat="1" applyFont="1" applyFill="1" applyBorder="1" applyAlignment="1">
      <alignment horizontal="left" wrapText="1"/>
    </xf>
    <xf numFmtId="0" fontId="11" fillId="8" borderId="6" xfId="0" applyFont="1" applyFill="1" applyBorder="1" applyAlignment="1">
      <alignment horizontal="left"/>
    </xf>
    <xf numFmtId="0" fontId="13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top"/>
    </xf>
    <xf numFmtId="0" fontId="7" fillId="8" borderId="6" xfId="0" applyFont="1" applyFill="1" applyBorder="1" applyAlignment="1">
      <alignment wrapText="1"/>
    </xf>
    <xf numFmtId="0" fontId="7" fillId="8" borderId="6" xfId="0" applyFont="1" applyFill="1" applyBorder="1" applyAlignment="1">
      <alignment horizontal="right" wrapText="1"/>
    </xf>
    <xf numFmtId="14" fontId="13" fillId="8" borderId="6" xfId="0" applyNumberFormat="1" applyFont="1" applyFill="1" applyBorder="1" applyAlignment="1">
      <alignment horizontal="left" vertical="center" wrapText="1"/>
    </xf>
    <xf numFmtId="1" fontId="8" fillId="8" borderId="6" xfId="0" applyNumberFormat="1" applyFont="1" applyFill="1" applyBorder="1" applyAlignment="1">
      <alignment horizontal="left" vertical="top"/>
    </xf>
    <xf numFmtId="0" fontId="8" fillId="8" borderId="6" xfId="0" applyFont="1" applyFill="1" applyBorder="1" applyAlignment="1">
      <alignment horizontal="left" vertical="center"/>
    </xf>
    <xf numFmtId="14" fontId="9" fillId="8" borderId="6" xfId="0" applyNumberFormat="1" applyFont="1" applyFill="1" applyBorder="1" applyAlignment="1">
      <alignment horizontal="left" vertical="top"/>
    </xf>
    <xf numFmtId="0" fontId="10" fillId="8" borderId="6" xfId="0" applyFont="1" applyFill="1" applyBorder="1" applyAlignment="1">
      <alignment horizontal="left" wrapText="1"/>
    </xf>
    <xf numFmtId="0" fontId="9" fillId="15" borderId="5" xfId="0" applyFont="1" applyFill="1" applyBorder="1" applyAlignment="1">
      <alignment horizontal="left" wrapText="1"/>
    </xf>
    <xf numFmtId="14" fontId="9" fillId="15" borderId="5" xfId="0" applyNumberFormat="1" applyFont="1" applyFill="1" applyBorder="1" applyAlignment="1">
      <alignment horizontal="left" wrapText="1"/>
    </xf>
    <xf numFmtId="0" fontId="8" fillId="15" borderId="5" xfId="0" applyFont="1" applyFill="1" applyBorder="1" applyAlignment="1">
      <alignment horizontal="left" vertical="center"/>
    </xf>
    <xf numFmtId="14" fontId="8" fillId="15" borderId="5" xfId="0" applyNumberFormat="1" applyFont="1" applyFill="1" applyBorder="1" applyAlignment="1">
      <alignment horizontal="left" vertical="center"/>
    </xf>
    <xf numFmtId="0" fontId="10" fillId="15" borderId="5" xfId="0" applyFont="1" applyFill="1" applyBorder="1" applyAlignment="1">
      <alignment horizontal="left" wrapText="1"/>
    </xf>
    <xf numFmtId="0" fontId="9" fillId="8" borderId="5" xfId="0" applyFont="1" applyFill="1" applyBorder="1" applyAlignment="1">
      <alignment horizontal="left" vertical="top" wrapText="1"/>
    </xf>
    <xf numFmtId="0" fontId="11" fillId="8" borderId="42" xfId="0" applyFont="1" applyFill="1" applyBorder="1" applyAlignment="1">
      <alignment horizontal="left"/>
    </xf>
    <xf numFmtId="0" fontId="9" fillId="8" borderId="42" xfId="0" applyFont="1" applyFill="1" applyBorder="1" applyAlignment="1">
      <alignment horizontal="left" wrapText="1"/>
    </xf>
    <xf numFmtId="0" fontId="9" fillId="8" borderId="42" xfId="0" applyFont="1" applyFill="1" applyBorder="1" applyAlignment="1">
      <alignment horizontal="left" vertical="top"/>
    </xf>
    <xf numFmtId="14" fontId="9" fillId="8" borderId="42" xfId="0" applyNumberFormat="1" applyFont="1" applyFill="1" applyBorder="1" applyAlignment="1">
      <alignment horizontal="left" wrapText="1"/>
    </xf>
    <xf numFmtId="0" fontId="8" fillId="8" borderId="42" xfId="0" applyFont="1" applyFill="1" applyBorder="1" applyAlignment="1">
      <alignment horizontal="left" vertical="center"/>
    </xf>
    <xf numFmtId="14" fontId="9" fillId="8" borderId="42" xfId="0" applyNumberFormat="1" applyFont="1" applyFill="1" applyBorder="1" applyAlignment="1">
      <alignment horizontal="left" vertical="top"/>
    </xf>
    <xf numFmtId="0" fontId="10" fillId="8" borderId="42" xfId="0" applyFont="1" applyFill="1" applyBorder="1" applyAlignment="1">
      <alignment horizontal="left" wrapText="1"/>
    </xf>
    <xf numFmtId="0" fontId="9" fillId="23" borderId="42" xfId="0" applyFont="1" applyFill="1" applyBorder="1" applyAlignment="1">
      <alignment horizontal="left" vertical="top"/>
    </xf>
    <xf numFmtId="0" fontId="11" fillId="27" borderId="43" xfId="0" applyFont="1" applyFill="1" applyBorder="1" applyAlignment="1">
      <alignment horizontal="left"/>
    </xf>
    <xf numFmtId="0" fontId="13" fillId="27" borderId="43" xfId="0" applyFont="1" applyFill="1" applyBorder="1" applyAlignment="1">
      <alignment horizontal="left" vertical="center" wrapText="1"/>
    </xf>
    <xf numFmtId="0" fontId="9" fillId="27" borderId="43" xfId="0" applyFont="1" applyFill="1" applyBorder="1" applyAlignment="1">
      <alignment horizontal="left" vertical="top"/>
    </xf>
    <xf numFmtId="14" fontId="13" fillId="27" borderId="43" xfId="0" applyNumberFormat="1" applyFont="1" applyFill="1" applyBorder="1" applyAlignment="1">
      <alignment horizontal="left" vertical="center" wrapText="1"/>
    </xf>
    <xf numFmtId="1" fontId="8" fillId="27" borderId="43" xfId="0" applyNumberFormat="1" applyFont="1" applyFill="1" applyBorder="1" applyAlignment="1">
      <alignment horizontal="left" vertical="top"/>
    </xf>
    <xf numFmtId="0" fontId="8" fillId="27" borderId="43" xfId="0" applyFont="1" applyFill="1" applyBorder="1" applyAlignment="1">
      <alignment horizontal="left" vertical="center"/>
    </xf>
    <xf numFmtId="14" fontId="8" fillId="27" borderId="43" xfId="0" applyNumberFormat="1" applyFont="1" applyFill="1" applyBorder="1" applyAlignment="1">
      <alignment horizontal="left" vertical="center"/>
    </xf>
    <xf numFmtId="0" fontId="10" fillId="27" borderId="43" xfId="0" applyFont="1" applyFill="1" applyBorder="1" applyAlignment="1">
      <alignment horizontal="left" wrapText="1"/>
    </xf>
    <xf numFmtId="0" fontId="9" fillId="27" borderId="43" xfId="0" applyFont="1" applyFill="1" applyBorder="1" applyAlignment="1">
      <alignment wrapText="1"/>
    </xf>
    <xf numFmtId="0" fontId="9" fillId="27" borderId="43" xfId="0" applyFont="1" applyFill="1" applyBorder="1" applyAlignment="1">
      <alignment vertical="top" wrapText="1"/>
    </xf>
    <xf numFmtId="0" fontId="11" fillId="27" borderId="44" xfId="0" applyFont="1" applyFill="1" applyBorder="1" applyAlignment="1">
      <alignment horizontal="left"/>
    </xf>
    <xf numFmtId="0" fontId="9" fillId="27" borderId="44" xfId="0" applyFont="1" applyFill="1" applyBorder="1" applyAlignment="1">
      <alignment horizontal="left" wrapText="1"/>
    </xf>
    <xf numFmtId="0" fontId="9" fillId="27" borderId="44" xfId="0" applyFont="1" applyFill="1" applyBorder="1" applyAlignment="1">
      <alignment horizontal="left" vertical="top"/>
    </xf>
    <xf numFmtId="0" fontId="7" fillId="27" borderId="44" xfId="0" applyFont="1" applyFill="1" applyBorder="1" applyAlignment="1">
      <alignment wrapText="1"/>
    </xf>
    <xf numFmtId="0" fontId="7" fillId="27" borderId="44" xfId="0" applyFont="1" applyFill="1" applyBorder="1" applyAlignment="1">
      <alignment horizontal="right" wrapText="1"/>
    </xf>
    <xf numFmtId="14" fontId="9" fillId="27" borderId="44" xfId="0" applyNumberFormat="1" applyFont="1" applyFill="1" applyBorder="1" applyAlignment="1">
      <alignment horizontal="left" wrapText="1"/>
    </xf>
    <xf numFmtId="1" fontId="8" fillId="27" borderId="44" xfId="0" applyNumberFormat="1" applyFont="1" applyFill="1" applyBorder="1" applyAlignment="1">
      <alignment horizontal="left" vertical="top"/>
    </xf>
    <xf numFmtId="0" fontId="8" fillId="27" borderId="44" xfId="0" applyFont="1" applyFill="1" applyBorder="1" applyAlignment="1">
      <alignment horizontal="left" vertical="center"/>
    </xf>
    <xf numFmtId="14" fontId="8" fillId="27" borderId="44" xfId="0" applyNumberFormat="1" applyFont="1" applyFill="1" applyBorder="1" applyAlignment="1">
      <alignment horizontal="left" vertical="center"/>
    </xf>
    <xf numFmtId="0" fontId="10" fillId="27" borderId="44" xfId="0" applyFont="1" applyFill="1" applyBorder="1" applyAlignment="1">
      <alignment horizontal="left" wrapText="1"/>
    </xf>
    <xf numFmtId="0" fontId="9" fillId="33" borderId="44" xfId="0" applyFont="1" applyFill="1" applyBorder="1" applyAlignment="1">
      <alignment wrapText="1"/>
    </xf>
    <xf numFmtId="0" fontId="9" fillId="33" borderId="44" xfId="0" applyFont="1" applyFill="1" applyBorder="1" applyAlignment="1">
      <alignment vertical="top" wrapText="1"/>
    </xf>
    <xf numFmtId="0" fontId="9" fillId="33" borderId="44" xfId="0" applyFont="1" applyFill="1" applyBorder="1" applyAlignment="1">
      <alignment horizontal="left" vertical="top" wrapText="1"/>
    </xf>
    <xf numFmtId="0" fontId="11" fillId="33" borderId="45" xfId="0" applyFont="1" applyFill="1" applyBorder="1" applyAlignment="1">
      <alignment horizontal="left"/>
    </xf>
    <xf numFmtId="0" fontId="5" fillId="33" borderId="45" xfId="0" applyFont="1" applyFill="1" applyBorder="1" applyAlignment="1">
      <alignment horizontal="left" vertical="center"/>
    </xf>
    <xf numFmtId="0" fontId="9" fillId="33" borderId="45" xfId="0" applyFont="1" applyFill="1" applyBorder="1" applyAlignment="1">
      <alignment horizontal="left" vertical="top"/>
    </xf>
    <xf numFmtId="0" fontId="5" fillId="33" borderId="45" xfId="0" applyFont="1" applyFill="1" applyBorder="1" applyAlignment="1">
      <alignment horizontal="left" vertical="center" wrapText="1"/>
    </xf>
    <xf numFmtId="14" fontId="5" fillId="33" borderId="45" xfId="0" applyNumberFormat="1" applyFont="1" applyFill="1" applyBorder="1" applyAlignment="1">
      <alignment horizontal="left" vertical="center"/>
    </xf>
    <xf numFmtId="1" fontId="8" fillId="33" borderId="45" xfId="0" applyNumberFormat="1" applyFont="1" applyFill="1" applyBorder="1" applyAlignment="1">
      <alignment horizontal="left" vertical="top"/>
    </xf>
    <xf numFmtId="0" fontId="8" fillId="33" borderId="45" xfId="0" applyFont="1" applyFill="1" applyBorder="1" applyAlignment="1">
      <alignment horizontal="left" vertical="center"/>
    </xf>
    <xf numFmtId="14" fontId="8" fillId="33" borderId="45" xfId="0" applyNumberFormat="1" applyFont="1" applyFill="1" applyBorder="1" applyAlignment="1">
      <alignment horizontal="left" vertical="center"/>
    </xf>
    <xf numFmtId="0" fontId="10" fillId="33" borderId="45" xfId="0" applyFont="1" applyFill="1" applyBorder="1" applyAlignment="1">
      <alignment horizontal="left" wrapText="1"/>
    </xf>
    <xf numFmtId="0" fontId="9" fillId="27" borderId="45" xfId="0" applyFont="1" applyFill="1" applyBorder="1" applyAlignment="1">
      <alignment wrapText="1"/>
    </xf>
    <xf numFmtId="0" fontId="9" fillId="27" borderId="45" xfId="0" applyFont="1" applyFill="1" applyBorder="1" applyAlignment="1">
      <alignment vertical="top" wrapText="1"/>
    </xf>
    <xf numFmtId="14" fontId="9" fillId="27" borderId="45" xfId="0" applyNumberFormat="1" applyFont="1" applyFill="1" applyBorder="1" applyAlignment="1">
      <alignment horizontal="left" vertical="top"/>
    </xf>
    <xf numFmtId="0" fontId="11" fillId="6" borderId="45" xfId="0" applyFont="1" applyFill="1" applyBorder="1" applyAlignment="1">
      <alignment horizontal="left"/>
    </xf>
    <xf numFmtId="0" fontId="5" fillId="6" borderId="45" xfId="0" applyFont="1" applyFill="1" applyBorder="1" applyAlignment="1">
      <alignment horizontal="left" vertical="center" wrapText="1"/>
    </xf>
    <xf numFmtId="0" fontId="9" fillId="6" borderId="45" xfId="0" applyFont="1" applyFill="1" applyBorder="1" applyAlignment="1">
      <alignment horizontal="left" vertical="top"/>
    </xf>
    <xf numFmtId="0" fontId="0" fillId="6" borderId="45" xfId="0" applyFill="1" applyBorder="1" applyAlignment="1">
      <alignment horizontal="left" vertical="top"/>
    </xf>
    <xf numFmtId="14" fontId="5" fillId="6" borderId="45" xfId="0" applyNumberFormat="1" applyFont="1" applyFill="1" applyBorder="1" applyAlignment="1">
      <alignment horizontal="left" vertical="center" wrapText="1"/>
    </xf>
    <xf numFmtId="1" fontId="8" fillId="6" borderId="45" xfId="0" applyNumberFormat="1" applyFont="1" applyFill="1" applyBorder="1" applyAlignment="1">
      <alignment horizontal="left" vertical="top"/>
    </xf>
    <xf numFmtId="0" fontId="8" fillId="6" borderId="45" xfId="0" applyFont="1" applyFill="1" applyBorder="1" applyAlignment="1">
      <alignment horizontal="left" vertical="center"/>
    </xf>
    <xf numFmtId="14" fontId="8" fillId="6" borderId="45" xfId="0" applyNumberFormat="1" applyFont="1" applyFill="1" applyBorder="1" applyAlignment="1">
      <alignment horizontal="left" vertical="center"/>
    </xf>
    <xf numFmtId="0" fontId="10" fillId="6" borderId="45" xfId="0" applyFont="1" applyFill="1" applyBorder="1" applyAlignment="1">
      <alignment horizontal="left" wrapText="1"/>
    </xf>
    <xf numFmtId="0" fontId="9" fillId="27" borderId="45" xfId="0" applyFont="1" applyFill="1" applyBorder="1" applyAlignment="1">
      <alignment horizontal="left" vertical="top"/>
    </xf>
    <xf numFmtId="0" fontId="2" fillId="6" borderId="45" xfId="0" applyFont="1" applyFill="1" applyBorder="1" applyAlignment="1">
      <alignment wrapText="1"/>
    </xf>
    <xf numFmtId="0" fontId="2" fillId="6" borderId="45" xfId="0" applyFont="1" applyFill="1" applyBorder="1" applyAlignment="1">
      <alignment vertical="top" wrapText="1"/>
    </xf>
    <xf numFmtId="14" fontId="2" fillId="6" borderId="45" xfId="0" applyNumberFormat="1" applyFont="1" applyFill="1" applyBorder="1" applyAlignment="1">
      <alignment wrapText="1"/>
    </xf>
    <xf numFmtId="0" fontId="7" fillId="6" borderId="45" xfId="0" applyFont="1" applyFill="1" applyBorder="1" applyAlignment="1">
      <alignment vertical="top" wrapText="1"/>
    </xf>
    <xf numFmtId="0" fontId="9" fillId="7" borderId="45" xfId="0" applyFont="1" applyFill="1" applyBorder="1" applyAlignment="1">
      <alignment wrapText="1"/>
    </xf>
    <xf numFmtId="0" fontId="9" fillId="7" borderId="45" xfId="0" applyFont="1" applyFill="1" applyBorder="1" applyAlignment="1">
      <alignment vertical="top" wrapText="1"/>
    </xf>
    <xf numFmtId="0" fontId="9" fillId="7" borderId="45" xfId="0" applyFont="1" applyFill="1" applyBorder="1" applyAlignment="1">
      <alignment horizontal="left" vertical="top" wrapText="1"/>
    </xf>
    <xf numFmtId="0" fontId="11" fillId="7" borderId="44" xfId="0" applyFont="1" applyFill="1" applyBorder="1" applyAlignment="1">
      <alignment horizontal="left"/>
    </xf>
    <xf numFmtId="0" fontId="9" fillId="7" borderId="44" xfId="0" applyFont="1" applyFill="1" applyBorder="1" applyAlignment="1">
      <alignment horizontal="left" wrapText="1"/>
    </xf>
    <xf numFmtId="0" fontId="9" fillId="7" borderId="44" xfId="0" applyFont="1" applyFill="1" applyBorder="1" applyAlignment="1">
      <alignment horizontal="left" vertical="top"/>
    </xf>
    <xf numFmtId="14" fontId="9" fillId="7" borderId="44" xfId="0" applyNumberFormat="1" applyFont="1" applyFill="1" applyBorder="1" applyAlignment="1">
      <alignment horizontal="left" wrapText="1"/>
    </xf>
    <xf numFmtId="1" fontId="8" fillId="7" borderId="44" xfId="0" applyNumberFormat="1" applyFont="1" applyFill="1" applyBorder="1" applyAlignment="1">
      <alignment horizontal="left" vertical="top"/>
    </xf>
    <xf numFmtId="0" fontId="8" fillId="7" borderId="44" xfId="0" applyFont="1" applyFill="1" applyBorder="1" applyAlignment="1">
      <alignment horizontal="left" vertical="center"/>
    </xf>
    <xf numFmtId="14" fontId="8" fillId="7" borderId="44" xfId="0" applyNumberFormat="1" applyFont="1" applyFill="1" applyBorder="1" applyAlignment="1">
      <alignment horizontal="left" vertical="center"/>
    </xf>
    <xf numFmtId="0" fontId="10" fillId="7" borderId="44" xfId="0" applyFont="1" applyFill="1" applyBorder="1" applyAlignment="1">
      <alignment horizontal="left" wrapText="1"/>
    </xf>
    <xf numFmtId="0" fontId="9" fillId="7" borderId="44" xfId="0" applyFont="1" applyFill="1" applyBorder="1" applyAlignment="1">
      <alignment wrapText="1"/>
    </xf>
    <xf numFmtId="0" fontId="9" fillId="7" borderId="44" xfId="0" applyFont="1" applyFill="1" applyBorder="1" applyAlignment="1">
      <alignment vertical="top" wrapText="1"/>
    </xf>
    <xf numFmtId="0" fontId="9" fillId="7" borderId="44" xfId="0" applyFont="1" applyFill="1" applyBorder="1" applyAlignment="1">
      <alignment horizontal="left" vertical="top" wrapText="1"/>
    </xf>
    <xf numFmtId="0" fontId="9" fillId="8" borderId="44" xfId="0" applyFont="1" applyFill="1" applyBorder="1" applyAlignment="1">
      <alignment horizontal="left"/>
    </xf>
    <xf numFmtId="0" fontId="2" fillId="8" borderId="44" xfId="0" applyFont="1" applyFill="1" applyBorder="1" applyAlignment="1">
      <alignment horizontal="left" vertical="center" wrapText="1"/>
    </xf>
    <xf numFmtId="0" fontId="9" fillId="8" borderId="44" xfId="0" applyFont="1" applyFill="1" applyBorder="1" applyAlignment="1">
      <alignment horizontal="left" vertical="top"/>
    </xf>
    <xf numFmtId="0" fontId="2" fillId="8" borderId="46" xfId="0" applyFont="1" applyFill="1" applyBorder="1" applyAlignment="1">
      <alignment horizontal="left" wrapText="1"/>
    </xf>
    <xf numFmtId="0" fontId="2" fillId="8" borderId="38" xfId="0" applyFont="1" applyFill="1" applyBorder="1" applyAlignment="1">
      <alignment horizontal="left" wrapText="1"/>
    </xf>
    <xf numFmtId="14" fontId="2" fillId="8" borderId="44" xfId="0" applyNumberFormat="1" applyFont="1" applyFill="1" applyBorder="1" applyAlignment="1">
      <alignment horizontal="left" vertical="center" wrapText="1"/>
    </xf>
    <xf numFmtId="1" fontId="9" fillId="8" borderId="44" xfId="0" applyNumberFormat="1" applyFont="1" applyFill="1" applyBorder="1" applyAlignment="1">
      <alignment horizontal="left" vertical="top"/>
    </xf>
    <xf numFmtId="0" fontId="9" fillId="8" borderId="44" xfId="0" applyFont="1" applyFill="1" applyBorder="1" applyAlignment="1">
      <alignment horizontal="left" vertical="center"/>
    </xf>
    <xf numFmtId="14" fontId="9" fillId="8" borderId="44" xfId="0" applyNumberFormat="1" applyFont="1" applyFill="1" applyBorder="1" applyAlignment="1">
      <alignment horizontal="left" vertical="center"/>
    </xf>
    <xf numFmtId="0" fontId="9" fillId="8" borderId="44" xfId="0" applyFont="1" applyFill="1" applyBorder="1" applyAlignment="1">
      <alignment horizontal="left" wrapText="1"/>
    </xf>
    <xf numFmtId="0" fontId="9" fillId="14" borderId="44" xfId="0" applyFont="1" applyFill="1" applyBorder="1" applyAlignment="1">
      <alignment horizontal="left" wrapText="1"/>
    </xf>
    <xf numFmtId="0" fontId="2" fillId="14" borderId="44" xfId="0" applyFont="1" applyFill="1" applyBorder="1" applyAlignment="1">
      <alignment horizontal="left"/>
    </xf>
    <xf numFmtId="0" fontId="9" fillId="14" borderId="44" xfId="0" applyFont="1" applyFill="1" applyBorder="1" applyAlignment="1">
      <alignment horizontal="left" vertical="top"/>
    </xf>
    <xf numFmtId="0" fontId="9" fillId="13" borderId="45" xfId="0" applyFont="1" applyFill="1" applyBorder="1" applyAlignment="1">
      <alignment horizontal="left"/>
    </xf>
    <xf numFmtId="0" fontId="18" fillId="13" borderId="45" xfId="0" applyFont="1" applyFill="1" applyBorder="1" applyAlignment="1">
      <alignment wrapText="1"/>
    </xf>
    <xf numFmtId="0" fontId="18" fillId="13" borderId="45" xfId="0" applyFont="1" applyFill="1" applyBorder="1" applyAlignment="1">
      <alignment horizontal="left" wrapText="1"/>
    </xf>
    <xf numFmtId="0" fontId="9" fillId="13" borderId="45" xfId="0" applyFont="1" applyFill="1" applyBorder="1" applyAlignment="1">
      <alignment horizontal="left" vertical="top"/>
    </xf>
    <xf numFmtId="0" fontId="7" fillId="13" borderId="45" xfId="0" applyFont="1" applyFill="1" applyBorder="1" applyAlignment="1">
      <alignment wrapText="1"/>
    </xf>
    <xf numFmtId="0" fontId="7" fillId="13" borderId="45" xfId="0" applyFont="1" applyFill="1" applyBorder="1" applyAlignment="1">
      <alignment horizontal="right" wrapText="1"/>
    </xf>
    <xf numFmtId="14" fontId="18" fillId="13" borderId="45" xfId="0" applyNumberFormat="1" applyFont="1" applyFill="1" applyBorder="1" applyAlignment="1">
      <alignment horizontal="left" vertical="center" wrapText="1"/>
    </xf>
    <xf numFmtId="1" fontId="9" fillId="13" borderId="45" xfId="0" applyNumberFormat="1" applyFont="1" applyFill="1" applyBorder="1" applyAlignment="1">
      <alignment horizontal="left" vertical="top"/>
    </xf>
    <xf numFmtId="14" fontId="18" fillId="13" borderId="45" xfId="0" applyNumberFormat="1" applyFont="1" applyFill="1" applyBorder="1" applyAlignment="1">
      <alignment horizontal="left" wrapText="1"/>
    </xf>
    <xf numFmtId="0" fontId="2" fillId="13" borderId="45" xfId="0" applyFont="1" applyFill="1" applyBorder="1" applyAlignment="1">
      <alignment horizontal="left"/>
    </xf>
    <xf numFmtId="0" fontId="2" fillId="13" borderId="45" xfId="0" applyFont="1" applyFill="1" applyBorder="1" applyAlignment="1">
      <alignment horizontal="left" vertical="center"/>
    </xf>
    <xf numFmtId="14" fontId="9" fillId="13" borderId="45" xfId="0" applyNumberFormat="1" applyFont="1" applyFill="1" applyBorder="1" applyAlignment="1">
      <alignment horizontal="left" vertical="center"/>
    </xf>
    <xf numFmtId="0" fontId="2" fillId="13" borderId="45" xfId="0" applyFont="1" applyFill="1" applyBorder="1" applyAlignment="1">
      <alignment horizontal="left" wrapText="1"/>
    </xf>
    <xf numFmtId="0" fontId="9" fillId="6" borderId="45" xfId="0" applyFont="1" applyFill="1" applyBorder="1" applyAlignment="1">
      <alignment wrapText="1"/>
    </xf>
    <xf numFmtId="0" fontId="9" fillId="6" borderId="45" xfId="0" applyFont="1" applyFill="1" applyBorder="1" applyAlignment="1">
      <alignment vertical="top" wrapText="1"/>
    </xf>
    <xf numFmtId="0" fontId="9" fillId="6" borderId="45" xfId="0" applyFont="1" applyFill="1" applyBorder="1" applyAlignment="1">
      <alignment horizontal="left" vertical="top" wrapText="1"/>
    </xf>
    <xf numFmtId="0" fontId="9" fillId="32" borderId="36" xfId="0" applyFont="1" applyFill="1" applyBorder="1" applyAlignment="1">
      <alignment horizontal="left"/>
    </xf>
    <xf numFmtId="0" fontId="9" fillId="32" borderId="37" xfId="0" applyFont="1" applyFill="1" applyBorder="1" applyAlignment="1">
      <alignment horizontal="left"/>
    </xf>
    <xf numFmtId="1" fontId="9" fillId="32" borderId="37" xfId="0" applyNumberFormat="1" applyFont="1" applyFill="1" applyBorder="1" applyAlignment="1">
      <alignment horizontal="left"/>
    </xf>
    <xf numFmtId="0" fontId="9" fillId="32" borderId="37" xfId="0" applyFont="1" applyFill="1" applyBorder="1" applyAlignment="1">
      <alignment horizontal="left" vertical="top"/>
    </xf>
    <xf numFmtId="0" fontId="9" fillId="32" borderId="11" xfId="0" applyFont="1" applyFill="1" applyBorder="1" applyAlignment="1">
      <alignment horizontal="left" vertical="top"/>
    </xf>
    <xf numFmtId="0" fontId="9" fillId="32" borderId="38" xfId="0" applyFont="1" applyFill="1" applyBorder="1" applyAlignment="1">
      <alignment horizontal="left" vertical="top"/>
    </xf>
    <xf numFmtId="14" fontId="9" fillId="32" borderId="37" xfId="0" applyNumberFormat="1" applyFont="1" applyFill="1" applyBorder="1" applyAlignment="1">
      <alignment horizontal="left"/>
    </xf>
    <xf numFmtId="1" fontId="9" fillId="32" borderId="37" xfId="0" applyNumberFormat="1" applyFont="1" applyFill="1" applyBorder="1" applyAlignment="1">
      <alignment horizontal="left" vertical="top"/>
    </xf>
    <xf numFmtId="14" fontId="9" fillId="32" borderId="37" xfId="0" applyNumberFormat="1" applyFont="1" applyFill="1" applyBorder="1" applyAlignment="1">
      <alignment horizontal="left" vertical="center"/>
    </xf>
    <xf numFmtId="0" fontId="7" fillId="37" borderId="38" xfId="0" applyFont="1" applyFill="1" applyBorder="1" applyAlignment="1">
      <alignment horizontal="left" wrapText="1"/>
    </xf>
    <xf numFmtId="0" fontId="2" fillId="37" borderId="37" xfId="0" applyFont="1" applyFill="1" applyBorder="1" applyAlignment="1">
      <alignment horizontal="left" wrapText="1"/>
    </xf>
    <xf numFmtId="0" fontId="2" fillId="37" borderId="37" xfId="0" applyFont="1" applyFill="1" applyBorder="1" applyAlignment="1">
      <alignment horizontal="left" vertical="top" wrapText="1"/>
    </xf>
    <xf numFmtId="0" fontId="9" fillId="32" borderId="5" xfId="0" applyFont="1" applyFill="1" applyBorder="1" applyAlignment="1">
      <alignment horizontal="left"/>
    </xf>
    <xf numFmtId="0" fontId="13" fillId="32" borderId="5" xfId="0" applyFont="1" applyFill="1" applyBorder="1" applyAlignment="1">
      <alignment horizontal="left" vertical="center"/>
    </xf>
    <xf numFmtId="0" fontId="9" fillId="32" borderId="5" xfId="0" applyFont="1" applyFill="1" applyBorder="1" applyAlignment="1">
      <alignment horizontal="left" vertical="top"/>
    </xf>
    <xf numFmtId="0" fontId="7" fillId="32" borderId="5" xfId="0" applyFont="1" applyFill="1" applyBorder="1" applyAlignment="1">
      <alignment wrapText="1"/>
    </xf>
    <xf numFmtId="0" fontId="7" fillId="32" borderId="5" xfId="0" applyFont="1" applyFill="1" applyBorder="1" applyAlignment="1">
      <alignment horizontal="right" wrapText="1"/>
    </xf>
    <xf numFmtId="14" fontId="13" fillId="32" borderId="5" xfId="0" applyNumberFormat="1" applyFont="1" applyFill="1" applyBorder="1" applyAlignment="1">
      <alignment horizontal="left" vertical="center"/>
    </xf>
    <xf numFmtId="1" fontId="9" fillId="32" borderId="5" xfId="0" applyNumberFormat="1" applyFont="1" applyFill="1" applyBorder="1" applyAlignment="1">
      <alignment horizontal="left" vertical="top"/>
    </xf>
    <xf numFmtId="0" fontId="2" fillId="32" borderId="5" xfId="0" applyFont="1" applyFill="1" applyBorder="1" applyAlignment="1">
      <alignment horizontal="left"/>
    </xf>
    <xf numFmtId="0" fontId="2" fillId="32" borderId="5" xfId="0" applyFont="1" applyFill="1" applyBorder="1" applyAlignment="1">
      <alignment horizontal="left" vertical="center"/>
    </xf>
    <xf numFmtId="14" fontId="2" fillId="32" borderId="5" xfId="0" applyNumberFormat="1" applyFont="1" applyFill="1" applyBorder="1" applyAlignment="1">
      <alignment horizontal="left" vertical="center" wrapText="1"/>
    </xf>
    <xf numFmtId="0" fontId="2" fillId="32" borderId="5" xfId="0" applyFont="1" applyFill="1" applyBorder="1" applyAlignment="1">
      <alignment horizontal="left" wrapText="1"/>
    </xf>
    <xf numFmtId="0" fontId="9" fillId="32" borderId="5" xfId="0" applyFont="1" applyFill="1" applyBorder="1" applyAlignment="1">
      <alignment horizontal="left" vertical="top" wrapText="1"/>
    </xf>
    <xf numFmtId="0" fontId="9" fillId="34" borderId="5" xfId="0" applyFont="1" applyFill="1" applyBorder="1" applyAlignment="1">
      <alignment horizontal="left"/>
    </xf>
    <xf numFmtId="0" fontId="7" fillId="34" borderId="5" xfId="0" applyFont="1" applyFill="1" applyBorder="1" applyAlignment="1">
      <alignment wrapText="1"/>
    </xf>
    <xf numFmtId="0" fontId="7" fillId="34" borderId="5" xfId="0" applyFont="1" applyFill="1" applyBorder="1" applyAlignment="1">
      <alignment horizontal="right" wrapText="1"/>
    </xf>
    <xf numFmtId="14" fontId="13" fillId="34" borderId="5" xfId="0" applyNumberFormat="1" applyFont="1" applyFill="1" applyBorder="1" applyAlignment="1">
      <alignment horizontal="left" vertical="center" wrapText="1"/>
    </xf>
    <xf numFmtId="1" fontId="9" fillId="34" borderId="5" xfId="0" applyNumberFormat="1" applyFont="1" applyFill="1" applyBorder="1" applyAlignment="1">
      <alignment horizontal="left" vertical="top"/>
    </xf>
    <xf numFmtId="0" fontId="2" fillId="34" borderId="5" xfId="0" applyFont="1" applyFill="1" applyBorder="1" applyAlignment="1">
      <alignment horizontal="left"/>
    </xf>
    <xf numFmtId="0" fontId="2" fillId="34" borderId="5" xfId="0" applyFont="1" applyFill="1" applyBorder="1" applyAlignment="1">
      <alignment horizontal="left" vertical="center"/>
    </xf>
    <xf numFmtId="14" fontId="2" fillId="34" borderId="5" xfId="0" applyNumberFormat="1" applyFont="1" applyFill="1" applyBorder="1" applyAlignment="1">
      <alignment horizontal="left" vertical="center" wrapText="1"/>
    </xf>
    <xf numFmtId="0" fontId="2" fillId="34" borderId="5" xfId="0" applyFont="1" applyFill="1" applyBorder="1" applyAlignment="1">
      <alignment horizontal="left" wrapText="1"/>
    </xf>
    <xf numFmtId="0" fontId="9" fillId="31" borderId="5" xfId="0" applyFont="1" applyFill="1" applyBorder="1" applyAlignment="1">
      <alignment horizontal="left"/>
    </xf>
    <xf numFmtId="0" fontId="13" fillId="31" borderId="5" xfId="0" applyFont="1" applyFill="1" applyBorder="1" applyAlignment="1">
      <alignment horizontal="left" vertical="center" wrapText="1"/>
    </xf>
    <xf numFmtId="0" fontId="9" fillId="31" borderId="5" xfId="0" applyFont="1" applyFill="1" applyBorder="1" applyAlignment="1">
      <alignment horizontal="left" vertical="top"/>
    </xf>
    <xf numFmtId="0" fontId="7" fillId="31" borderId="5" xfId="0" applyFont="1" applyFill="1" applyBorder="1" applyAlignment="1">
      <alignment wrapText="1"/>
    </xf>
    <xf numFmtId="0" fontId="7" fillId="31" borderId="5" xfId="0" applyFont="1" applyFill="1" applyBorder="1" applyAlignment="1">
      <alignment horizontal="right" wrapText="1"/>
    </xf>
    <xf numFmtId="14" fontId="13" fillId="31" borderId="5" xfId="0" applyNumberFormat="1" applyFont="1" applyFill="1" applyBorder="1" applyAlignment="1">
      <alignment horizontal="left" vertical="center" wrapText="1"/>
    </xf>
    <xf numFmtId="1" fontId="9" fillId="31" borderId="5" xfId="0" applyNumberFormat="1" applyFont="1" applyFill="1" applyBorder="1" applyAlignment="1">
      <alignment horizontal="left" vertical="top"/>
    </xf>
    <xf numFmtId="0" fontId="2" fillId="31" borderId="5" xfId="0" applyFont="1" applyFill="1" applyBorder="1" applyAlignment="1">
      <alignment horizontal="left"/>
    </xf>
    <xf numFmtId="0" fontId="2" fillId="31" borderId="5" xfId="0" applyFont="1" applyFill="1" applyBorder="1" applyAlignment="1">
      <alignment horizontal="left" vertical="center"/>
    </xf>
    <xf numFmtId="14" fontId="2" fillId="31" borderId="5" xfId="0" applyNumberFormat="1" applyFont="1" applyFill="1" applyBorder="1" applyAlignment="1">
      <alignment horizontal="left" vertical="center" wrapText="1"/>
    </xf>
    <xf numFmtId="0" fontId="2" fillId="31" borderId="5" xfId="0" applyFont="1" applyFill="1" applyBorder="1" applyAlignment="1">
      <alignment horizontal="left" wrapText="1"/>
    </xf>
    <xf numFmtId="0" fontId="3" fillId="34" borderId="5" xfId="0" applyFont="1" applyFill="1" applyBorder="1" applyAlignment="1">
      <alignment horizontal="left"/>
    </xf>
    <xf numFmtId="0" fontId="9" fillId="34" borderId="6" xfId="0" applyFont="1" applyFill="1" applyBorder="1" applyAlignment="1">
      <alignment horizontal="left"/>
    </xf>
    <xf numFmtId="14" fontId="13" fillId="34" borderId="6" xfId="0" applyNumberFormat="1" applyFont="1" applyFill="1" applyBorder="1" applyAlignment="1">
      <alignment horizontal="left" vertical="center" wrapText="1"/>
    </xf>
    <xf numFmtId="1" fontId="9" fillId="34" borderId="6" xfId="0" applyNumberFormat="1" applyFont="1" applyFill="1" applyBorder="1" applyAlignment="1">
      <alignment horizontal="left" vertical="top"/>
    </xf>
    <xf numFmtId="0" fontId="2" fillId="34" borderId="6" xfId="0" applyFont="1" applyFill="1" applyBorder="1" applyAlignment="1">
      <alignment horizontal="left"/>
    </xf>
    <xf numFmtId="0" fontId="2" fillId="34" borderId="6" xfId="0" applyFont="1" applyFill="1" applyBorder="1" applyAlignment="1">
      <alignment horizontal="left" vertical="center"/>
    </xf>
    <xf numFmtId="14" fontId="2" fillId="34" borderId="6" xfId="0" applyNumberFormat="1" applyFont="1" applyFill="1" applyBorder="1" applyAlignment="1">
      <alignment horizontal="left" vertical="center" wrapText="1"/>
    </xf>
    <xf numFmtId="0" fontId="2" fillId="34" borderId="6" xfId="0" applyFont="1" applyFill="1" applyBorder="1" applyAlignment="1">
      <alignment horizontal="left" wrapText="1"/>
    </xf>
    <xf numFmtId="0" fontId="3" fillId="35" borderId="6" xfId="0" applyFont="1" applyFill="1" applyBorder="1" applyAlignment="1">
      <alignment horizontal="left"/>
    </xf>
    <xf numFmtId="0" fontId="9" fillId="35" borderId="6" xfId="0" applyFont="1" applyFill="1" applyBorder="1" applyAlignment="1">
      <alignment horizontal="left" vertical="top" wrapText="1"/>
    </xf>
    <xf numFmtId="0" fontId="2" fillId="27" borderId="5" xfId="0" applyFont="1" applyFill="1" applyBorder="1" applyAlignment="1">
      <alignment wrapText="1"/>
    </xf>
    <xf numFmtId="0" fontId="18" fillId="27" borderId="5" xfId="0" applyFont="1" applyFill="1" applyBorder="1" applyAlignment="1">
      <alignment wrapText="1"/>
    </xf>
    <xf numFmtId="0" fontId="2" fillId="27" borderId="5" xfId="0" applyFont="1" applyFill="1" applyBorder="1" applyAlignment="1">
      <alignment vertical="top" wrapText="1"/>
    </xf>
    <xf numFmtId="14" fontId="18" fillId="27" borderId="5" xfId="0" applyNumberFormat="1" applyFont="1" applyFill="1" applyBorder="1" applyAlignment="1">
      <alignment wrapText="1"/>
    </xf>
    <xf numFmtId="0" fontId="7" fillId="27" borderId="5" xfId="0" applyFont="1" applyFill="1" applyBorder="1" applyAlignment="1">
      <alignment wrapText="1"/>
    </xf>
    <xf numFmtId="14" fontId="2" fillId="27" borderId="5" xfId="0" applyNumberFormat="1" applyFont="1" applyFill="1" applyBorder="1" applyAlignment="1">
      <alignment wrapText="1"/>
    </xf>
    <xf numFmtId="0" fontId="13" fillId="27" borderId="5" xfId="0" applyFont="1" applyFill="1" applyBorder="1" applyAlignment="1">
      <alignment wrapText="1"/>
    </xf>
    <xf numFmtId="14" fontId="13" fillId="27" borderId="5" xfId="0" applyNumberFormat="1" applyFont="1" applyFill="1" applyBorder="1" applyAlignment="1">
      <alignment wrapText="1"/>
    </xf>
    <xf numFmtId="0" fontId="7" fillId="13" borderId="5" xfId="0" applyFont="1" applyFill="1" applyBorder="1" applyAlignment="1">
      <alignment wrapText="1"/>
    </xf>
    <xf numFmtId="0" fontId="7" fillId="13" borderId="5" xfId="0" applyFont="1" applyFill="1" applyBorder="1" applyAlignment="1">
      <alignment horizontal="right" wrapText="1"/>
    </xf>
    <xf numFmtId="1" fontId="9" fillId="13" borderId="5" xfId="0" applyNumberFormat="1" applyFont="1" applyFill="1" applyBorder="1" applyAlignment="1">
      <alignment horizontal="left" vertical="top"/>
    </xf>
    <xf numFmtId="0" fontId="2" fillId="13" borderId="5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left" vertical="center"/>
    </xf>
    <xf numFmtId="14" fontId="2" fillId="13" borderId="5" xfId="0" applyNumberFormat="1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left" wrapText="1"/>
    </xf>
    <xf numFmtId="0" fontId="2" fillId="33" borderId="6" xfId="0" applyFont="1" applyFill="1" applyBorder="1" applyAlignment="1">
      <alignment horizontal="left"/>
    </xf>
    <xf numFmtId="0" fontId="2" fillId="33" borderId="6" xfId="0" applyFont="1" applyFill="1" applyBorder="1" applyAlignment="1">
      <alignment horizontal="left" vertical="top"/>
    </xf>
    <xf numFmtId="14" fontId="2" fillId="33" borderId="6" xfId="0" applyNumberFormat="1" applyFont="1" applyFill="1" applyBorder="1" applyAlignment="1">
      <alignment horizontal="left"/>
    </xf>
    <xf numFmtId="1" fontId="2" fillId="33" borderId="6" xfId="0" applyNumberFormat="1" applyFont="1" applyFill="1" applyBorder="1" applyAlignment="1">
      <alignment horizontal="left" vertical="top"/>
    </xf>
    <xf numFmtId="0" fontId="3" fillId="33" borderId="6" xfId="0" applyFont="1" applyFill="1" applyBorder="1" applyAlignment="1">
      <alignment horizontal="left" vertical="center"/>
    </xf>
    <xf numFmtId="0" fontId="3" fillId="33" borderId="6" xfId="0" applyFont="1" applyFill="1" applyBorder="1" applyAlignment="1">
      <alignment horizontal="left" wrapText="1"/>
    </xf>
    <xf numFmtId="14" fontId="3" fillId="33" borderId="6" xfId="0" applyNumberFormat="1" applyFont="1" applyFill="1" applyBorder="1" applyAlignment="1">
      <alignment horizontal="left" vertical="top" wrapText="1"/>
    </xf>
    <xf numFmtId="0" fontId="3" fillId="27" borderId="6" xfId="0" applyFont="1" applyFill="1" applyBorder="1" applyAlignment="1">
      <alignment horizontal="left" wrapText="1"/>
    </xf>
    <xf numFmtId="0" fontId="2" fillId="27" borderId="6" xfId="0" applyFont="1" applyFill="1" applyBorder="1" applyAlignment="1">
      <alignment horizontal="left"/>
    </xf>
    <xf numFmtId="0" fontId="2" fillId="27" borderId="6" xfId="0" applyFont="1" applyFill="1" applyBorder="1" applyAlignment="1">
      <alignment horizontal="left" vertical="top"/>
    </xf>
    <xf numFmtId="14" fontId="2" fillId="27" borderId="6" xfId="0" applyNumberFormat="1" applyFont="1" applyFill="1" applyBorder="1" applyAlignment="1">
      <alignment horizontal="left"/>
    </xf>
    <xf numFmtId="1" fontId="2" fillId="27" borderId="6" xfId="0" applyNumberFormat="1" applyFont="1" applyFill="1" applyBorder="1" applyAlignment="1">
      <alignment horizontal="left" vertical="top"/>
    </xf>
    <xf numFmtId="0" fontId="3" fillId="27" borderId="6" xfId="0" applyFont="1" applyFill="1" applyBorder="1" applyAlignment="1">
      <alignment horizontal="left" vertical="center"/>
    </xf>
    <xf numFmtId="14" fontId="3" fillId="27" borderId="6" xfId="0" applyNumberFormat="1" applyFont="1" applyFill="1" applyBorder="1" applyAlignment="1">
      <alignment horizontal="left" vertical="top" wrapText="1"/>
    </xf>
    <xf numFmtId="0" fontId="9" fillId="27" borderId="6" xfId="0" applyFont="1" applyFill="1" applyBorder="1" applyAlignment="1">
      <alignment horizontal="left"/>
    </xf>
    <xf numFmtId="0" fontId="13" fillId="27" borderId="6" xfId="0" applyFont="1" applyFill="1" applyBorder="1" applyAlignment="1">
      <alignment horizontal="left" vertical="center" wrapText="1"/>
    </xf>
    <xf numFmtId="0" fontId="7" fillId="27" borderId="6" xfId="0" applyFont="1" applyFill="1" applyBorder="1" applyAlignment="1">
      <alignment wrapText="1"/>
    </xf>
    <xf numFmtId="0" fontId="7" fillId="27" borderId="6" xfId="0" applyFont="1" applyFill="1" applyBorder="1" applyAlignment="1">
      <alignment horizontal="right" wrapText="1"/>
    </xf>
    <xf numFmtId="14" fontId="13" fillId="27" borderId="6" xfId="0" applyNumberFormat="1" applyFont="1" applyFill="1" applyBorder="1" applyAlignment="1">
      <alignment horizontal="left" vertical="center" wrapText="1"/>
    </xf>
    <xf numFmtId="1" fontId="9" fillId="27" borderId="6" xfId="0" applyNumberFormat="1" applyFont="1" applyFill="1" applyBorder="1" applyAlignment="1">
      <alignment horizontal="left" vertical="top"/>
    </xf>
    <xf numFmtId="0" fontId="2" fillId="13" borderId="6" xfId="0" applyFont="1" applyFill="1" applyBorder="1" applyAlignment="1">
      <alignment horizontal="left" vertical="center"/>
    </xf>
    <xf numFmtId="0" fontId="7" fillId="13" borderId="6" xfId="0" applyFont="1" applyFill="1" applyBorder="1" applyAlignment="1">
      <alignment wrapText="1"/>
    </xf>
    <xf numFmtId="0" fontId="7" fillId="13" borderId="6" xfId="0" applyFont="1" applyFill="1" applyBorder="1" applyAlignment="1">
      <alignment horizontal="right" wrapText="1"/>
    </xf>
    <xf numFmtId="1" fontId="9" fillId="13" borderId="6" xfId="0" applyNumberFormat="1" applyFont="1" applyFill="1" applyBorder="1" applyAlignment="1">
      <alignment horizontal="left" vertical="top"/>
    </xf>
    <xf numFmtId="0" fontId="2" fillId="13" borderId="6" xfId="0" applyFont="1" applyFill="1" applyBorder="1" applyAlignment="1">
      <alignment horizontal="left"/>
    </xf>
    <xf numFmtId="14" fontId="3" fillId="13" borderId="6" xfId="0" applyNumberFormat="1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wrapText="1"/>
    </xf>
    <xf numFmtId="0" fontId="5" fillId="27" borderId="6" xfId="0" applyFont="1" applyFill="1" applyBorder="1" applyAlignment="1">
      <alignment horizontal="left" vertical="center"/>
    </xf>
    <xf numFmtId="14" fontId="5" fillId="27" borderId="6" xfId="0" applyNumberFormat="1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/>
    </xf>
    <xf numFmtId="0" fontId="7" fillId="8" borderId="5" xfId="0" applyFont="1" applyFill="1" applyBorder="1" applyAlignment="1">
      <alignment wrapText="1"/>
    </xf>
    <xf numFmtId="0" fontId="7" fillId="8" borderId="5" xfId="0" applyFont="1" applyFill="1" applyBorder="1" applyAlignment="1">
      <alignment horizontal="right" wrapText="1"/>
    </xf>
    <xf numFmtId="14" fontId="9" fillId="8" borderId="5" xfId="0" applyNumberFormat="1" applyFont="1" applyFill="1" applyBorder="1" applyAlignment="1">
      <alignment horizontal="left" vertical="top"/>
    </xf>
    <xf numFmtId="1" fontId="2" fillId="8" borderId="5" xfId="0" applyNumberFormat="1" applyFont="1" applyFill="1" applyBorder="1" applyAlignment="1">
      <alignment horizontal="left" vertical="top"/>
    </xf>
    <xf numFmtId="0" fontId="3" fillId="8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wrapText="1"/>
    </xf>
    <xf numFmtId="14" fontId="3" fillId="8" borderId="5" xfId="0" applyNumberFormat="1" applyFont="1" applyFill="1" applyBorder="1" applyAlignment="1">
      <alignment horizontal="left" vertical="top" wrapText="1"/>
    </xf>
    <xf numFmtId="0" fontId="2" fillId="34" borderId="5" xfId="0" applyFont="1" applyFill="1" applyBorder="1" applyAlignment="1">
      <alignment horizontal="left" vertical="top"/>
    </xf>
    <xf numFmtId="0" fontId="2" fillId="34" borderId="5" xfId="0" applyFont="1" applyFill="1" applyBorder="1" applyAlignment="1">
      <alignment wrapText="1"/>
    </xf>
    <xf numFmtId="0" fontId="2" fillId="34" borderId="5" xfId="0" applyFont="1" applyFill="1" applyBorder="1" applyAlignment="1">
      <alignment horizontal="left" vertical="center" wrapText="1"/>
    </xf>
    <xf numFmtId="14" fontId="2" fillId="34" borderId="5" xfId="0" applyNumberFormat="1" applyFont="1" applyFill="1" applyBorder="1" applyAlignment="1">
      <alignment horizontal="left" wrapText="1"/>
    </xf>
    <xf numFmtId="0" fontId="9" fillId="34" borderId="5" xfId="0" applyFont="1" applyFill="1" applyBorder="1" applyAlignment="1">
      <alignment horizontal="left" vertical="center"/>
    </xf>
    <xf numFmtId="14" fontId="3" fillId="34" borderId="5" xfId="0" applyNumberFormat="1" applyFont="1" applyFill="1" applyBorder="1" applyAlignment="1">
      <alignment horizontal="left" vertical="top" wrapText="1"/>
    </xf>
    <xf numFmtId="0" fontId="9" fillId="34" borderId="5" xfId="0" applyFont="1" applyFill="1" applyBorder="1" applyAlignment="1">
      <alignment horizontal="left" wrapText="1"/>
    </xf>
    <xf numFmtId="0" fontId="2" fillId="27" borderId="5" xfId="0" applyFont="1" applyFill="1" applyBorder="1" applyAlignment="1">
      <alignment horizontal="left" vertical="top"/>
    </xf>
    <xf numFmtId="0" fontId="2" fillId="3" borderId="39" xfId="0" applyFont="1" applyFill="1" applyBorder="1" applyAlignment="1">
      <alignment horizontal="left" wrapText="1"/>
    </xf>
    <xf numFmtId="0" fontId="2" fillId="3" borderId="40" xfId="0" applyFont="1" applyFill="1" applyBorder="1" applyAlignment="1">
      <alignment horizontal="left" wrapText="1"/>
    </xf>
    <xf numFmtId="0" fontId="13" fillId="3" borderId="40" xfId="0" applyFont="1" applyFill="1" applyBorder="1" applyAlignment="1">
      <alignment horizontal="left" wrapText="1"/>
    </xf>
    <xf numFmtId="11" fontId="13" fillId="3" borderId="40" xfId="0" applyNumberFormat="1" applyFont="1" applyFill="1" applyBorder="1" applyAlignment="1">
      <alignment horizontal="left" wrapText="1"/>
    </xf>
    <xf numFmtId="0" fontId="2" fillId="3" borderId="40" xfId="0" applyFont="1" applyFill="1" applyBorder="1" applyAlignment="1">
      <alignment horizontal="left" vertical="top" wrapText="1"/>
    </xf>
    <xf numFmtId="0" fontId="7" fillId="3" borderId="40" xfId="0" applyFont="1" applyFill="1" applyBorder="1" applyAlignment="1">
      <alignment vertical="top"/>
    </xf>
    <xf numFmtId="14" fontId="13" fillId="3" borderId="40" xfId="0" applyNumberFormat="1" applyFont="1" applyFill="1" applyBorder="1" applyAlignment="1">
      <alignment horizontal="left" wrapText="1"/>
    </xf>
    <xf numFmtId="0" fontId="7" fillId="3" borderId="40" xfId="0" applyFont="1" applyFill="1" applyBorder="1" applyAlignment="1">
      <alignment horizontal="left" vertical="top" wrapText="1"/>
    </xf>
    <xf numFmtId="0" fontId="7" fillId="3" borderId="40" xfId="0" applyFont="1" applyFill="1" applyBorder="1" applyAlignment="1">
      <alignment horizontal="left" wrapText="1"/>
    </xf>
    <xf numFmtId="14" fontId="2" fillId="3" borderId="40" xfId="0" applyNumberFormat="1" applyFont="1" applyFill="1" applyBorder="1" applyAlignment="1">
      <alignment horizontal="left" vertical="top" wrapText="1"/>
    </xf>
    <xf numFmtId="0" fontId="2" fillId="3" borderId="41" xfId="0" applyFont="1" applyFill="1" applyBorder="1" applyAlignment="1">
      <alignment horizontal="left" vertical="top" wrapText="1"/>
    </xf>
    <xf numFmtId="0" fontId="7" fillId="32" borderId="41" xfId="0" applyFont="1" applyFill="1" applyBorder="1" applyAlignment="1">
      <alignment horizontal="left" wrapText="1"/>
    </xf>
    <xf numFmtId="0" fontId="21" fillId="32" borderId="40" xfId="0" applyFont="1" applyFill="1" applyBorder="1" applyAlignment="1">
      <alignment horizontal="left" wrapText="1"/>
    </xf>
    <xf numFmtId="0" fontId="2" fillId="32" borderId="40" xfId="0" applyFont="1" applyFill="1" applyBorder="1" applyAlignment="1">
      <alignment horizontal="left" vertical="top" wrapText="1"/>
    </xf>
    <xf numFmtId="0" fontId="7" fillId="32" borderId="40" xfId="0" applyFont="1" applyFill="1" applyBorder="1" applyAlignment="1">
      <alignment horizontal="left" wrapText="1"/>
    </xf>
    <xf numFmtId="0" fontId="18" fillId="32" borderId="5" xfId="0" applyFont="1" applyFill="1" applyBorder="1" applyAlignment="1">
      <alignment horizontal="left" wrapText="1"/>
    </xf>
    <xf numFmtId="0" fontId="2" fillId="32" borderId="5" xfId="0" applyFont="1" applyFill="1" applyBorder="1" applyAlignment="1">
      <alignment horizontal="left" vertical="top" wrapText="1"/>
    </xf>
    <xf numFmtId="0" fontId="7" fillId="32" borderId="5" xfId="0" applyFont="1" applyFill="1" applyBorder="1" applyAlignment="1">
      <alignment horizontal="left" wrapText="1"/>
    </xf>
    <xf numFmtId="14" fontId="18" fillId="32" borderId="5" xfId="0" applyNumberFormat="1" applyFont="1" applyFill="1" applyBorder="1" applyAlignment="1">
      <alignment horizontal="left" wrapText="1"/>
    </xf>
    <xf numFmtId="0" fontId="7" fillId="32" borderId="5" xfId="0" applyFont="1" applyFill="1" applyBorder="1" applyAlignment="1">
      <alignment horizontal="left" vertical="top" wrapText="1"/>
    </xf>
    <xf numFmtId="14" fontId="2" fillId="32" borderId="5" xfId="0" applyNumberFormat="1" applyFont="1" applyFill="1" applyBorder="1" applyAlignment="1">
      <alignment horizontal="left" vertical="top" wrapText="1"/>
    </xf>
    <xf numFmtId="0" fontId="18" fillId="12" borderId="5" xfId="0" applyFont="1" applyFill="1" applyBorder="1" applyAlignment="1">
      <alignment horizontal="left" wrapText="1"/>
    </xf>
    <xf numFmtId="0" fontId="18" fillId="12" borderId="5" xfId="0" applyFont="1" applyFill="1" applyBorder="1" applyAlignment="1">
      <alignment horizontal="left" vertical="top" wrapText="1"/>
    </xf>
    <xf numFmtId="0" fontId="18" fillId="12" borderId="6" xfId="0" applyFont="1" applyFill="1" applyBorder="1" applyAlignment="1">
      <alignment horizontal="left" wrapText="1"/>
    </xf>
    <xf numFmtId="11" fontId="18" fillId="12" borderId="6" xfId="0" applyNumberFormat="1" applyFont="1" applyFill="1" applyBorder="1" applyAlignment="1">
      <alignment horizontal="left" wrapText="1"/>
    </xf>
    <xf numFmtId="0" fontId="18" fillId="12" borderId="6" xfId="0" applyFont="1" applyFill="1" applyBorder="1" applyAlignment="1">
      <alignment horizontal="left" vertical="top" wrapText="1"/>
    </xf>
    <xf numFmtId="14" fontId="18" fillId="12" borderId="6" xfId="0" applyNumberFormat="1" applyFont="1" applyFill="1" applyBorder="1" applyAlignment="1">
      <alignment horizontal="left" wrapText="1"/>
    </xf>
    <xf numFmtId="0" fontId="2" fillId="12" borderId="6" xfId="0" applyFont="1" applyFill="1" applyBorder="1" applyAlignment="1">
      <alignment horizontal="left"/>
    </xf>
    <xf numFmtId="0" fontId="2" fillId="12" borderId="6" xfId="0" applyFont="1" applyFill="1" applyBorder="1" applyAlignment="1">
      <alignment horizontal="left" vertical="top"/>
    </xf>
    <xf numFmtId="0" fontId="2" fillId="8" borderId="6" xfId="0" applyFont="1" applyFill="1" applyBorder="1" applyAlignment="1">
      <alignment horizontal="left"/>
    </xf>
    <xf numFmtId="0" fontId="2" fillId="8" borderId="6" xfId="0" applyFont="1" applyFill="1" applyBorder="1" applyAlignment="1">
      <alignment horizontal="left" vertical="top"/>
    </xf>
    <xf numFmtId="0" fontId="18" fillId="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/>
    </xf>
    <xf numFmtId="14" fontId="2" fillId="8" borderId="6" xfId="0" applyNumberFormat="1" applyFont="1" applyFill="1" applyBorder="1" applyAlignment="1">
      <alignment horizontal="left" vertical="top"/>
    </xf>
    <xf numFmtId="0" fontId="2" fillId="23" borderId="5" xfId="0" applyFont="1" applyFill="1" applyBorder="1" applyAlignment="1">
      <alignment horizontal="left"/>
    </xf>
    <xf numFmtId="0" fontId="13" fillId="23" borderId="5" xfId="0" applyFont="1" applyFill="1" applyBorder="1" applyAlignment="1">
      <alignment horizontal="left" vertical="center" wrapText="1"/>
    </xf>
    <xf numFmtId="0" fontId="2" fillId="23" borderId="5" xfId="0" applyFont="1" applyFill="1" applyBorder="1" applyAlignment="1">
      <alignment horizontal="left" vertical="top"/>
    </xf>
    <xf numFmtId="0" fontId="2" fillId="23" borderId="5" xfId="0" applyFont="1" applyFill="1" applyBorder="1" applyAlignment="1">
      <alignment vertical="top" wrapText="1"/>
    </xf>
    <xf numFmtId="14" fontId="13" fillId="23" borderId="5" xfId="0" applyNumberFormat="1" applyFont="1" applyFill="1" applyBorder="1" applyAlignment="1">
      <alignment horizontal="left" vertical="center" wrapText="1"/>
    </xf>
    <xf numFmtId="0" fontId="7" fillId="23" borderId="5" xfId="0" applyFont="1" applyFill="1" applyBorder="1" applyAlignment="1">
      <alignment horizontal="left"/>
    </xf>
    <xf numFmtId="14" fontId="2" fillId="23" borderId="5" xfId="0" applyNumberFormat="1" applyFont="1" applyFill="1" applyBorder="1" applyAlignment="1">
      <alignment horizontal="left"/>
    </xf>
    <xf numFmtId="0" fontId="2" fillId="21" borderId="5" xfId="0" applyFont="1" applyFill="1" applyBorder="1" applyAlignment="1">
      <alignment horizontal="left" vertical="top"/>
    </xf>
    <xf numFmtId="0" fontId="2" fillId="21" borderId="5" xfId="0" applyFont="1" applyFill="1" applyBorder="1" applyAlignment="1">
      <alignment horizontal="left" vertical="top" wrapText="1"/>
    </xf>
    <xf numFmtId="0" fontId="2" fillId="13" borderId="5" xfId="0" applyFont="1" applyFill="1" applyBorder="1" applyAlignment="1">
      <alignment wrapText="1"/>
    </xf>
    <xf numFmtId="0" fontId="2" fillId="13" borderId="5" xfId="0" applyFont="1" applyFill="1" applyBorder="1" applyAlignment="1">
      <alignment vertical="top" wrapText="1"/>
    </xf>
    <xf numFmtId="14" fontId="2" fillId="13" borderId="5" xfId="0" applyNumberFormat="1" applyFont="1" applyFill="1" applyBorder="1" applyAlignment="1">
      <alignment wrapText="1"/>
    </xf>
    <xf numFmtId="0" fontId="7" fillId="13" borderId="5" xfId="0" applyFont="1" applyFill="1" applyBorder="1" applyAlignment="1">
      <alignment vertical="top" wrapText="1"/>
    </xf>
    <xf numFmtId="14" fontId="2" fillId="13" borderId="5" xfId="0" applyNumberFormat="1" applyFont="1" applyFill="1" applyBorder="1" applyAlignment="1">
      <alignment horizontal="left" wrapText="1"/>
    </xf>
    <xf numFmtId="0" fontId="2" fillId="21" borderId="6" xfId="0" applyFont="1" applyFill="1" applyBorder="1" applyAlignment="1">
      <alignment horizontal="left"/>
    </xf>
    <xf numFmtId="0" fontId="5" fillId="21" borderId="6" xfId="0" applyFont="1" applyFill="1" applyBorder="1" applyAlignment="1">
      <alignment horizontal="left" vertical="center" wrapText="1"/>
    </xf>
    <xf numFmtId="0" fontId="2" fillId="21" borderId="6" xfId="0" applyFont="1" applyFill="1" applyBorder="1" applyAlignment="1">
      <alignment horizontal="left" vertical="top"/>
    </xf>
    <xf numFmtId="0" fontId="0" fillId="21" borderId="6" xfId="0" applyFill="1" applyBorder="1" applyAlignment="1">
      <alignment horizontal="left" wrapText="1"/>
    </xf>
    <xf numFmtId="14" fontId="5" fillId="21" borderId="6" xfId="0" applyNumberFormat="1" applyFont="1" applyFill="1" applyBorder="1" applyAlignment="1">
      <alignment horizontal="left" vertical="center" wrapText="1"/>
    </xf>
    <xf numFmtId="14" fontId="2" fillId="21" borderId="6" xfId="0" applyNumberFormat="1" applyFont="1" applyFill="1" applyBorder="1" applyAlignment="1">
      <alignment horizontal="left"/>
    </xf>
    <xf numFmtId="0" fontId="2" fillId="32" borderId="6" xfId="0" applyFont="1" applyFill="1" applyBorder="1" applyAlignment="1">
      <alignment horizontal="left" vertical="top"/>
    </xf>
    <xf numFmtId="0" fontId="2" fillId="27" borderId="5" xfId="0" applyFont="1" applyFill="1" applyBorder="1" applyAlignment="1">
      <alignment horizontal="left"/>
    </xf>
    <xf numFmtId="0" fontId="7" fillId="27" borderId="5" xfId="0" applyFont="1" applyFill="1" applyBorder="1" applyAlignment="1">
      <alignment horizontal="right" wrapText="1"/>
    </xf>
    <xf numFmtId="14" fontId="2" fillId="27" borderId="5" xfId="0" applyNumberFormat="1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top"/>
    </xf>
    <xf numFmtId="0" fontId="7" fillId="8" borderId="11" xfId="0" applyFont="1" applyFill="1" applyBorder="1" applyAlignment="1">
      <alignment wrapText="1"/>
    </xf>
    <xf numFmtId="0" fontId="7" fillId="8" borderId="11" xfId="0" applyFont="1" applyFill="1" applyBorder="1" applyAlignment="1">
      <alignment horizontal="right" wrapText="1"/>
    </xf>
    <xf numFmtId="14" fontId="2" fillId="8" borderId="6" xfId="0" applyNumberFormat="1" applyFont="1" applyFill="1" applyBorder="1" applyAlignment="1">
      <alignment horizontal="left"/>
    </xf>
    <xf numFmtId="0" fontId="2" fillId="19" borderId="6" xfId="0" applyFont="1" applyFill="1" applyBorder="1" applyAlignment="1">
      <alignment horizontal="left"/>
    </xf>
    <xf numFmtId="0" fontId="2" fillId="19" borderId="6" xfId="0" applyFont="1" applyFill="1" applyBorder="1" applyAlignment="1">
      <alignment horizontal="left" vertical="top"/>
    </xf>
    <xf numFmtId="0" fontId="2" fillId="19" borderId="36" xfId="0" applyFont="1" applyFill="1" applyBorder="1" applyAlignment="1">
      <alignment horizontal="left"/>
    </xf>
    <xf numFmtId="0" fontId="2" fillId="19" borderId="37" xfId="0" applyFont="1" applyFill="1" applyBorder="1" applyAlignment="1">
      <alignment horizontal="left"/>
    </xf>
    <xf numFmtId="0" fontId="13" fillId="19" borderId="37" xfId="0" applyFont="1" applyFill="1" applyBorder="1" applyAlignment="1">
      <alignment horizontal="left" vertical="center" wrapText="1"/>
    </xf>
    <xf numFmtId="0" fontId="2" fillId="19" borderId="37" xfId="0" applyFont="1" applyFill="1" applyBorder="1" applyAlignment="1">
      <alignment horizontal="left" vertical="top"/>
    </xf>
    <xf numFmtId="0" fontId="7" fillId="19" borderId="11" xfId="0" applyFont="1" applyFill="1" applyBorder="1" applyAlignment="1">
      <alignment wrapText="1"/>
    </xf>
    <xf numFmtId="0" fontId="7" fillId="19" borderId="38" xfId="0" applyFont="1" applyFill="1" applyBorder="1" applyAlignment="1">
      <alignment horizontal="right" wrapText="1"/>
    </xf>
    <xf numFmtId="14" fontId="13" fillId="19" borderId="37" xfId="0" applyNumberFormat="1" applyFont="1" applyFill="1" applyBorder="1" applyAlignment="1">
      <alignment horizontal="left" vertical="center" wrapText="1"/>
    </xf>
    <xf numFmtId="14" fontId="2" fillId="19" borderId="37" xfId="0" applyNumberFormat="1" applyFont="1" applyFill="1" applyBorder="1" applyAlignment="1">
      <alignment horizontal="left"/>
    </xf>
    <xf numFmtId="0" fontId="2" fillId="19" borderId="11" xfId="0" applyFont="1" applyFill="1" applyBorder="1" applyAlignment="1">
      <alignment horizontal="left" vertical="top"/>
    </xf>
    <xf numFmtId="0" fontId="7" fillId="37" borderId="38" xfId="0" applyFont="1" applyFill="1" applyBorder="1" applyAlignment="1">
      <alignment wrapText="1"/>
    </xf>
    <xf numFmtId="0" fontId="2" fillId="37" borderId="37" xfId="0" applyFont="1" applyFill="1" applyBorder="1" applyAlignment="1">
      <alignment wrapText="1"/>
    </xf>
    <xf numFmtId="0" fontId="18" fillId="37" borderId="37" xfId="0" applyFont="1" applyFill="1" applyBorder="1" applyAlignment="1">
      <alignment wrapText="1"/>
    </xf>
    <xf numFmtId="0" fontId="2" fillId="27" borderId="39" xfId="0" applyFont="1" applyFill="1" applyBorder="1" applyAlignment="1">
      <alignment horizontal="left"/>
    </xf>
    <xf numFmtId="0" fontId="2" fillId="27" borderId="40" xfId="0" applyFont="1" applyFill="1" applyBorder="1" applyAlignment="1">
      <alignment horizontal="left"/>
    </xf>
    <xf numFmtId="0" fontId="5" fillId="27" borderId="40" xfId="0" applyFont="1" applyFill="1" applyBorder="1" applyAlignment="1">
      <alignment horizontal="left" vertical="center" wrapText="1"/>
    </xf>
    <xf numFmtId="0" fontId="2" fillId="27" borderId="40" xfId="0" applyFont="1" applyFill="1" applyBorder="1" applyAlignment="1">
      <alignment horizontal="left" vertical="top"/>
    </xf>
    <xf numFmtId="14" fontId="5" fillId="27" borderId="40" xfId="0" applyNumberFormat="1" applyFont="1" applyFill="1" applyBorder="1" applyAlignment="1">
      <alignment horizontal="left" vertical="center" wrapText="1"/>
    </xf>
    <xf numFmtId="14" fontId="2" fillId="27" borderId="40" xfId="0" applyNumberFormat="1" applyFont="1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7" fillId="15" borderId="40" xfId="0" applyFont="1" applyFill="1" applyBorder="1" applyAlignment="1">
      <alignment wrapText="1"/>
    </xf>
    <xf numFmtId="0" fontId="2" fillId="15" borderId="40" xfId="0" applyFont="1" applyFill="1" applyBorder="1" applyAlignment="1">
      <alignment vertical="top" wrapText="1"/>
    </xf>
    <xf numFmtId="0" fontId="2" fillId="15" borderId="44" xfId="0" applyFont="1" applyFill="1" applyBorder="1" applyAlignment="1">
      <alignment wrapText="1"/>
    </xf>
    <xf numFmtId="0" fontId="5" fillId="15" borderId="44" xfId="0" applyFont="1" applyFill="1" applyBorder="1" applyAlignment="1">
      <alignment wrapText="1"/>
    </xf>
    <xf numFmtId="0" fontId="2" fillId="15" borderId="44" xfId="0" applyFont="1" applyFill="1" applyBorder="1" applyAlignment="1">
      <alignment vertical="top" wrapText="1"/>
    </xf>
    <xf numFmtId="14" fontId="5" fillId="15" borderId="44" xfId="0" applyNumberFormat="1" applyFont="1" applyFill="1" applyBorder="1" applyAlignment="1">
      <alignment wrapText="1"/>
    </xf>
    <xf numFmtId="0" fontId="7" fillId="15" borderId="44" xfId="0" applyFont="1" applyFill="1" applyBorder="1" applyAlignment="1">
      <alignment vertical="top" wrapText="1"/>
    </xf>
    <xf numFmtId="14" fontId="2" fillId="15" borderId="44" xfId="0" applyNumberFormat="1" applyFont="1" applyFill="1" applyBorder="1" applyAlignment="1">
      <alignment wrapText="1"/>
    </xf>
    <xf numFmtId="0" fontId="7" fillId="15" borderId="44" xfId="0" applyFont="1" applyFill="1" applyBorder="1" applyAlignment="1">
      <alignment wrapText="1"/>
    </xf>
    <xf numFmtId="0" fontId="0" fillId="26" borderId="44" xfId="0" applyFill="1" applyBorder="1" applyAlignment="1">
      <alignment horizontal="left"/>
    </xf>
    <xf numFmtId="0" fontId="3" fillId="26" borderId="44" xfId="0" applyFont="1" applyFill="1" applyBorder="1" applyAlignment="1">
      <alignment horizontal="left" vertical="top" wrapText="1"/>
    </xf>
    <xf numFmtId="0" fontId="2" fillId="26" borderId="44" xfId="0" applyFont="1" applyFill="1" applyBorder="1" applyAlignment="1">
      <alignment horizontal="left" vertical="top"/>
    </xf>
    <xf numFmtId="0" fontId="2" fillId="15" borderId="5" xfId="0" applyFont="1" applyFill="1" applyBorder="1" applyAlignment="1">
      <alignment horizontal="left"/>
    </xf>
    <xf numFmtId="0" fontId="13" fillId="15" borderId="5" xfId="0" applyFont="1" applyFill="1" applyBorder="1" applyAlignment="1">
      <alignment horizontal="left" vertical="center"/>
    </xf>
    <xf numFmtId="0" fontId="2" fillId="15" borderId="5" xfId="0" applyFont="1" applyFill="1" applyBorder="1" applyAlignment="1">
      <alignment horizontal="left" vertical="top"/>
    </xf>
    <xf numFmtId="0" fontId="7" fillId="15" borderId="5" xfId="0" applyFont="1" applyFill="1" applyBorder="1" applyAlignment="1">
      <alignment wrapText="1"/>
    </xf>
    <xf numFmtId="0" fontId="7" fillId="15" borderId="5" xfId="0" applyFont="1" applyFill="1" applyBorder="1" applyAlignment="1">
      <alignment horizontal="right" wrapText="1"/>
    </xf>
    <xf numFmtId="14" fontId="13" fillId="15" borderId="5" xfId="0" applyNumberFormat="1" applyFont="1" applyFill="1" applyBorder="1" applyAlignment="1">
      <alignment horizontal="left" vertical="center"/>
    </xf>
    <xf numFmtId="14" fontId="2" fillId="15" borderId="5" xfId="0" applyNumberFormat="1" applyFont="1" applyFill="1" applyBorder="1" applyAlignment="1">
      <alignment horizontal="left"/>
    </xf>
    <xf numFmtId="0" fontId="3" fillId="15" borderId="5" xfId="0" applyFont="1" applyFill="1" applyBorder="1" applyAlignment="1">
      <alignment horizontal="left" vertical="top"/>
    </xf>
    <xf numFmtId="0" fontId="3" fillId="15" borderId="5" xfId="0" applyFont="1" applyFill="1" applyBorder="1" applyAlignment="1">
      <alignment horizontal="left"/>
    </xf>
    <xf numFmtId="0" fontId="2" fillId="15" borderId="6" xfId="0" applyFont="1" applyFill="1" applyBorder="1" applyAlignment="1">
      <alignment horizontal="left"/>
    </xf>
    <xf numFmtId="0" fontId="13" fillId="15" borderId="6" xfId="0" applyFont="1" applyFill="1" applyBorder="1" applyAlignment="1">
      <alignment horizontal="left" vertical="center" wrapText="1"/>
    </xf>
    <xf numFmtId="0" fontId="2" fillId="15" borderId="6" xfId="0" applyFont="1" applyFill="1" applyBorder="1" applyAlignment="1">
      <alignment horizontal="left" vertical="top"/>
    </xf>
    <xf numFmtId="14" fontId="13" fillId="15" borderId="6" xfId="0" applyNumberFormat="1" applyFont="1" applyFill="1" applyBorder="1" applyAlignment="1">
      <alignment horizontal="left" vertical="center" wrapText="1"/>
    </xf>
    <xf numFmtId="14" fontId="2" fillId="15" borderId="6" xfId="0" applyNumberFormat="1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horizontal="right" wrapText="1"/>
    </xf>
    <xf numFmtId="14" fontId="5" fillId="3" borderId="6" xfId="0" applyNumberFormat="1" applyFont="1" applyFill="1" applyBorder="1" applyAlignment="1">
      <alignment horizontal="left" vertical="center" wrapText="1"/>
    </xf>
    <xf numFmtId="14" fontId="2" fillId="3" borderId="6" xfId="0" applyNumberFormat="1" applyFont="1" applyFill="1" applyBorder="1" applyAlignment="1">
      <alignment horizontal="left"/>
    </xf>
    <xf numFmtId="0" fontId="2" fillId="3" borderId="6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 wrapText="1"/>
    </xf>
    <xf numFmtId="0" fontId="2" fillId="3" borderId="36" xfId="0" applyFont="1" applyFill="1" applyBorder="1"/>
    <xf numFmtId="0" fontId="2" fillId="3" borderId="37" xfId="0" applyFont="1" applyFill="1" applyBorder="1"/>
    <xf numFmtId="0" fontId="13" fillId="3" borderId="37" xfId="0" applyFont="1" applyFill="1" applyBorder="1"/>
    <xf numFmtId="11" fontId="13" fillId="3" borderId="37" xfId="0" applyNumberFormat="1" applyFont="1" applyFill="1" applyBorder="1"/>
    <xf numFmtId="0" fontId="7" fillId="3" borderId="37" xfId="0" applyFont="1" applyFill="1" applyBorder="1" applyAlignment="1">
      <alignment vertical="top"/>
    </xf>
    <xf numFmtId="0" fontId="5" fillId="3" borderId="37" xfId="0" applyFont="1" applyFill="1" applyBorder="1"/>
    <xf numFmtId="0" fontId="2" fillId="3" borderId="37" xfId="0" applyFont="1" applyFill="1" applyBorder="1" applyAlignment="1">
      <alignment vertical="top"/>
    </xf>
    <xf numFmtId="14" fontId="13" fillId="3" borderId="37" xfId="0" applyNumberFormat="1" applyFont="1" applyFill="1" applyBorder="1"/>
    <xf numFmtId="0" fontId="7" fillId="3" borderId="37" xfId="0" applyFont="1" applyFill="1" applyBorder="1"/>
    <xf numFmtId="14" fontId="2" fillId="3" borderId="37" xfId="0" applyNumberFormat="1" applyFont="1" applyFill="1" applyBorder="1"/>
    <xf numFmtId="0" fontId="2" fillId="0" borderId="39" xfId="0" applyFont="1" applyBorder="1"/>
    <xf numFmtId="0" fontId="2" fillId="0" borderId="40" xfId="0" applyFont="1" applyBorder="1"/>
    <xf numFmtId="0" fontId="18" fillId="0" borderId="40" xfId="0" applyFont="1" applyBorder="1"/>
    <xf numFmtId="0" fontId="18" fillId="0" borderId="40" xfId="0" applyFont="1" applyBorder="1" applyAlignment="1">
      <alignment horizontal="right"/>
    </xf>
    <xf numFmtId="0" fontId="2" fillId="0" borderId="40" xfId="0" applyFont="1" applyBorder="1" applyAlignment="1">
      <alignment vertical="top"/>
    </xf>
    <xf numFmtId="0" fontId="7" fillId="0" borderId="40" xfId="0" applyFont="1" applyBorder="1" applyAlignment="1">
      <alignment vertical="top"/>
    </xf>
    <xf numFmtId="14" fontId="18" fillId="0" borderId="40" xfId="0" applyNumberFormat="1" applyFont="1" applyBorder="1" applyAlignment="1">
      <alignment horizontal="right"/>
    </xf>
    <xf numFmtId="0" fontId="7" fillId="0" borderId="40" xfId="0" applyFont="1" applyBorder="1"/>
    <xf numFmtId="14" fontId="2" fillId="3" borderId="40" xfId="0" applyNumberFormat="1" applyFont="1" applyFill="1" applyBorder="1"/>
    <xf numFmtId="0" fontId="2" fillId="3" borderId="5" xfId="0" applyFont="1" applyFill="1" applyBorder="1" applyAlignment="1">
      <alignment horizontal="left"/>
    </xf>
    <xf numFmtId="0" fontId="2" fillId="3" borderId="36" xfId="0" applyFont="1" applyFill="1" applyBorder="1" applyAlignment="1">
      <alignment vertical="top" wrapText="1"/>
    </xf>
    <xf numFmtId="0" fontId="2" fillId="3" borderId="37" xfId="0" applyFont="1" applyFill="1" applyBorder="1" applyAlignment="1">
      <alignment vertical="top" wrapText="1"/>
    </xf>
    <xf numFmtId="0" fontId="7" fillId="3" borderId="37" xfId="0" applyFont="1" applyFill="1" applyBorder="1" applyAlignment="1">
      <alignment vertical="top" wrapText="1"/>
    </xf>
    <xf numFmtId="14" fontId="2" fillId="3" borderId="37" xfId="0" applyNumberFormat="1" applyFont="1" applyFill="1" applyBorder="1" applyAlignment="1">
      <alignment wrapText="1"/>
    </xf>
    <xf numFmtId="0" fontId="18" fillId="3" borderId="37" xfId="0" applyFont="1" applyFill="1" applyBorder="1" applyAlignment="1">
      <alignment wrapText="1"/>
    </xf>
    <xf numFmtId="0" fontId="2" fillId="0" borderId="37" xfId="0" applyFont="1" applyBorder="1" applyAlignment="1">
      <alignment vertical="top"/>
    </xf>
    <xf numFmtId="0" fontId="2" fillId="38" borderId="36" xfId="0" applyFont="1" applyFill="1" applyBorder="1" applyAlignment="1">
      <alignment vertical="top" wrapText="1"/>
    </xf>
    <xf numFmtId="0" fontId="2" fillId="38" borderId="37" xfId="0" applyFont="1" applyFill="1" applyBorder="1" applyAlignment="1">
      <alignment vertical="top" wrapText="1"/>
    </xf>
    <xf numFmtId="0" fontId="18" fillId="38" borderId="37" xfId="0" applyFont="1" applyFill="1" applyBorder="1" applyAlignment="1">
      <alignment wrapText="1"/>
    </xf>
    <xf numFmtId="0" fontId="18" fillId="38" borderId="37" xfId="0" applyFont="1" applyFill="1" applyBorder="1" applyAlignment="1">
      <alignment horizontal="right" wrapText="1"/>
    </xf>
    <xf numFmtId="0" fontId="2" fillId="38" borderId="37" xfId="0" applyFont="1" applyFill="1" applyBorder="1" applyAlignment="1">
      <alignment horizontal="right" vertical="top" wrapText="1"/>
    </xf>
    <xf numFmtId="14" fontId="18" fillId="38" borderId="37" xfId="0" applyNumberFormat="1" applyFont="1" applyFill="1" applyBorder="1" applyAlignment="1">
      <alignment horizontal="right" wrapText="1"/>
    </xf>
    <xf numFmtId="0" fontId="7" fillId="38" borderId="37" xfId="0" applyFont="1" applyFill="1" applyBorder="1" applyAlignment="1">
      <alignment vertical="top" wrapText="1"/>
    </xf>
    <xf numFmtId="0" fontId="2" fillId="38" borderId="37" xfId="0" applyFont="1" applyFill="1" applyBorder="1" applyAlignment="1">
      <alignment wrapText="1"/>
    </xf>
    <xf numFmtId="0" fontId="7" fillId="38" borderId="37" xfId="0" applyFont="1" applyFill="1" applyBorder="1" applyAlignment="1">
      <alignment wrapText="1"/>
    </xf>
    <xf numFmtId="0" fontId="2" fillId="38" borderId="37" xfId="0" applyFont="1" applyFill="1" applyBorder="1" applyAlignment="1">
      <alignment horizontal="right" wrapText="1"/>
    </xf>
    <xf numFmtId="14" fontId="2" fillId="38" borderId="37" xfId="0" applyNumberFormat="1" applyFont="1" applyFill="1" applyBorder="1" applyAlignment="1">
      <alignment horizontal="right" wrapText="1"/>
    </xf>
    <xf numFmtId="0" fontId="2" fillId="38" borderId="37" xfId="0" applyFont="1" applyFill="1" applyBorder="1" applyAlignment="1">
      <alignment horizontal="center" wrapText="1"/>
    </xf>
    <xf numFmtId="0" fontId="7" fillId="0" borderId="38" xfId="0" applyFont="1" applyBorder="1" applyAlignment="1">
      <alignment wrapText="1"/>
    </xf>
    <xf numFmtId="0" fontId="19" fillId="33" borderId="1" xfId="0" applyFont="1" applyFill="1" applyBorder="1" applyAlignment="1">
      <alignment horizontal="left" wrapText="1"/>
    </xf>
    <xf numFmtId="14" fontId="19" fillId="33" borderId="1" xfId="0" applyNumberFormat="1" applyFont="1" applyFill="1" applyBorder="1" applyAlignment="1">
      <alignment horizontal="left" wrapText="1"/>
    </xf>
    <xf numFmtId="14" fontId="2" fillId="8" borderId="1" xfId="0" applyNumberFormat="1" applyFont="1" applyFill="1" applyBorder="1" applyAlignment="1">
      <alignment horizontal="left" wrapText="1"/>
    </xf>
    <xf numFmtId="0" fontId="5" fillId="23" borderId="1" xfId="0" applyFont="1" applyFill="1" applyBorder="1" applyAlignment="1">
      <alignment horizontal="left"/>
    </xf>
    <xf numFmtId="0" fontId="5" fillId="25" borderId="1" xfId="0" applyFont="1" applyFill="1" applyBorder="1" applyAlignment="1">
      <alignment horizontal="left"/>
    </xf>
    <xf numFmtId="14" fontId="2" fillId="25" borderId="1" xfId="0" applyNumberFormat="1" applyFont="1" applyFill="1" applyBorder="1" applyAlignment="1">
      <alignment horizontal="left" wrapText="1"/>
    </xf>
    <xf numFmtId="0" fontId="1" fillId="25" borderId="1" xfId="0" applyFont="1" applyFill="1" applyBorder="1" applyAlignment="1">
      <alignment horizontal="left" vertical="center"/>
    </xf>
    <xf numFmtId="14" fontId="1" fillId="25" borderId="1" xfId="0" applyNumberFormat="1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left" wrapText="1"/>
    </xf>
    <xf numFmtId="0" fontId="5" fillId="25" borderId="1" xfId="0" applyFont="1" applyFill="1" applyBorder="1" applyAlignment="1">
      <alignment horizontal="left" vertical="center"/>
    </xf>
    <xf numFmtId="14" fontId="5" fillId="25" borderId="1" xfId="0" applyNumberFormat="1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left" wrapText="1"/>
    </xf>
    <xf numFmtId="14" fontId="2" fillId="33" borderId="1" xfId="0" applyNumberFormat="1" applyFont="1" applyFill="1" applyBorder="1" applyAlignment="1">
      <alignment horizontal="left" wrapText="1"/>
    </xf>
    <xf numFmtId="14" fontId="1" fillId="33" borderId="1" xfId="0" applyNumberFormat="1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/>
    </xf>
    <xf numFmtId="14" fontId="1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top" wrapText="1"/>
    </xf>
    <xf numFmtId="14" fontId="2" fillId="14" borderId="1" xfId="0" applyNumberFormat="1" applyFont="1" applyFill="1" applyBorder="1" applyAlignment="1">
      <alignment horizontal="left" vertical="center" wrapText="1"/>
    </xf>
    <xf numFmtId="14" fontId="2" fillId="14" borderId="1" xfId="0" applyNumberFormat="1" applyFont="1" applyFill="1" applyBorder="1" applyAlignment="1">
      <alignment horizontal="left" wrapText="1"/>
    </xf>
    <xf numFmtId="14" fontId="2" fillId="34" borderId="1" xfId="0" applyNumberFormat="1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left" vertical="top"/>
    </xf>
    <xf numFmtId="0" fontId="2" fillId="35" borderId="1" xfId="0" applyFont="1" applyFill="1" applyBorder="1" applyAlignment="1">
      <alignment horizontal="left" vertical="top"/>
    </xf>
    <xf numFmtId="0" fontId="2" fillId="35" borderId="1" xfId="0" applyFont="1" applyFill="1" applyBorder="1" applyAlignment="1">
      <alignment horizontal="left"/>
    </xf>
    <xf numFmtId="14" fontId="2" fillId="35" borderId="1" xfId="0" applyNumberFormat="1" applyFont="1" applyFill="1" applyBorder="1" applyAlignment="1">
      <alignment horizontal="left"/>
    </xf>
    <xf numFmtId="1" fontId="2" fillId="35" borderId="1" xfId="0" applyNumberFormat="1" applyFont="1" applyFill="1" applyBorder="1" applyAlignment="1">
      <alignment horizontal="left" vertical="top"/>
    </xf>
    <xf numFmtId="0" fontId="3" fillId="35" borderId="1" xfId="0" applyFont="1" applyFill="1" applyBorder="1" applyAlignment="1">
      <alignment horizontal="left" vertical="center"/>
    </xf>
    <xf numFmtId="0" fontId="3" fillId="35" borderId="1" xfId="0" applyFont="1" applyFill="1" applyBorder="1" applyAlignment="1">
      <alignment horizontal="left" wrapText="1"/>
    </xf>
    <xf numFmtId="14" fontId="3" fillId="35" borderId="1" xfId="0" applyNumberFormat="1" applyFont="1" applyFill="1" applyBorder="1" applyAlignment="1">
      <alignment horizontal="left" vertical="top" wrapText="1"/>
    </xf>
    <xf numFmtId="0" fontId="5" fillId="35" borderId="1" xfId="0" applyFont="1" applyFill="1" applyBorder="1" applyAlignment="1">
      <alignment horizontal="left" vertical="center"/>
    </xf>
    <xf numFmtId="14" fontId="5" fillId="3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wrapText="1"/>
    </xf>
    <xf numFmtId="14" fontId="5" fillId="3" borderId="1" xfId="0" applyNumberFormat="1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 vertical="top" wrapText="1"/>
    </xf>
    <xf numFmtId="11" fontId="5" fillId="12" borderId="1" xfId="0" applyNumberFormat="1" applyFont="1" applyFill="1" applyBorder="1" applyAlignment="1">
      <alignment horizontal="left" wrapText="1"/>
    </xf>
    <xf numFmtId="14" fontId="2" fillId="12" borderId="1" xfId="0" applyNumberFormat="1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center"/>
    </xf>
    <xf numFmtId="14" fontId="5" fillId="8" borderId="1" xfId="0" applyNumberFormat="1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wrapText="1"/>
    </xf>
    <xf numFmtId="14" fontId="5" fillId="15" borderId="1" xfId="0" applyNumberFormat="1" applyFont="1" applyFill="1" applyBorder="1" applyAlignment="1">
      <alignment horizontal="left" wrapText="1"/>
    </xf>
    <xf numFmtId="11" fontId="5" fillId="3" borderId="1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 wrapText="1"/>
    </xf>
    <xf numFmtId="0" fontId="2" fillId="38" borderId="1" xfId="0" applyFont="1" applyFill="1" applyBorder="1" applyAlignment="1">
      <alignment horizontal="left" vertical="top" wrapText="1"/>
    </xf>
    <xf numFmtId="0" fontId="2" fillId="38" borderId="1" xfId="0" applyFont="1" applyFill="1" applyBorder="1" applyAlignment="1">
      <alignment horizontal="left" wrapText="1"/>
    </xf>
    <xf numFmtId="14" fontId="2" fillId="38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left" vertical="top" wrapText="1"/>
    </xf>
    <xf numFmtId="0" fontId="2" fillId="39" borderId="1" xfId="0" applyFont="1" applyFill="1" applyBorder="1" applyAlignment="1">
      <alignment horizontal="left" wrapText="1"/>
    </xf>
    <xf numFmtId="14" fontId="2" fillId="39" borderId="1" xfId="0" applyNumberFormat="1" applyFont="1" applyFill="1" applyBorder="1" applyAlignment="1">
      <alignment horizontal="left" wrapText="1"/>
    </xf>
    <xf numFmtId="0" fontId="0" fillId="4" borderId="0" xfId="0" applyFill="1" applyAlignment="1">
      <alignment horizontal="left"/>
    </xf>
    <xf numFmtId="0" fontId="23" fillId="4" borderId="0" xfId="0" applyFont="1" applyFill="1" applyAlignment="1">
      <alignment horizontal="left" wrapText="1"/>
    </xf>
    <xf numFmtId="0" fontId="22" fillId="4" borderId="0" xfId="0" applyFont="1" applyFill="1" applyAlignment="1">
      <alignment horizontal="left" wrapText="1"/>
    </xf>
    <xf numFmtId="0" fontId="3" fillId="15" borderId="23" xfId="0" applyFont="1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5" fillId="13" borderId="23" xfId="0" applyFont="1" applyFill="1" applyBorder="1" applyAlignment="1">
      <alignment horizontal="left" vertical="center" wrapText="1"/>
    </xf>
    <xf numFmtId="0" fontId="18" fillId="13" borderId="23" xfId="0" applyFont="1" applyFill="1" applyBorder="1" applyAlignment="1">
      <alignment horizontal="left" vertical="center"/>
    </xf>
    <xf numFmtId="0" fontId="2" fillId="13" borderId="23" xfId="0" applyFont="1" applyFill="1" applyBorder="1" applyAlignment="1">
      <alignment horizontal="left" vertical="top"/>
    </xf>
    <xf numFmtId="14" fontId="5" fillId="13" borderId="23" xfId="0" applyNumberFormat="1" applyFont="1" applyFill="1" applyBorder="1" applyAlignment="1">
      <alignment horizontal="left" vertical="center" wrapText="1"/>
    </xf>
    <xf numFmtId="14" fontId="2" fillId="13" borderId="23" xfId="0" applyNumberFormat="1" applyFont="1" applyFill="1" applyBorder="1" applyAlignment="1">
      <alignment horizontal="left" vertical="top"/>
    </xf>
    <xf numFmtId="14" fontId="18" fillId="13" borderId="23" xfId="0" applyNumberFormat="1" applyFont="1" applyFill="1" applyBorder="1" applyAlignment="1">
      <alignment horizontal="left" vertical="center"/>
    </xf>
    <xf numFmtId="0" fontId="3" fillId="15" borderId="27" xfId="0" applyFont="1" applyFill="1" applyBorder="1" applyAlignment="1">
      <alignment horizontal="left" vertical="top"/>
    </xf>
    <xf numFmtId="0" fontId="0" fillId="4" borderId="27" xfId="0" applyFill="1" applyBorder="1" applyAlignment="1">
      <alignment horizontal="left"/>
    </xf>
    <xf numFmtId="0" fontId="20" fillId="15" borderId="1" xfId="0" applyFont="1" applyFill="1" applyBorder="1" applyAlignment="1">
      <alignment horizontal="left"/>
    </xf>
    <xf numFmtId="0" fontId="20" fillId="15" borderId="1" xfId="0" applyFont="1" applyFill="1" applyBorder="1" applyAlignment="1">
      <alignment horizontal="left" vertical="top"/>
    </xf>
    <xf numFmtId="14" fontId="2" fillId="4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11" fontId="2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14" fontId="1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14" fontId="13" fillId="4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/>
    </xf>
    <xf numFmtId="0" fontId="18" fillId="4" borderId="1" xfId="0" applyFont="1" applyFill="1" applyBorder="1" applyAlignment="1">
      <alignment horizontal="left" vertical="center"/>
    </xf>
    <xf numFmtId="14" fontId="18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17" fontId="2" fillId="4" borderId="1" xfId="0" applyNumberFormat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left" wrapText="1"/>
    </xf>
    <xf numFmtId="0" fontId="2" fillId="4" borderId="0" xfId="0" applyFont="1" applyFill="1" applyAlignment="1">
      <alignment horizontal="left" vertical="top" wrapText="1"/>
    </xf>
    <xf numFmtId="0" fontId="18" fillId="15" borderId="1" xfId="0" applyFont="1" applyFill="1" applyBorder="1" applyAlignment="1">
      <alignment horizontal="left" vertical="center"/>
    </xf>
    <xf numFmtId="14" fontId="18" fillId="15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wrapText="1"/>
    </xf>
    <xf numFmtId="14" fontId="14" fillId="4" borderId="1" xfId="0" applyNumberFormat="1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top" wrapText="1"/>
    </xf>
    <xf numFmtId="14" fontId="13" fillId="3" borderId="1" xfId="0" applyNumberFormat="1" applyFont="1" applyFill="1" applyBorder="1" applyAlignment="1">
      <alignment horizontal="left" vertical="top" wrapText="1"/>
    </xf>
  </cellXfs>
  <cellStyles count="9">
    <cellStyle name="Normal" xfId="0" builtinId="0"/>
    <cellStyle name="Normal 11" xfId="1" xr:uid="{00000000-0005-0000-0000-000001000000}"/>
    <cellStyle name="Normal 19" xfId="3" xr:uid="{00000000-0005-0000-0000-000002000000}"/>
    <cellStyle name="Normal 21" xfId="4" xr:uid="{00000000-0005-0000-0000-000003000000}"/>
    <cellStyle name="Normal 22" xfId="8" xr:uid="{00000000-0005-0000-0000-000004000000}"/>
    <cellStyle name="Normal 23" xfId="5" xr:uid="{00000000-0005-0000-0000-000005000000}"/>
    <cellStyle name="Normal 27" xfId="2" xr:uid="{00000000-0005-0000-0000-000006000000}"/>
    <cellStyle name="Normal 27 3" xfId="7" xr:uid="{00000000-0005-0000-0000-000007000000}"/>
    <cellStyle name="Normal 30" xfId="6" xr:uid="{00000000-0005-0000-0000-000008000000}"/>
  </cellStyles>
  <dxfs count="10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125661</xdr:colOff>
      <xdr:row>1</xdr:row>
      <xdr:rowOff>0</xdr:rowOff>
    </xdr:from>
    <xdr:to>
      <xdr:col>45</xdr:col>
      <xdr:colOff>367554</xdr:colOff>
      <xdr:row>22</xdr:row>
      <xdr:rowOff>62663</xdr:rowOff>
    </xdr:to>
    <xdr:sp macro="" textlink="">
      <xdr:nvSpPr>
        <xdr:cNvPr id="2" name="AutoShape 1" descr="NEBOUT GEORGINA ANTOINETTE, ANA 01, PCO 034, BRIN 6 blanc, Long 100m, 1 ANCIEN PB.">
          <a:extLst>
            <a:ext uri="{FF2B5EF4-FFF2-40B4-BE49-F238E27FC236}">
              <a16:creationId xmlns:a16="http://schemas.microsoft.com/office/drawing/2014/main" id="{29EECF8F-B129-4342-9BF9-665903560093}"/>
            </a:ext>
          </a:extLst>
        </xdr:cNvPr>
        <xdr:cNvSpPr>
          <a:spLocks noChangeAspect="1" noChangeArrowheads="1"/>
        </xdr:cNvSpPr>
      </xdr:nvSpPr>
      <xdr:spPr bwMode="auto">
        <a:xfrm>
          <a:off x="60476061" y="190500"/>
          <a:ext cx="241893" cy="3678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C-BUREAU2\Downloads\CANEVAS_GAGNOA_10-02-2026.xlsx" TargetMode="External"/><Relationship Id="rId1" Type="http://schemas.openxmlformats.org/officeDocument/2006/relationships/externalLinkPath" Target="/Users/ITC-BUREAU2/Downloads/CANEVAS_GAGNOA_10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IVI INSTANCE"/>
      <sheetName val="Feuil1"/>
      <sheetName val="SUIVI RACCORDEMENT"/>
    </sheetNames>
    <sheetDataSet>
      <sheetData sheetId="0"/>
      <sheetData sheetId="1">
        <row r="1">
          <cell r="A1" t="str">
            <v>NumeroAbonnement</v>
          </cell>
        </row>
        <row r="2">
          <cell r="A2" t="str">
            <v>RAB0000000274710</v>
          </cell>
        </row>
        <row r="3">
          <cell r="A3" t="str">
            <v>RAB0000000274124</v>
          </cell>
        </row>
        <row r="4">
          <cell r="A4" t="str">
            <v>RAB0000000274330</v>
          </cell>
        </row>
        <row r="5">
          <cell r="A5" t="str">
            <v>RAB0000000272986</v>
          </cell>
        </row>
        <row r="6">
          <cell r="A6" t="str">
            <v>RAB0000000272225</v>
          </cell>
        </row>
        <row r="7">
          <cell r="A7" t="str">
            <v>RAB0000000223669</v>
          </cell>
        </row>
        <row r="8">
          <cell r="A8" t="str">
            <v>RAB0000000221343</v>
          </cell>
        </row>
        <row r="9">
          <cell r="A9" t="str">
            <v>RAB0000000275973</v>
          </cell>
        </row>
        <row r="10">
          <cell r="A10" t="str">
            <v>RAB0000000275989</v>
          </cell>
        </row>
        <row r="11">
          <cell r="A11" t="str">
            <v>RAB0000000275934</v>
          </cell>
        </row>
        <row r="12">
          <cell r="A12" t="str">
            <v>RAB0000000275894</v>
          </cell>
        </row>
        <row r="13">
          <cell r="A13" t="str">
            <v>RAB0000000275916</v>
          </cell>
        </row>
        <row r="14">
          <cell r="A14" t="str">
            <v>RAB0000000275594</v>
          </cell>
        </row>
        <row r="15">
          <cell r="A15" t="str">
            <v>RAB0000000275914</v>
          </cell>
        </row>
        <row r="16">
          <cell r="A16" t="str">
            <v>RAB0000000275627</v>
          </cell>
        </row>
        <row r="17">
          <cell r="A17" t="str">
            <v>RAB0000000275747</v>
          </cell>
        </row>
        <row r="18">
          <cell r="A18" t="str">
            <v>RAB0000000275730</v>
          </cell>
        </row>
        <row r="19">
          <cell r="A19" t="str">
            <v>RAB0000000275873</v>
          </cell>
        </row>
        <row r="20">
          <cell r="A20" t="str">
            <v>RAB0000000275454</v>
          </cell>
        </row>
        <row r="21">
          <cell r="A21" t="str">
            <v>RAB0000000275539</v>
          </cell>
        </row>
        <row r="22">
          <cell r="A22" t="str">
            <v>RAB0000000275636</v>
          </cell>
        </row>
        <row r="23">
          <cell r="A23" t="str">
            <v>RAB0000000275471</v>
          </cell>
        </row>
        <row r="24">
          <cell r="A24" t="str">
            <v>RAB0000000275474</v>
          </cell>
        </row>
        <row r="25">
          <cell r="A25" t="str">
            <v>RAB0000000275749</v>
          </cell>
        </row>
        <row r="26">
          <cell r="A26" t="str">
            <v>RAB0000000275860</v>
          </cell>
        </row>
        <row r="27">
          <cell r="A27" t="str">
            <v>RAB0000000275763</v>
          </cell>
        </row>
        <row r="28">
          <cell r="A28" t="str">
            <v>RAB0000000275457</v>
          </cell>
        </row>
        <row r="29">
          <cell r="A29" t="str">
            <v>RAB0000000275739</v>
          </cell>
        </row>
        <row r="30">
          <cell r="A30" t="str">
            <v>RAB0000000275573</v>
          </cell>
        </row>
        <row r="31">
          <cell r="A31" t="str">
            <v>RAB0000000275756</v>
          </cell>
        </row>
        <row r="32">
          <cell r="A32" t="str">
            <v>RAB0000000275810</v>
          </cell>
        </row>
        <row r="33">
          <cell r="A33" t="str">
            <v>RAB0000000275874</v>
          </cell>
        </row>
        <row r="34">
          <cell r="A34" t="str">
            <v>RAB0000000275823</v>
          </cell>
        </row>
        <row r="35">
          <cell r="A35" t="str">
            <v>RAB0000000275738</v>
          </cell>
        </row>
        <row r="36">
          <cell r="A36" t="str">
            <v>RAB0000000275524</v>
          </cell>
        </row>
        <row r="37">
          <cell r="A37" t="str">
            <v>RAB0000000275511</v>
          </cell>
        </row>
        <row r="38">
          <cell r="A38" t="str">
            <v>RAB0000000275313</v>
          </cell>
        </row>
        <row r="39">
          <cell r="A39" t="str">
            <v>RAB0000000275307</v>
          </cell>
        </row>
        <row r="40">
          <cell r="A40" t="str">
            <v>RAB0000000275259</v>
          </cell>
        </row>
        <row r="41">
          <cell r="A41" t="str">
            <v>RAB0000000275402</v>
          </cell>
        </row>
        <row r="42">
          <cell r="A42" t="str">
            <v>RAB0000000275372</v>
          </cell>
        </row>
        <row r="43">
          <cell r="A43" t="str">
            <v>RAB0000000275278</v>
          </cell>
        </row>
        <row r="44">
          <cell r="A44" t="str">
            <v>RAB0000000275225</v>
          </cell>
        </row>
        <row r="45">
          <cell r="A45" t="str">
            <v>RAB0000000275792</v>
          </cell>
        </row>
        <row r="46">
          <cell r="A46" t="str">
            <v>RAB0000000275206</v>
          </cell>
        </row>
        <row r="47">
          <cell r="A47" t="str">
            <v>RAB0000000275120</v>
          </cell>
        </row>
        <row r="48">
          <cell r="A48" t="str">
            <v>RAB0000000275175</v>
          </cell>
        </row>
        <row r="49">
          <cell r="A49" t="str">
            <v>RAB0000000274670</v>
          </cell>
        </row>
        <row r="50">
          <cell r="A50" t="str">
            <v>RAB0000000275104</v>
          </cell>
        </row>
        <row r="51">
          <cell r="A51" t="str">
            <v>RAB0000000274792</v>
          </cell>
        </row>
        <row r="52">
          <cell r="A52" t="str">
            <v>RAB0000000274809</v>
          </cell>
        </row>
        <row r="53">
          <cell r="A53" t="str">
            <v>RAB0000000274608</v>
          </cell>
        </row>
        <row r="54">
          <cell r="A54" t="str">
            <v>RAB0000000274611</v>
          </cell>
        </row>
        <row r="55">
          <cell r="A55" t="str">
            <v>RAB0000000273956</v>
          </cell>
        </row>
        <row r="56">
          <cell r="A56" t="str">
            <v>RAB0000000276253</v>
          </cell>
        </row>
        <row r="57">
          <cell r="A57" t="str">
            <v>RAB0000000276084</v>
          </cell>
        </row>
        <row r="58">
          <cell r="A58" t="str">
            <v>RAB0000000276122</v>
          </cell>
        </row>
        <row r="59">
          <cell r="A59" t="str">
            <v>RAB0000000276159</v>
          </cell>
        </row>
        <row r="60">
          <cell r="A60" t="str">
            <v>RAB0000000276011</v>
          </cell>
        </row>
        <row r="61">
          <cell r="A61" t="str">
            <v>RAB0000000276114</v>
          </cell>
        </row>
        <row r="62">
          <cell r="A62" t="str">
            <v>RAB0000000276070</v>
          </cell>
        </row>
        <row r="63">
          <cell r="A63" t="str">
            <v>RAB0000000275945</v>
          </cell>
        </row>
        <row r="64">
          <cell r="A64" t="str">
            <v>RAB0000000275898</v>
          </cell>
        </row>
        <row r="65">
          <cell r="A65" t="str">
            <v>RAB0000000275910</v>
          </cell>
        </row>
        <row r="66">
          <cell r="A66" t="str">
            <v>RAB0000000275902</v>
          </cell>
        </row>
        <row r="67">
          <cell r="A67" t="str">
            <v>RAB0000000275966</v>
          </cell>
        </row>
        <row r="68">
          <cell r="A68" t="str">
            <v>RAB0000000275900</v>
          </cell>
        </row>
        <row r="69">
          <cell r="A69" t="str">
            <v>RAB0000000275907</v>
          </cell>
        </row>
        <row r="70">
          <cell r="A70" t="str">
            <v>RAB0000000275903</v>
          </cell>
        </row>
        <row r="71">
          <cell r="A71" t="str">
            <v>RAB0000000275979</v>
          </cell>
        </row>
        <row r="72">
          <cell r="A72" t="str">
            <v>RAB0000000275897</v>
          </cell>
        </row>
        <row r="73">
          <cell r="A73" t="str">
            <v>RAB0000000275862</v>
          </cell>
        </row>
        <row r="74">
          <cell r="A74" t="str">
            <v>RAB0000000275527</v>
          </cell>
        </row>
        <row r="75">
          <cell r="A75" t="str">
            <v>RAB0000000275798</v>
          </cell>
        </row>
        <row r="76">
          <cell r="A76" t="str">
            <v>RAB0000000275695</v>
          </cell>
        </row>
        <row r="77">
          <cell r="A77" t="str">
            <v>RAB0000000275805</v>
          </cell>
        </row>
        <row r="78">
          <cell r="A78" t="str">
            <v>RAB0000000275801</v>
          </cell>
        </row>
        <row r="79">
          <cell r="A79" t="str">
            <v>RAB0000000275068</v>
          </cell>
        </row>
        <row r="80">
          <cell r="A80" t="str">
            <v>RAB0000000214135</v>
          </cell>
        </row>
        <row r="81">
          <cell r="A81" t="str">
            <v>RAB0000000276621</v>
          </cell>
        </row>
        <row r="82">
          <cell r="A82" t="str">
            <v>RAB0000000276575</v>
          </cell>
        </row>
        <row r="83">
          <cell r="A83" t="str">
            <v>RAB0000000276241</v>
          </cell>
        </row>
        <row r="84">
          <cell r="A84" t="str">
            <v>RAB0000000276246</v>
          </cell>
        </row>
        <row r="85">
          <cell r="A85" t="str">
            <v>RAB0000000276305</v>
          </cell>
        </row>
        <row r="86">
          <cell r="A86" t="str">
            <v>RAB0000000276238</v>
          </cell>
        </row>
        <row r="87">
          <cell r="A87" t="str">
            <v>RAB0000000276249</v>
          </cell>
        </row>
        <row r="88">
          <cell r="A88" t="str">
            <v>RAB0000000276466</v>
          </cell>
        </row>
        <row r="89">
          <cell r="A89" t="str">
            <v>RAB0000000276494</v>
          </cell>
        </row>
        <row r="90">
          <cell r="A90" t="str">
            <v>RAB0000000276455</v>
          </cell>
        </row>
        <row r="91">
          <cell r="A91" t="str">
            <v>RAB0000000276217</v>
          </cell>
        </row>
        <row r="92">
          <cell r="A92" t="str">
            <v>RAB0000000276197</v>
          </cell>
        </row>
        <row r="93">
          <cell r="A93" t="str">
            <v>RAB0000000276195</v>
          </cell>
        </row>
        <row r="94">
          <cell r="A94" t="str">
            <v>RAB0000000276423</v>
          </cell>
        </row>
        <row r="95">
          <cell r="A95" t="str">
            <v>RAB0000000276452</v>
          </cell>
        </row>
        <row r="96">
          <cell r="A96" t="str">
            <v>RAB0000000276373</v>
          </cell>
        </row>
        <row r="97">
          <cell r="A97" t="str">
            <v>RAB0000000276320</v>
          </cell>
        </row>
        <row r="98">
          <cell r="A98" t="str">
            <v>RAB0000000276265</v>
          </cell>
        </row>
        <row r="99">
          <cell r="A99" t="str">
            <v>RAB0000000276500</v>
          </cell>
        </row>
        <row r="100">
          <cell r="A100" t="str">
            <v>RAB0000000276205</v>
          </cell>
        </row>
        <row r="101">
          <cell r="A101" t="str">
            <v>RAB0000000276273</v>
          </cell>
        </row>
        <row r="102">
          <cell r="A102" t="str">
            <v>RAB0000000276300</v>
          </cell>
        </row>
        <row r="103">
          <cell r="A103" t="str">
            <v>RAB0000000276317</v>
          </cell>
        </row>
        <row r="104">
          <cell r="A104" t="str">
            <v>RAB0000000276399</v>
          </cell>
        </row>
        <row r="105">
          <cell r="A105" t="str">
            <v>RAB0000000276415</v>
          </cell>
        </row>
        <row r="106">
          <cell r="A106" t="str">
            <v>RAB0000000276464</v>
          </cell>
        </row>
        <row r="107">
          <cell r="A107" t="str">
            <v>RAB0000000276025</v>
          </cell>
        </row>
        <row r="108">
          <cell r="A108" t="str">
            <v>RAB0000000275913</v>
          </cell>
        </row>
        <row r="109">
          <cell r="A109" t="str">
            <v>RAB0000000275562</v>
          </cell>
        </row>
        <row r="110">
          <cell r="A110" t="str">
            <v>RAB0000000275559</v>
          </cell>
        </row>
        <row r="111">
          <cell r="A111" t="str">
            <v>RAB0000000275455</v>
          </cell>
        </row>
        <row r="112">
          <cell r="A112" t="str">
            <v>RAB0000000275871</v>
          </cell>
        </row>
        <row r="113">
          <cell r="A113" t="str">
            <v>RAB0000000275476</v>
          </cell>
        </row>
        <row r="114">
          <cell r="A114" t="str">
            <v>RAB0000000275642</v>
          </cell>
        </row>
        <row r="115">
          <cell r="A115" t="str">
            <v>RAB0000000275266</v>
          </cell>
        </row>
        <row r="116">
          <cell r="A116" t="str">
            <v>RAB0000000275385</v>
          </cell>
        </row>
        <row r="117">
          <cell r="A117" t="str">
            <v>RAB0000000275428</v>
          </cell>
        </row>
        <row r="118">
          <cell r="A118" t="str">
            <v>RAB0000000275188</v>
          </cell>
        </row>
        <row r="119">
          <cell r="A119" t="str">
            <v>RAB0000000206236</v>
          </cell>
        </row>
        <row r="120">
          <cell r="A120" t="str">
            <v>RAB0000000276688</v>
          </cell>
        </row>
        <row r="121">
          <cell r="A121" t="str">
            <v>RAB0000000276606</v>
          </cell>
        </row>
        <row r="122">
          <cell r="A122" t="str">
            <v>RAB0000000276592</v>
          </cell>
        </row>
        <row r="123">
          <cell r="A123" t="str">
            <v>RAB0000000276541</v>
          </cell>
        </row>
        <row r="124">
          <cell r="A124" t="str">
            <v>RAB0000000276608</v>
          </cell>
        </row>
        <row r="125">
          <cell r="A125" t="str">
            <v>RAB0000000276535</v>
          </cell>
        </row>
        <row r="126">
          <cell r="A126" t="str">
            <v>RAB0000000276599</v>
          </cell>
        </row>
        <row r="127">
          <cell r="A127" t="str">
            <v>RAB0000000276603</v>
          </cell>
        </row>
        <row r="128">
          <cell r="A128" t="str">
            <v>RAB0000000276233</v>
          </cell>
        </row>
        <row r="129">
          <cell r="A129" t="str">
            <v>RAB0000000276502</v>
          </cell>
        </row>
        <row r="130">
          <cell r="A130" t="str">
            <v>RAB0000000276237</v>
          </cell>
        </row>
        <row r="131">
          <cell r="A131" t="str">
            <v>RAB0000000276420</v>
          </cell>
        </row>
        <row r="132">
          <cell r="A132" t="str">
            <v>RAB0000000276211</v>
          </cell>
        </row>
        <row r="133">
          <cell r="A133" t="str">
            <v>RAB0000000276436</v>
          </cell>
        </row>
        <row r="134">
          <cell r="A134" t="str">
            <v>RAB0000000276223</v>
          </cell>
        </row>
        <row r="135">
          <cell r="A135" t="str">
            <v>RAB0000000276512</v>
          </cell>
        </row>
        <row r="136">
          <cell r="A136" t="str">
            <v>RAB0000000276336</v>
          </cell>
        </row>
        <row r="137">
          <cell r="A137" t="str">
            <v>RAB0000000276382</v>
          </cell>
        </row>
        <row r="138">
          <cell r="A138" t="str">
            <v>RAB0000000276069</v>
          </cell>
        </row>
        <row r="139">
          <cell r="A139" t="str">
            <v>RAB0000000276024</v>
          </cell>
        </row>
        <row r="140">
          <cell r="A140" t="str">
            <v>RAB0000000275909</v>
          </cell>
        </row>
        <row r="141">
          <cell r="A141" t="str">
            <v>RAB0000000275576</v>
          </cell>
        </row>
        <row r="142">
          <cell r="A142" t="str">
            <v>RAB0000000275625</v>
          </cell>
        </row>
        <row r="143">
          <cell r="A143" t="str">
            <v>RAB0000000275702</v>
          </cell>
        </row>
        <row r="144">
          <cell r="A144" t="str">
            <v>RAB0000000275537</v>
          </cell>
        </row>
        <row r="145">
          <cell r="A145" t="str">
            <v>RAB0000000275609</v>
          </cell>
        </row>
        <row r="146">
          <cell r="A146" t="str">
            <v>RAB0000000275844</v>
          </cell>
        </row>
        <row r="147">
          <cell r="A147" t="str">
            <v>RAB0000000275318</v>
          </cell>
        </row>
        <row r="148">
          <cell r="A148" t="str">
            <v>RAB0000000275301</v>
          </cell>
        </row>
        <row r="149">
          <cell r="A149" t="str">
            <v>RAB0000000275228</v>
          </cell>
        </row>
        <row r="150">
          <cell r="A150" t="str">
            <v>RAB0000000275135</v>
          </cell>
        </row>
        <row r="151">
          <cell r="A151" t="str">
            <v>RAB0000000275119</v>
          </cell>
        </row>
        <row r="152">
          <cell r="A152" t="str">
            <v>RAB0000000274041</v>
          </cell>
        </row>
        <row r="153">
          <cell r="A153" t="str">
            <v>RAB0000000274844</v>
          </cell>
        </row>
        <row r="154">
          <cell r="A154" t="str">
            <v>RAB0000000274717</v>
          </cell>
        </row>
        <row r="155">
          <cell r="A155" t="str">
            <v>RAB0000000274096</v>
          </cell>
        </row>
        <row r="156">
          <cell r="A156" t="str">
            <v>RAB0000000274522</v>
          </cell>
        </row>
        <row r="157">
          <cell r="A157" t="str">
            <v>RAB0000000274103</v>
          </cell>
        </row>
        <row r="158">
          <cell r="A158" t="str">
            <v>RAB0000000274212</v>
          </cell>
        </row>
        <row r="159">
          <cell r="A159" t="str">
            <v>RAB0000000274211</v>
          </cell>
        </row>
        <row r="160">
          <cell r="A160" t="str">
            <v>RAB0000000274192</v>
          </cell>
        </row>
        <row r="161">
          <cell r="A161" t="str">
            <v>RAB0000000274011</v>
          </cell>
        </row>
        <row r="162">
          <cell r="A162" t="str">
            <v>RAB0000000273624</v>
          </cell>
        </row>
        <row r="163">
          <cell r="A163" t="str">
            <v>RAB0000000272821</v>
          </cell>
        </row>
        <row r="164">
          <cell r="A164" t="str">
            <v>RAB0000000276698</v>
          </cell>
        </row>
        <row r="165">
          <cell r="A165" t="str">
            <v>RAB0000000276754</v>
          </cell>
        </row>
        <row r="166">
          <cell r="A166" t="str">
            <v>RAB0000000276790</v>
          </cell>
        </row>
        <row r="167">
          <cell r="A167" t="str">
            <v>RAB0000000276691</v>
          </cell>
        </row>
        <row r="168">
          <cell r="A168" t="str">
            <v>RAB0000000276653</v>
          </cell>
        </row>
        <row r="169">
          <cell r="A169" t="str">
            <v>RAB0000000276669</v>
          </cell>
        </row>
        <row r="170">
          <cell r="A170" t="str">
            <v>RAB0000000276677</v>
          </cell>
        </row>
        <row r="171">
          <cell r="A171" t="str">
            <v>RAB0000000276656</v>
          </cell>
        </row>
        <row r="172">
          <cell r="A172" t="str">
            <v>RAB0000000276638</v>
          </cell>
        </row>
        <row r="173">
          <cell r="A173" t="str">
            <v>RAB0000000276797</v>
          </cell>
        </row>
        <row r="174">
          <cell r="A174" t="str">
            <v>RAB0000000276630</v>
          </cell>
        </row>
        <row r="175">
          <cell r="A175" t="str">
            <v>RAB0000000276733</v>
          </cell>
        </row>
        <row r="176">
          <cell r="A176" t="str">
            <v>RAB0000000276646</v>
          </cell>
        </row>
        <row r="177">
          <cell r="A177" t="str">
            <v>RAB0000000276802</v>
          </cell>
        </row>
        <row r="178">
          <cell r="A178" t="str">
            <v>RAB0000000276649</v>
          </cell>
        </row>
        <row r="179">
          <cell r="A179" t="str">
            <v>RAB0000000276838</v>
          </cell>
        </row>
        <row r="180">
          <cell r="A180" t="str">
            <v>RAB0000000276718</v>
          </cell>
        </row>
        <row r="181">
          <cell r="A181" t="str">
            <v>RAB0000000276826</v>
          </cell>
        </row>
        <row r="182">
          <cell r="A182" t="str">
            <v>RAB0000000276600</v>
          </cell>
        </row>
        <row r="183">
          <cell r="A183" t="str">
            <v>RAB0000000276404</v>
          </cell>
        </row>
        <row r="184">
          <cell r="A184" t="str">
            <v>RAB0000000276216</v>
          </cell>
        </row>
        <row r="185">
          <cell r="A185" t="str">
            <v>RAB0000000276009</v>
          </cell>
        </row>
        <row r="186">
          <cell r="A186" t="str">
            <v>RAB0000000276106</v>
          </cell>
        </row>
        <row r="187">
          <cell r="A187" t="str">
            <v>RAB0000000275566</v>
          </cell>
        </row>
        <row r="188">
          <cell r="A188" t="str">
            <v>RAB0000000275503</v>
          </cell>
        </row>
        <row r="189">
          <cell r="A189" t="str">
            <v>RAB0000000275567</v>
          </cell>
        </row>
        <row r="190">
          <cell r="A190" t="str">
            <v>RAB0000000275550</v>
          </cell>
        </row>
        <row r="191">
          <cell r="A191" t="str">
            <v>RAB0000000275564</v>
          </cell>
        </row>
        <row r="192">
          <cell r="A192" t="str">
            <v>RAB0000000275610</v>
          </cell>
        </row>
        <row r="193">
          <cell r="A193" t="str">
            <v>RAB0000000275579</v>
          </cell>
        </row>
        <row r="194">
          <cell r="A194" t="str">
            <v>RAB0000000275273</v>
          </cell>
        </row>
        <row r="195">
          <cell r="A195" t="str">
            <v>RAB0000000275309</v>
          </cell>
        </row>
        <row r="196">
          <cell r="A196" t="str">
            <v>RAB0000000275102</v>
          </cell>
        </row>
        <row r="197">
          <cell r="A197" t="str">
            <v>RAB0000000275134</v>
          </cell>
        </row>
        <row r="198">
          <cell r="A198" t="str">
            <v>RAB0000000275066</v>
          </cell>
        </row>
        <row r="199">
          <cell r="A199" t="str">
            <v>RAB0000000275065</v>
          </cell>
        </row>
        <row r="200">
          <cell r="A200" t="str">
            <v>RAB0000000275098</v>
          </cell>
        </row>
        <row r="201">
          <cell r="A201" t="str">
            <v>RAB0000000274853</v>
          </cell>
        </row>
        <row r="202">
          <cell r="A202" t="str">
            <v>RAB0000000275000</v>
          </cell>
        </row>
        <row r="203">
          <cell r="A203" t="str">
            <v>RAB0000000274623</v>
          </cell>
        </row>
        <row r="204">
          <cell r="A204" t="str">
            <v>RAB0000000273480</v>
          </cell>
        </row>
        <row r="205">
          <cell r="A205" t="str">
            <v>RAB0000000268869</v>
          </cell>
        </row>
        <row r="206">
          <cell r="A206" t="str">
            <v>RAB0000000223153</v>
          </cell>
        </row>
        <row r="207">
          <cell r="A207" t="str">
            <v>RAB0000000221716</v>
          </cell>
        </row>
        <row r="208">
          <cell r="A208" t="str">
            <v>RAB0000000221739</v>
          </cell>
        </row>
        <row r="209">
          <cell r="A209" t="str">
            <v>RAB0000000205736</v>
          </cell>
        </row>
        <row r="210">
          <cell r="A210" t="str">
            <v>RAB0000000194998</v>
          </cell>
        </row>
        <row r="211">
          <cell r="A211" t="str">
            <v>RAB0000000276967</v>
          </cell>
        </row>
        <row r="212">
          <cell r="A212" t="str">
            <v>RAB0000000277085</v>
          </cell>
        </row>
        <row r="213">
          <cell r="A213" t="str">
            <v>RAB0000000276909</v>
          </cell>
        </row>
        <row r="214">
          <cell r="A214" t="str">
            <v>RAB0000000276983</v>
          </cell>
        </row>
        <row r="215">
          <cell r="A215" t="str">
            <v>RAB0000000276736</v>
          </cell>
        </row>
        <row r="216">
          <cell r="A216" t="str">
            <v>RAB0000000276876</v>
          </cell>
        </row>
        <row r="217">
          <cell r="A217" t="str">
            <v>RAB0000000276664</v>
          </cell>
        </row>
        <row r="218">
          <cell r="A218" t="str">
            <v>RAB0000000276624</v>
          </cell>
        </row>
        <row r="219">
          <cell r="A219" t="str">
            <v>RAB0000000276757</v>
          </cell>
        </row>
        <row r="220">
          <cell r="A220" t="str">
            <v>RAB0000000276809</v>
          </cell>
        </row>
        <row r="221">
          <cell r="A221" t="str">
            <v>RAB0000000276792</v>
          </cell>
        </row>
        <row r="222">
          <cell r="A222" t="str">
            <v>RAB0000000276557</v>
          </cell>
        </row>
        <row r="223">
          <cell r="A223" t="str">
            <v>RAB0000000276596</v>
          </cell>
        </row>
        <row r="224">
          <cell r="A224" t="str">
            <v>RAB0000000276538</v>
          </cell>
        </row>
        <row r="225">
          <cell r="A225" t="str">
            <v>RAB0000000276482</v>
          </cell>
        </row>
        <row r="226">
          <cell r="A226" t="str">
            <v>RAB0000000276222</v>
          </cell>
        </row>
        <row r="227">
          <cell r="A227" t="str">
            <v>RAB0000000276515</v>
          </cell>
        </row>
        <row r="228">
          <cell r="A228" t="str">
            <v>RAB0000000276221</v>
          </cell>
        </row>
        <row r="229">
          <cell r="A229" t="str">
            <v>RAB0000000276271</v>
          </cell>
        </row>
        <row r="230">
          <cell r="A230" t="str">
            <v>RAB0000000275950</v>
          </cell>
        </row>
        <row r="231">
          <cell r="A231" t="str">
            <v>RAB0000000275933</v>
          </cell>
        </row>
        <row r="232">
          <cell r="A232" t="str">
            <v>RAB0000000275572</v>
          </cell>
        </row>
        <row r="233">
          <cell r="A233" t="str">
            <v>RAB0000000275619</v>
          </cell>
        </row>
        <row r="234">
          <cell r="A234" t="str">
            <v>RAB0000000275714</v>
          </cell>
        </row>
        <row r="235">
          <cell r="A235" t="str">
            <v>RAB0000000275611</v>
          </cell>
        </row>
        <row r="236">
          <cell r="A236" t="str">
            <v>RAB0000000275544</v>
          </cell>
        </row>
        <row r="237">
          <cell r="A237" t="str">
            <v>RAB0000000275661</v>
          </cell>
        </row>
        <row r="238">
          <cell r="A238" t="str">
            <v>RAB0000000275634</v>
          </cell>
        </row>
        <row r="239">
          <cell r="A239" t="str">
            <v>RAB0000000275563</v>
          </cell>
        </row>
        <row r="240">
          <cell r="A240" t="str">
            <v>RAB0000000275444</v>
          </cell>
        </row>
        <row r="241">
          <cell r="A241" t="str">
            <v>RAB0000000275294</v>
          </cell>
        </row>
        <row r="242">
          <cell r="A242" t="str">
            <v>RAB0000000274964</v>
          </cell>
        </row>
        <row r="243">
          <cell r="A243" t="str">
            <v>RAB0000000274960</v>
          </cell>
        </row>
        <row r="244">
          <cell r="A244" t="str">
            <v>RAB0000000273961</v>
          </cell>
        </row>
        <row r="245">
          <cell r="A245" t="str">
            <v>RAB0000000223439</v>
          </cell>
        </row>
        <row r="246">
          <cell r="A246" t="str">
            <v>RAB0000000204744</v>
          </cell>
        </row>
        <row r="247">
          <cell r="A247" t="str">
            <v>RAB0000000203856</v>
          </cell>
        </row>
        <row r="248">
          <cell r="A248" t="str">
            <v>RAB0000000277215</v>
          </cell>
        </row>
        <row r="249">
          <cell r="A249" t="str">
            <v>RAB0000000277182</v>
          </cell>
        </row>
        <row r="250">
          <cell r="A250" t="str">
            <v>RAB0000000277244</v>
          </cell>
        </row>
        <row r="251">
          <cell r="A251" t="str">
            <v>RAB0000000277107</v>
          </cell>
        </row>
        <row r="252">
          <cell r="A252" t="str">
            <v>RAB0000000277114</v>
          </cell>
        </row>
        <row r="253">
          <cell r="A253" t="str">
            <v>RAB0000000277114</v>
          </cell>
        </row>
        <row r="254">
          <cell r="A254" t="str">
            <v>RAB0000000276907</v>
          </cell>
        </row>
        <row r="255">
          <cell r="A255" t="str">
            <v>RAB0000000277098</v>
          </cell>
        </row>
        <row r="256">
          <cell r="A256" t="str">
            <v>RAB0000000277095</v>
          </cell>
        </row>
        <row r="257">
          <cell r="A257" t="str">
            <v>RAB0000000277086</v>
          </cell>
        </row>
        <row r="258">
          <cell r="A258" t="str">
            <v>RAB0000000277035</v>
          </cell>
        </row>
        <row r="259">
          <cell r="A259" t="str">
            <v>RAB0000000277004</v>
          </cell>
        </row>
        <row r="260">
          <cell r="A260" t="str">
            <v>RAB0000000277029</v>
          </cell>
        </row>
        <row r="261">
          <cell r="A261" t="str">
            <v>RAB0000000277005</v>
          </cell>
        </row>
        <row r="262">
          <cell r="A262" t="str">
            <v>RAB0000000276947</v>
          </cell>
        </row>
        <row r="263">
          <cell r="A263" t="str">
            <v>RAB0000000276932</v>
          </cell>
        </row>
        <row r="264">
          <cell r="A264" t="str">
            <v>RAB0000000277121</v>
          </cell>
        </row>
        <row r="265">
          <cell r="A265" t="str">
            <v>RAB0000000276963</v>
          </cell>
        </row>
        <row r="266">
          <cell r="A266" t="str">
            <v>RAB0000000277063</v>
          </cell>
        </row>
        <row r="267">
          <cell r="A267" t="str">
            <v>RAB0000000277015</v>
          </cell>
        </row>
        <row r="268">
          <cell r="A268" t="str">
            <v>RAB0000000276867</v>
          </cell>
        </row>
        <row r="269">
          <cell r="A269" t="str">
            <v>RAB0000000276868</v>
          </cell>
        </row>
        <row r="270">
          <cell r="A270" t="str">
            <v>RAB0000000276783</v>
          </cell>
        </row>
        <row r="271">
          <cell r="A271" t="str">
            <v>RAB0000000276511</v>
          </cell>
        </row>
        <row r="272">
          <cell r="A272" t="str">
            <v>RAB0000000276344</v>
          </cell>
        </row>
        <row r="273">
          <cell r="A273" t="str">
            <v>RAB0000000276517</v>
          </cell>
        </row>
        <row r="274">
          <cell r="A274" t="str">
            <v>RAB0000000276412</v>
          </cell>
        </row>
        <row r="275">
          <cell r="A275" t="str">
            <v>RAB0000000275840</v>
          </cell>
        </row>
        <row r="276">
          <cell r="A276" t="str">
            <v>RAB0000000274655</v>
          </cell>
        </row>
        <row r="277">
          <cell r="A277" t="str">
            <v>RAB0000000274161</v>
          </cell>
        </row>
        <row r="278">
          <cell r="A278" t="str">
            <v>RAB0000000273617</v>
          </cell>
        </row>
        <row r="279">
          <cell r="A279" t="str">
            <v>RAB0000000220978</v>
          </cell>
        </row>
        <row r="280">
          <cell r="A280" t="str">
            <v>RAB0000000219974</v>
          </cell>
        </row>
        <row r="281">
          <cell r="A281" t="str">
            <v>RAB0000000204136</v>
          </cell>
        </row>
        <row r="282">
          <cell r="A282" t="str">
            <v>RAB0000000277263</v>
          </cell>
        </row>
        <row r="283">
          <cell r="A283" t="str">
            <v>RAB0000000277353</v>
          </cell>
        </row>
        <row r="284">
          <cell r="A284" t="str">
            <v>RAB0000000277407</v>
          </cell>
        </row>
        <row r="285">
          <cell r="A285" t="str">
            <v>RAB0000000277415</v>
          </cell>
        </row>
        <row r="286">
          <cell r="A286" t="str">
            <v>RAB0000000276991</v>
          </cell>
        </row>
        <row r="287">
          <cell r="A287" t="str">
            <v>RAB0000000277081</v>
          </cell>
        </row>
        <row r="288">
          <cell r="A288" t="str">
            <v>RAB0000000277078</v>
          </cell>
        </row>
        <row r="289">
          <cell r="A289" t="str">
            <v>RAB0000000277011</v>
          </cell>
        </row>
        <row r="290">
          <cell r="A290" t="str">
            <v>RAB0000000277122</v>
          </cell>
        </row>
        <row r="291">
          <cell r="A291" t="str">
            <v>RAB0000000277163</v>
          </cell>
        </row>
        <row r="292">
          <cell r="A292" t="str">
            <v>RAB0000000277016</v>
          </cell>
        </row>
        <row r="293">
          <cell r="A293" t="str">
            <v>RAB0000000277023</v>
          </cell>
        </row>
        <row r="294">
          <cell r="A294" t="str">
            <v>RAB0000000277080</v>
          </cell>
        </row>
        <row r="295">
          <cell r="A295" t="str">
            <v>RAB0000000277007</v>
          </cell>
        </row>
        <row r="296">
          <cell r="A296" t="str">
            <v>RAB0000000276946</v>
          </cell>
        </row>
        <row r="297">
          <cell r="A297" t="str">
            <v>RAB0000000277073</v>
          </cell>
        </row>
        <row r="298">
          <cell r="A298" t="str">
            <v>RAB0000000276883</v>
          </cell>
        </row>
        <row r="299">
          <cell r="A299" t="str">
            <v>RAB0000000276885</v>
          </cell>
        </row>
        <row r="300">
          <cell r="A300" t="str">
            <v>RAB0000000276678</v>
          </cell>
        </row>
        <row r="301">
          <cell r="A301" t="str">
            <v>RAB0000000276818</v>
          </cell>
        </row>
        <row r="302">
          <cell r="A302" t="str">
            <v>RAB0000000276353</v>
          </cell>
        </row>
        <row r="303">
          <cell r="A303" t="str">
            <v>RAB0000000276454</v>
          </cell>
        </row>
        <row r="304">
          <cell r="A304" t="str">
            <v>RAB0000000275543</v>
          </cell>
        </row>
        <row r="305">
          <cell r="A305" t="str">
            <v>RAB0000000275571</v>
          </cell>
        </row>
        <row r="306">
          <cell r="A306" t="str">
            <v>RAB0000000275565</v>
          </cell>
        </row>
        <row r="307">
          <cell r="A307" t="str">
            <v>RAB0000000275664</v>
          </cell>
        </row>
        <row r="308">
          <cell r="A308" t="str">
            <v>RAB0000000275854</v>
          </cell>
        </row>
        <row r="309">
          <cell r="A309" t="str">
            <v>RAB0000000275586</v>
          </cell>
        </row>
        <row r="310">
          <cell r="A310" t="str">
            <v>RAB0000000274106</v>
          </cell>
        </row>
        <row r="311">
          <cell r="A311" t="str">
            <v>RAB0000000272973</v>
          </cell>
        </row>
        <row r="312">
          <cell r="A312" t="str">
            <v>RAB0000000272720</v>
          </cell>
        </row>
        <row r="313">
          <cell r="A313" t="str">
            <v>RAB0000000272466</v>
          </cell>
        </row>
        <row r="314">
          <cell r="A314" t="str">
            <v>RAB0000000270879</v>
          </cell>
        </row>
        <row r="315">
          <cell r="A315" t="str">
            <v>RAB0000000270316</v>
          </cell>
        </row>
        <row r="316">
          <cell r="A316" t="str">
            <v>RAB0000000270425</v>
          </cell>
        </row>
        <row r="317">
          <cell r="A317" t="str">
            <v>RAB0000000268875</v>
          </cell>
        </row>
        <row r="318">
          <cell r="A318" t="str">
            <v>RAB0000000223543</v>
          </cell>
        </row>
        <row r="319">
          <cell r="A319" t="str">
            <v>RAB0000000222622</v>
          </cell>
        </row>
        <row r="320">
          <cell r="A320" t="str">
            <v>RAB0000000222111</v>
          </cell>
        </row>
        <row r="321">
          <cell r="A321" t="str">
            <v>RAB0000000221141</v>
          </cell>
        </row>
        <row r="322">
          <cell r="A322" t="str">
            <v>RAB0000000218388</v>
          </cell>
        </row>
        <row r="323">
          <cell r="A323" t="str">
            <v>RAB0000000213463</v>
          </cell>
        </row>
        <row r="324">
          <cell r="A324" t="str">
            <v>RAB0000000211402</v>
          </cell>
        </row>
        <row r="325">
          <cell r="A325" t="str">
            <v>RAB0000000207202</v>
          </cell>
        </row>
        <row r="326">
          <cell r="A326" t="str">
            <v>RAB0000000206248</v>
          </cell>
        </row>
        <row r="327">
          <cell r="A327" t="str">
            <v>RAB0000000205473</v>
          </cell>
        </row>
        <row r="328">
          <cell r="A328" t="str">
            <v>RAB0000000205453</v>
          </cell>
        </row>
        <row r="329">
          <cell r="A329" t="str">
            <v>RAB0000000277307</v>
          </cell>
        </row>
        <row r="330">
          <cell r="A330" t="str">
            <v>RAB0000000277356</v>
          </cell>
        </row>
        <row r="331">
          <cell r="A331" t="str">
            <v>RAB0000000277480</v>
          </cell>
        </row>
        <row r="332">
          <cell r="A332" t="str">
            <v>RAB0000000277532</v>
          </cell>
        </row>
        <row r="333">
          <cell r="A333" t="str">
            <v>RAB0000000277254</v>
          </cell>
        </row>
        <row r="334">
          <cell r="A334" t="str">
            <v>RAB0000000277324</v>
          </cell>
        </row>
        <row r="335">
          <cell r="A335" t="str">
            <v>RAB0000000277466</v>
          </cell>
        </row>
        <row r="336">
          <cell r="A336" t="str">
            <v>RAB0000000277268</v>
          </cell>
        </row>
        <row r="337">
          <cell r="A337" t="str">
            <v>RAB0000000277536</v>
          </cell>
        </row>
        <row r="338">
          <cell r="A338" t="str">
            <v>RAB0000000277306</v>
          </cell>
        </row>
        <row r="339">
          <cell r="A339" t="str">
            <v>RAB0000000277506</v>
          </cell>
        </row>
        <row r="340">
          <cell r="A340" t="str">
            <v>RAB0000000277349</v>
          </cell>
        </row>
        <row r="341">
          <cell r="A341" t="str">
            <v>RAB0000000276911</v>
          </cell>
        </row>
        <row r="342">
          <cell r="A342" t="str">
            <v>RAB0000000277184</v>
          </cell>
        </row>
        <row r="343">
          <cell r="A343" t="str">
            <v>RAB0000000277037</v>
          </cell>
        </row>
        <row r="344">
          <cell r="A344" t="str">
            <v>RAB0000000276904</v>
          </cell>
        </row>
        <row r="345">
          <cell r="A345" t="str">
            <v>RAB0000000276923</v>
          </cell>
        </row>
        <row r="346">
          <cell r="A346" t="str">
            <v>RAB0000000276572</v>
          </cell>
        </row>
        <row r="347">
          <cell r="A347" t="str">
            <v>RAB0000000276358</v>
          </cell>
        </row>
        <row r="348">
          <cell r="A348" t="str">
            <v>RAB0000000276473</v>
          </cell>
        </row>
        <row r="349">
          <cell r="A349" t="str">
            <v>RAB0000000275536</v>
          </cell>
        </row>
        <row r="350">
          <cell r="A350" t="str">
            <v>RAB0000000275525</v>
          </cell>
        </row>
        <row r="351">
          <cell r="A351" t="str">
            <v>RAB0000000275365</v>
          </cell>
        </row>
        <row r="352">
          <cell r="A352" t="str">
            <v>RAB0000000274856</v>
          </cell>
        </row>
        <row r="353">
          <cell r="A353" t="str">
            <v>RAB0000000274607</v>
          </cell>
        </row>
        <row r="354">
          <cell r="A354" t="str">
            <v>RAB0000000274698</v>
          </cell>
        </row>
        <row r="355">
          <cell r="A355" t="str">
            <v>RAB0000000272603</v>
          </cell>
        </row>
        <row r="356">
          <cell r="A356" t="str">
            <v>RAB0000000272604</v>
          </cell>
        </row>
        <row r="357">
          <cell r="A357" t="str">
            <v>RAB0000000272208</v>
          </cell>
        </row>
        <row r="358">
          <cell r="A358" t="str">
            <v>RAB0000000222666</v>
          </cell>
        </row>
        <row r="359">
          <cell r="A359" t="str">
            <v>RAB0000000221477</v>
          </cell>
        </row>
        <row r="360">
          <cell r="A360" t="str">
            <v>RAB0000000220266</v>
          </cell>
        </row>
        <row r="361">
          <cell r="A361" t="str">
            <v>RAB0000000219588</v>
          </cell>
        </row>
        <row r="362">
          <cell r="A362" t="str">
            <v>RAB0000000215318</v>
          </cell>
        </row>
        <row r="363">
          <cell r="A363" t="str">
            <v>RAB0000000277534</v>
          </cell>
        </row>
        <row r="364">
          <cell r="A364" t="str">
            <v>RAB0000000277361</v>
          </cell>
        </row>
        <row r="365">
          <cell r="A365" t="str">
            <v>RAB0000000277522</v>
          </cell>
        </row>
        <row r="366">
          <cell r="A366" t="str">
            <v>RAB0000000277303</v>
          </cell>
        </row>
        <row r="367">
          <cell r="A367" t="str">
            <v>RAB0000000277264</v>
          </cell>
        </row>
        <row r="368">
          <cell r="A368" t="str">
            <v>RAB0000000277285</v>
          </cell>
        </row>
        <row r="369">
          <cell r="A369" t="str">
            <v>RAB0000000277421</v>
          </cell>
        </row>
        <row r="370">
          <cell r="A370" t="str">
            <v>RAB0000000277027</v>
          </cell>
        </row>
        <row r="371">
          <cell r="A371" t="str">
            <v>RAB0000000276915</v>
          </cell>
        </row>
        <row r="372">
          <cell r="A372" t="str">
            <v>RAB0000000276937</v>
          </cell>
        </row>
        <row r="373">
          <cell r="A373" t="str">
            <v>RAB0000000277069</v>
          </cell>
        </row>
        <row r="374">
          <cell r="A374" t="str">
            <v>RAB0000000276960</v>
          </cell>
        </row>
        <row r="375">
          <cell r="A375" t="str">
            <v>RAB0000000276753</v>
          </cell>
        </row>
        <row r="376">
          <cell r="A376" t="str">
            <v>RAB0000000276562</v>
          </cell>
        </row>
        <row r="377">
          <cell r="A377" t="str">
            <v>RAB0000000276571</v>
          </cell>
        </row>
        <row r="378">
          <cell r="A378" t="str">
            <v>RAB0000000276501</v>
          </cell>
        </row>
        <row r="379">
          <cell r="A379" t="str">
            <v>RAB0000000275952</v>
          </cell>
        </row>
        <row r="380">
          <cell r="A380" t="str">
            <v>RAB0000000275283</v>
          </cell>
        </row>
        <row r="381">
          <cell r="A381" t="str">
            <v>RAB0000000274720</v>
          </cell>
        </row>
        <row r="382">
          <cell r="A382" t="str">
            <v>RAB0000000274671</v>
          </cell>
        </row>
        <row r="383">
          <cell r="A383" t="str">
            <v>RAB0000000273088</v>
          </cell>
        </row>
        <row r="384">
          <cell r="A384" t="str">
            <v>RAB0000000272926</v>
          </cell>
        </row>
        <row r="385">
          <cell r="A385" t="str">
            <v>RAB0000000272637</v>
          </cell>
        </row>
        <row r="386">
          <cell r="A386" t="str">
            <v>RAB0000000271104</v>
          </cell>
        </row>
        <row r="387">
          <cell r="A387" t="str">
            <v>RAB0000000222659</v>
          </cell>
        </row>
        <row r="388">
          <cell r="A388" t="str">
            <v>RAB0000000221044</v>
          </cell>
        </row>
        <row r="389">
          <cell r="A389" t="str">
            <v>RAB0000000277662</v>
          </cell>
        </row>
        <row r="390">
          <cell r="A390" t="str">
            <v>RAB0000000277653</v>
          </cell>
        </row>
        <row r="391">
          <cell r="A391" t="str">
            <v>RAB0000000273184</v>
          </cell>
        </row>
        <row r="392">
          <cell r="A392" t="str">
            <v>RAB0000000218872</v>
          </cell>
        </row>
        <row r="393">
          <cell r="A393" t="str">
            <v>RAB0000000209623</v>
          </cell>
        </row>
        <row r="394">
          <cell r="A394" t="str">
            <v>RAB0000000277655</v>
          </cell>
        </row>
        <row r="395">
          <cell r="A395" t="str">
            <v>RAB0000000277607</v>
          </cell>
        </row>
        <row r="396">
          <cell r="A396" t="str">
            <v>RAB0000000277593</v>
          </cell>
        </row>
        <row r="397">
          <cell r="A397" t="str">
            <v>RAB0000000277559</v>
          </cell>
        </row>
        <row r="398">
          <cell r="A398" t="str">
            <v>RAB0000000277584</v>
          </cell>
        </row>
        <row r="399">
          <cell r="A399" t="str">
            <v>RAB0000000277300</v>
          </cell>
        </row>
        <row r="400">
          <cell r="A400" t="str">
            <v>RAB0000000277318</v>
          </cell>
        </row>
        <row r="401">
          <cell r="A401" t="str">
            <v>RAB0000000277304</v>
          </cell>
        </row>
        <row r="402">
          <cell r="A402" t="str">
            <v>RAB0000000276927</v>
          </cell>
        </row>
        <row r="403">
          <cell r="A403" t="str">
            <v>RAB0000000276886</v>
          </cell>
        </row>
        <row r="404">
          <cell r="A404" t="str">
            <v>RAB0000000276724</v>
          </cell>
        </row>
        <row r="405">
          <cell r="A405" t="str">
            <v>RAB0000000276823</v>
          </cell>
        </row>
        <row r="406">
          <cell r="A406" t="str">
            <v>RAB0000000275493</v>
          </cell>
        </row>
        <row r="407">
          <cell r="A407" t="str">
            <v>RAB0000000275723</v>
          </cell>
        </row>
        <row r="408">
          <cell r="A408" t="str">
            <v>RAB0000000275197</v>
          </cell>
        </row>
        <row r="409">
          <cell r="A409" t="str">
            <v>RAB0000000274982</v>
          </cell>
        </row>
        <row r="410">
          <cell r="A410" t="str">
            <v>RAB0000000274337</v>
          </cell>
        </row>
        <row r="411">
          <cell r="A411" t="str">
            <v>RAB0000000274044</v>
          </cell>
        </row>
        <row r="412">
          <cell r="A412" t="str">
            <v>RAB0000000273918</v>
          </cell>
        </row>
        <row r="413">
          <cell r="A413" t="str">
            <v>RAB0000000272069</v>
          </cell>
        </row>
        <row r="414">
          <cell r="A414" t="str">
            <v>RAB0000000271504</v>
          </cell>
        </row>
        <row r="415">
          <cell r="A415" t="str">
            <v>RAB0000000270092</v>
          </cell>
        </row>
        <row r="416">
          <cell r="A416" t="str">
            <v>RAB0000000277773</v>
          </cell>
        </row>
        <row r="417">
          <cell r="A417" t="str">
            <v>RAB0000000277775</v>
          </cell>
        </row>
        <row r="418">
          <cell r="A418" t="str">
            <v>RAB0000000277774</v>
          </cell>
        </row>
        <row r="419">
          <cell r="A419" t="str">
            <v>RAB0000000277646</v>
          </cell>
        </row>
        <row r="420">
          <cell r="A420" t="str">
            <v>RAB0000000277637</v>
          </cell>
        </row>
        <row r="421">
          <cell r="A421" t="str">
            <v>RAB0000000277562</v>
          </cell>
        </row>
        <row r="422">
          <cell r="A422" t="str">
            <v>RAB0000000277330</v>
          </cell>
        </row>
        <row r="423">
          <cell r="A423" t="str">
            <v>RAB0000000277515</v>
          </cell>
        </row>
        <row r="424">
          <cell r="A424" t="str">
            <v>RAB0000000277382</v>
          </cell>
        </row>
        <row r="425">
          <cell r="A425" t="str">
            <v>RAB0000000276618</v>
          </cell>
        </row>
        <row r="426">
          <cell r="A426" t="str">
            <v>RAB0000000276422</v>
          </cell>
        </row>
        <row r="427">
          <cell r="A427" t="str">
            <v>RAB0000000275155</v>
          </cell>
        </row>
        <row r="428">
          <cell r="A428" t="str">
            <v>RAB0000000275167</v>
          </cell>
        </row>
        <row r="429">
          <cell r="A429" t="str">
            <v>RAB0000000273756</v>
          </cell>
        </row>
        <row r="430">
          <cell r="A430" t="str">
            <v>RAB0000000222653</v>
          </cell>
        </row>
        <row r="431">
          <cell r="A431" t="str">
            <v>RAB0000000214010</v>
          </cell>
        </row>
        <row r="432">
          <cell r="A432" t="str">
            <v>RAB0000000203133</v>
          </cell>
        </row>
        <row r="433">
          <cell r="A433" t="str">
            <v>RAB0000000278014</v>
          </cell>
        </row>
        <row r="434">
          <cell r="A434" t="str">
            <v>RAB0000000277921</v>
          </cell>
        </row>
        <row r="435">
          <cell r="A435" t="str">
            <v>RAB0000000277741</v>
          </cell>
        </row>
        <row r="436">
          <cell r="A436" t="str">
            <v>RAB0000000277716</v>
          </cell>
        </row>
        <row r="437">
          <cell r="A437" t="str">
            <v>RAB0000000277752</v>
          </cell>
        </row>
        <row r="438">
          <cell r="A438" t="str">
            <v>RAB0000000277513</v>
          </cell>
        </row>
        <row r="439">
          <cell r="A439" t="str">
            <v>RAB0000000276971</v>
          </cell>
        </row>
        <row r="440">
          <cell r="A440" t="str">
            <v>RAB0000000275674</v>
          </cell>
        </row>
        <row r="441">
          <cell r="A441" t="str">
            <v>RAB0000000275650</v>
          </cell>
        </row>
        <row r="442">
          <cell r="A442" t="str">
            <v>RAB0000000275673</v>
          </cell>
        </row>
        <row r="443">
          <cell r="A443" t="str">
            <v>RAB0000000275166</v>
          </cell>
        </row>
        <row r="444">
          <cell r="A444" t="str">
            <v>RAB0000000275106</v>
          </cell>
        </row>
        <row r="445">
          <cell r="A445" t="str">
            <v>RAB0000000274410</v>
          </cell>
        </row>
        <row r="446">
          <cell r="A446" t="str">
            <v>RAB0000000274119</v>
          </cell>
        </row>
        <row r="447">
          <cell r="A447" t="str">
            <v>RAB0000000274410</v>
          </cell>
        </row>
        <row r="448">
          <cell r="A448" t="str">
            <v>RAB0000000274117</v>
          </cell>
        </row>
        <row r="449">
          <cell r="A449" t="str">
            <v>RAB0000000273253</v>
          </cell>
        </row>
        <row r="450">
          <cell r="A450" t="str">
            <v>RAB0000000277936</v>
          </cell>
        </row>
        <row r="451">
          <cell r="A451" t="str">
            <v>RAB0000000277864</v>
          </cell>
        </row>
        <row r="452">
          <cell r="A452" t="str">
            <v>RAB0000000277873</v>
          </cell>
        </row>
        <row r="453">
          <cell r="A453" t="str">
            <v>RAB0000000277985</v>
          </cell>
        </row>
        <row r="454">
          <cell r="A454" t="str">
            <v>RAB0000000277934</v>
          </cell>
        </row>
        <row r="455">
          <cell r="A455" t="str">
            <v>RAB0000000278022</v>
          </cell>
        </row>
        <row r="456">
          <cell r="A456" t="str">
            <v>RAB0000000278108</v>
          </cell>
        </row>
        <row r="457">
          <cell r="A457" t="str">
            <v>RAB0000000277916</v>
          </cell>
        </row>
        <row r="458">
          <cell r="A458" t="str">
            <v>RAB0000000277819</v>
          </cell>
        </row>
        <row r="459">
          <cell r="A459" t="str">
            <v>RAB0000000277818</v>
          </cell>
        </row>
        <row r="460">
          <cell r="A460" t="str">
            <v>RAB0000000277863</v>
          </cell>
        </row>
        <row r="461">
          <cell r="A461" t="str">
            <v>RAB0000000277895</v>
          </cell>
        </row>
        <row r="462">
          <cell r="A462" t="str">
            <v>RAB0000000277905</v>
          </cell>
        </row>
        <row r="463">
          <cell r="A463" t="str">
            <v>RAB0000000277966</v>
          </cell>
        </row>
        <row r="464">
          <cell r="A464" t="str">
            <v>RAB0000000277802</v>
          </cell>
        </row>
        <row r="465">
          <cell r="A465" t="str">
            <v>RAB0000000277970</v>
          </cell>
        </row>
        <row r="466">
          <cell r="A466" t="str">
            <v>RAB0000000277893</v>
          </cell>
        </row>
        <row r="467">
          <cell r="A467" t="str">
            <v>RAB0000000277887</v>
          </cell>
        </row>
        <row r="468">
          <cell r="A468" t="str">
            <v>RAB0000000277832</v>
          </cell>
        </row>
        <row r="469">
          <cell r="A469" t="str">
            <v>RAB0000000277781</v>
          </cell>
        </row>
        <row r="470">
          <cell r="A470" t="str">
            <v>RAB0000000277774</v>
          </cell>
        </row>
        <row r="471">
          <cell r="A471" t="str">
            <v>RAB0000000277707</v>
          </cell>
        </row>
        <row r="472">
          <cell r="A472" t="str">
            <v>RAB0000000277299</v>
          </cell>
        </row>
        <row r="473">
          <cell r="A473" t="str">
            <v>RAB0000000277399</v>
          </cell>
        </row>
        <row r="474">
          <cell r="A474" t="str">
            <v>RAB0000000277404</v>
          </cell>
        </row>
        <row r="475">
          <cell r="A475" t="str">
            <v>RAB0000000277414</v>
          </cell>
        </row>
        <row r="476">
          <cell r="A476" t="str">
            <v>RAB0000000276173</v>
          </cell>
        </row>
        <row r="477">
          <cell r="A477" t="str">
            <v>RAB0000000222008</v>
          </cell>
        </row>
        <row r="478">
          <cell r="A478" t="str">
            <v>RAB0000000278219</v>
          </cell>
        </row>
        <row r="479">
          <cell r="A479" t="str">
            <v>RAB0000000278267</v>
          </cell>
        </row>
        <row r="480">
          <cell r="A480" t="str">
            <v>RAB0000000278066</v>
          </cell>
        </row>
        <row r="481">
          <cell r="A481" t="str">
            <v>RAB0000000278158</v>
          </cell>
        </row>
        <row r="482">
          <cell r="A482" t="str">
            <v>RAB0000000278245</v>
          </cell>
        </row>
        <row r="483">
          <cell r="A483" t="str">
            <v>RAB0000000278054</v>
          </cell>
        </row>
        <row r="484">
          <cell r="A484" t="str">
            <v>RAB0000000278190</v>
          </cell>
        </row>
        <row r="485">
          <cell r="A485" t="str">
            <v>RAB0000000278193</v>
          </cell>
        </row>
        <row r="486">
          <cell r="A486" t="str">
            <v>RAB0000000278262</v>
          </cell>
        </row>
        <row r="487">
          <cell r="A487" t="str">
            <v>RAB0000000277851</v>
          </cell>
        </row>
        <row r="488">
          <cell r="A488" t="str">
            <v>RAB0000000277973</v>
          </cell>
        </row>
        <row r="489">
          <cell r="A489" t="str">
            <v>RAB0000000277896</v>
          </cell>
        </row>
        <row r="490">
          <cell r="A490" t="str">
            <v>RAB0000000277831</v>
          </cell>
        </row>
        <row r="491">
          <cell r="A491" t="str">
            <v>RAB0000000277975</v>
          </cell>
        </row>
        <row r="492">
          <cell r="A492" t="str">
            <v>RAB0000000277840</v>
          </cell>
        </row>
        <row r="493">
          <cell r="A493" t="str">
            <v>RAB0000000277877</v>
          </cell>
        </row>
        <row r="494">
          <cell r="A494" t="str">
            <v>RAB0000000277767</v>
          </cell>
        </row>
        <row r="495">
          <cell r="A495" t="str">
            <v>RAB0000000277156</v>
          </cell>
        </row>
        <row r="496">
          <cell r="A496" t="str">
            <v>RAB0000000274757</v>
          </cell>
        </row>
        <row r="497">
          <cell r="A497" t="str">
            <v>RAB0000000273935</v>
          </cell>
        </row>
        <row r="498">
          <cell r="A498" t="str">
            <v>RAB0000000271810</v>
          </cell>
        </row>
        <row r="499">
          <cell r="A499" t="str">
            <v>RAB0000000270887</v>
          </cell>
        </row>
        <row r="500">
          <cell r="A500" t="str">
            <v>RAB0000000221926</v>
          </cell>
        </row>
        <row r="501">
          <cell r="A501" t="str">
            <v>RAB0000000218929</v>
          </cell>
        </row>
        <row r="502">
          <cell r="A502" t="str">
            <v>RAB0000000278359</v>
          </cell>
        </row>
        <row r="503">
          <cell r="A503" t="str">
            <v>RAB0000000275293</v>
          </cell>
        </row>
        <row r="504">
          <cell r="A504" t="str">
            <v>RAB0000000278388</v>
          </cell>
        </row>
        <row r="505">
          <cell r="A505" t="str">
            <v>RAB0000000278417</v>
          </cell>
        </row>
        <row r="506">
          <cell r="A506" t="str">
            <v>RAB0000000278381</v>
          </cell>
        </row>
        <row r="507">
          <cell r="A507" t="str">
            <v>RAB0000000278548</v>
          </cell>
        </row>
        <row r="508">
          <cell r="A508" t="str">
            <v>RAB0000000278410</v>
          </cell>
        </row>
        <row r="509">
          <cell r="A509" t="str">
            <v>RAB0000000278495</v>
          </cell>
        </row>
        <row r="510">
          <cell r="A510" t="str">
            <v>RAB0000000278510</v>
          </cell>
        </row>
        <row r="511">
          <cell r="A511" t="str">
            <v>RAB0000000278352</v>
          </cell>
        </row>
        <row r="512">
          <cell r="A512" t="str">
            <v>RAB0000000278539</v>
          </cell>
        </row>
        <row r="513">
          <cell r="A513" t="str">
            <v>RAB0000000278316</v>
          </cell>
        </row>
        <row r="514">
          <cell r="A514" t="str">
            <v>RAB0000000278280</v>
          </cell>
        </row>
        <row r="515">
          <cell r="A515" t="str">
            <v>RAB0000000278402</v>
          </cell>
        </row>
        <row r="516">
          <cell r="A516" t="str">
            <v>RAB0000000278497</v>
          </cell>
        </row>
        <row r="517">
          <cell r="A517" t="str">
            <v>RAB0000000278454</v>
          </cell>
        </row>
        <row r="518">
          <cell r="A518" t="str">
            <v>RAB0000000278311</v>
          </cell>
        </row>
        <row r="519">
          <cell r="A519" t="str">
            <v>RAB0000000278530</v>
          </cell>
        </row>
        <row r="520">
          <cell r="A520" t="str">
            <v>RAB0000000278335</v>
          </cell>
        </row>
        <row r="521">
          <cell r="A521" t="str">
            <v>RAB0000000278343</v>
          </cell>
        </row>
        <row r="522">
          <cell r="A522" t="str">
            <v>RAB0000000278565</v>
          </cell>
        </row>
        <row r="523">
          <cell r="A523" t="str">
            <v>RAB0000000278248</v>
          </cell>
        </row>
        <row r="524">
          <cell r="A524" t="str">
            <v>RAB0000000278128</v>
          </cell>
        </row>
        <row r="525">
          <cell r="A525" t="str">
            <v>RAB0000000278252</v>
          </cell>
        </row>
        <row r="526">
          <cell r="A526" t="str">
            <v>RAB0000000278228</v>
          </cell>
        </row>
        <row r="527">
          <cell r="A527" t="str">
            <v>RAB0000000278215</v>
          </cell>
        </row>
        <row r="528">
          <cell r="A528" t="str">
            <v>RAB0000000278199</v>
          </cell>
        </row>
        <row r="529">
          <cell r="A529" t="str">
            <v>RAB0000000278238</v>
          </cell>
        </row>
        <row r="530">
          <cell r="A530" t="str">
            <v>RAB0000000277891</v>
          </cell>
        </row>
        <row r="531">
          <cell r="A531" t="str">
            <v>RAB0000000277821</v>
          </cell>
        </row>
        <row r="532">
          <cell r="A532" t="str">
            <v>RAB0000000277463</v>
          </cell>
        </row>
        <row r="533">
          <cell r="A533" t="str">
            <v>RAB0000000277251</v>
          </cell>
        </row>
        <row r="534">
          <cell r="A534" t="str">
            <v>RAB0000000271372</v>
          </cell>
        </row>
        <row r="535">
          <cell r="A535" t="str">
            <v>RAB0000000277698</v>
          </cell>
        </row>
        <row r="536">
          <cell r="A536" t="str">
            <v>RAB0000000278796</v>
          </cell>
        </row>
        <row r="537">
          <cell r="A537" t="str">
            <v>RAB0000000279005</v>
          </cell>
        </row>
        <row r="538">
          <cell r="A538" t="str">
            <v>RAB0000000278900</v>
          </cell>
        </row>
        <row r="539">
          <cell r="A539" t="str">
            <v>RAB0000000278705</v>
          </cell>
        </row>
        <row r="540">
          <cell r="A540" t="str">
            <v>RAB0000000278737</v>
          </cell>
        </row>
        <row r="541">
          <cell r="A541" t="str">
            <v>RAB0000000278723</v>
          </cell>
        </row>
        <row r="542">
          <cell r="A542" t="str">
            <v>RAB0000000278694</v>
          </cell>
        </row>
        <row r="543">
          <cell r="A543" t="str">
            <v>RAB0000000278726</v>
          </cell>
        </row>
        <row r="544">
          <cell r="A544" t="str">
            <v>RAB0000000278697</v>
          </cell>
        </row>
        <row r="545">
          <cell r="A545" t="str">
            <v>RAB0000000278968</v>
          </cell>
        </row>
        <row r="546">
          <cell r="A546" t="str">
            <v>RAB0000000278743</v>
          </cell>
        </row>
        <row r="547">
          <cell r="A547" t="str">
            <v>RAB0000000278881</v>
          </cell>
        </row>
        <row r="548">
          <cell r="A548" t="str">
            <v>RAB0000000278774</v>
          </cell>
        </row>
        <row r="549">
          <cell r="A549" t="str">
            <v>RAB0000000278643</v>
          </cell>
        </row>
        <row r="550">
          <cell r="A550" t="str">
            <v>RAB0000000278835</v>
          </cell>
        </row>
        <row r="551">
          <cell r="A551" t="str">
            <v>RAB0000000279017</v>
          </cell>
        </row>
        <row r="552">
          <cell r="A552" t="str">
            <v>RAB0000000278962</v>
          </cell>
        </row>
        <row r="553">
          <cell r="A553" t="str">
            <v>RAB0000000278820</v>
          </cell>
        </row>
        <row r="554">
          <cell r="A554" t="str">
            <v>RAB0000000278872</v>
          </cell>
        </row>
        <row r="555">
          <cell r="A555" t="str">
            <v>RAB0000000279033</v>
          </cell>
        </row>
        <row r="556">
          <cell r="A556" t="str">
            <v>RAB0000000278929</v>
          </cell>
        </row>
        <row r="557">
          <cell r="A557" t="str">
            <v>RAB0000000278967</v>
          </cell>
        </row>
        <row r="558">
          <cell r="A558" t="str">
            <v>RAB0000000278987</v>
          </cell>
        </row>
        <row r="559">
          <cell r="A559" t="str">
            <v>RAB0000000278953</v>
          </cell>
        </row>
        <row r="560">
          <cell r="A560" t="str">
            <v>RAB0000000278699</v>
          </cell>
        </row>
        <row r="561">
          <cell r="A561" t="str">
            <v>RAB0000000278727</v>
          </cell>
        </row>
        <row r="562">
          <cell r="A562" t="str">
            <v>RAB0000000278711</v>
          </cell>
        </row>
        <row r="563">
          <cell r="A563" t="str">
            <v>RAB0000000279001</v>
          </cell>
        </row>
        <row r="564">
          <cell r="A564" t="str">
            <v>RAB0000000279003</v>
          </cell>
        </row>
        <row r="565">
          <cell r="A565" t="str">
            <v>RAB0000000278763</v>
          </cell>
        </row>
        <row r="566">
          <cell r="A566" t="str">
            <v>RAB0000000278642</v>
          </cell>
        </row>
        <row r="567">
          <cell r="A567" t="str">
            <v>RAB0000000278528</v>
          </cell>
        </row>
        <row r="568">
          <cell r="A568" t="str">
            <v>RAB0000000278601</v>
          </cell>
        </row>
        <row r="569">
          <cell r="A569" t="str">
            <v>RAB0000000278575</v>
          </cell>
        </row>
        <row r="570">
          <cell r="A570" t="str">
            <v>RAB0000000278366</v>
          </cell>
        </row>
        <row r="571">
          <cell r="A571" t="str">
            <v>RAB0000000278451</v>
          </cell>
        </row>
        <row r="572">
          <cell r="A572" t="str">
            <v>RAB0000000278603</v>
          </cell>
        </row>
        <row r="573">
          <cell r="A573" t="str">
            <v>RAB0000000278542</v>
          </cell>
        </row>
        <row r="574">
          <cell r="A574" t="str">
            <v>RAB0000000278513</v>
          </cell>
        </row>
        <row r="575">
          <cell r="A575" t="str">
            <v>RAB0000000278518</v>
          </cell>
        </row>
        <row r="576">
          <cell r="A576" t="str">
            <v>RAB0000000278340</v>
          </cell>
        </row>
        <row r="577">
          <cell r="A577" t="str">
            <v>RAB0000000278500</v>
          </cell>
        </row>
        <row r="578">
          <cell r="A578" t="str">
            <v>RAB0000000278440</v>
          </cell>
        </row>
        <row r="579">
          <cell r="A579" t="str">
            <v>RAB0000000278274</v>
          </cell>
        </row>
        <row r="580">
          <cell r="A580" t="str">
            <v>RAB0000000278268</v>
          </cell>
        </row>
        <row r="581">
          <cell r="A581" t="str">
            <v>RAB0000000278264</v>
          </cell>
        </row>
        <row r="582">
          <cell r="A582" t="str">
            <v>RAB0000000278260</v>
          </cell>
        </row>
        <row r="583">
          <cell r="A583" t="str">
            <v>RAB0000000278161</v>
          </cell>
        </row>
        <row r="584">
          <cell r="A584" t="str">
            <v>RAB0000000278258</v>
          </cell>
        </row>
        <row r="585">
          <cell r="A585" t="str">
            <v>RAB0000000278256</v>
          </cell>
        </row>
        <row r="586">
          <cell r="A586" t="str">
            <v>RAB0000000278010</v>
          </cell>
        </row>
        <row r="587">
          <cell r="A587" t="str">
            <v>RAB0000000277665</v>
          </cell>
        </row>
        <row r="588">
          <cell r="A588" t="str">
            <v>RAB0000000277284</v>
          </cell>
        </row>
        <row r="589">
          <cell r="A589" t="str">
            <v>RAB0000000218646</v>
          </cell>
        </row>
        <row r="590">
          <cell r="A590" t="str">
            <v>RAB0000000217656</v>
          </cell>
        </row>
        <row r="591">
          <cell r="A591" t="str">
            <v>RAB0000000279111</v>
          </cell>
        </row>
        <row r="592">
          <cell r="A592" t="str">
            <v>RAB0000000279131</v>
          </cell>
        </row>
        <row r="593">
          <cell r="A593" t="str">
            <v>RAB0000000279146</v>
          </cell>
        </row>
        <row r="594">
          <cell r="A594" t="str">
            <v>RAB0000000278697</v>
          </cell>
        </row>
        <row r="595">
          <cell r="A595" t="str">
            <v>RAB0000000278899</v>
          </cell>
        </row>
        <row r="596">
          <cell r="A596" t="str">
            <v>RAB0000000279024</v>
          </cell>
        </row>
        <row r="597">
          <cell r="A597" t="str">
            <v>RAB0000000278738</v>
          </cell>
        </row>
        <row r="598">
          <cell r="A598" t="str">
            <v>RAB0000000279029</v>
          </cell>
        </row>
        <row r="599">
          <cell r="A599" t="str">
            <v>RAB0000000279059</v>
          </cell>
        </row>
        <row r="600">
          <cell r="A600" t="str">
            <v>RAB0000000279041</v>
          </cell>
        </row>
        <row r="601">
          <cell r="A601" t="str">
            <v>RAB0000000278757</v>
          </cell>
        </row>
        <row r="602">
          <cell r="A602" t="str">
            <v>RAB0000000278824</v>
          </cell>
        </row>
        <row r="603">
          <cell r="A603" t="str">
            <v>RAB0000000278818</v>
          </cell>
        </row>
        <row r="604">
          <cell r="A604" t="str">
            <v>RAB0000000278894</v>
          </cell>
        </row>
        <row r="605">
          <cell r="A605" t="str">
            <v>RAB0000000278687</v>
          </cell>
        </row>
        <row r="606">
          <cell r="A606" t="str">
            <v>RAB0000000278811</v>
          </cell>
        </row>
        <row r="607">
          <cell r="A607" t="str">
            <v>RAB0000000278839</v>
          </cell>
        </row>
        <row r="608">
          <cell r="A608" t="str">
            <v>RAB0000000278974</v>
          </cell>
        </row>
        <row r="609">
          <cell r="A609" t="str">
            <v>RAB0000000279045</v>
          </cell>
        </row>
        <row r="610">
          <cell r="A610" t="str">
            <v>RAB0000000278632</v>
          </cell>
        </row>
        <row r="611">
          <cell r="A611" t="str">
            <v>RAB0000000278650</v>
          </cell>
        </row>
        <row r="612">
          <cell r="A612" t="str">
            <v>RAB0000000278778</v>
          </cell>
        </row>
        <row r="613">
          <cell r="A613" t="str">
            <v>RAB0000000278787</v>
          </cell>
        </row>
        <row r="614">
          <cell r="A614" t="str">
            <v>RAB0000000278635</v>
          </cell>
        </row>
        <row r="615">
          <cell r="A615" t="str">
            <v>RAB0000000279055</v>
          </cell>
        </row>
        <row r="616">
          <cell r="A616" t="str">
            <v>RAB0000000278468</v>
          </cell>
        </row>
        <row r="617">
          <cell r="A617" t="str">
            <v>RAB0000000275908</v>
          </cell>
        </row>
        <row r="618">
          <cell r="A618" t="str">
            <v>RAB0000000278307</v>
          </cell>
        </row>
        <row r="619">
          <cell r="A619" t="str">
            <v>RAB0000000278456</v>
          </cell>
        </row>
        <row r="620">
          <cell r="A620" t="str">
            <v>RAB0000000278214</v>
          </cell>
        </row>
        <row r="621">
          <cell r="A621" t="str">
            <v>RAB0000000278161</v>
          </cell>
        </row>
        <row r="622">
          <cell r="A622" t="str">
            <v>RAB0000000277670</v>
          </cell>
        </row>
        <row r="623">
          <cell r="A623" t="str">
            <v>RAB0000000272914</v>
          </cell>
        </row>
        <row r="624">
          <cell r="A624" t="str">
            <v>RAB0000000279121</v>
          </cell>
        </row>
        <row r="625">
          <cell r="A625" t="str">
            <v>RAB0000000279117</v>
          </cell>
        </row>
        <row r="626">
          <cell r="A626" t="str">
            <v>RAB0000000279277</v>
          </cell>
        </row>
        <row r="627">
          <cell r="A627" t="str">
            <v>RAB0000000279219</v>
          </cell>
        </row>
        <row r="628">
          <cell r="A628" t="str">
            <v>RAB0000000279351</v>
          </cell>
        </row>
        <row r="629">
          <cell r="A629" t="str">
            <v>RAB0000000279278</v>
          </cell>
        </row>
        <row r="630">
          <cell r="A630" t="str">
            <v>RAB0000000279297</v>
          </cell>
        </row>
        <row r="631">
          <cell r="A631" t="str">
            <v>RAB0000000279248</v>
          </cell>
        </row>
        <row r="632">
          <cell r="A632" t="str">
            <v>RAB0000000278855</v>
          </cell>
        </row>
        <row r="633">
          <cell r="A633" t="str">
            <v>RAB0000000278790</v>
          </cell>
        </row>
        <row r="634">
          <cell r="A634" t="str">
            <v>RAB0000000278941</v>
          </cell>
        </row>
        <row r="635">
          <cell r="A635" t="str">
            <v>RAB0000000278916</v>
          </cell>
        </row>
        <row r="636">
          <cell r="A636" t="str">
            <v>RAB0000000279060</v>
          </cell>
        </row>
        <row r="637">
          <cell r="A637" t="str">
            <v>RAB0000000278955</v>
          </cell>
        </row>
        <row r="638">
          <cell r="A638" t="str">
            <v>RAB0000000278864</v>
          </cell>
        </row>
        <row r="639">
          <cell r="A639" t="str">
            <v>RAB0000000278879</v>
          </cell>
        </row>
        <row r="640">
          <cell r="A640" t="str">
            <v>RAB0000000278605</v>
          </cell>
        </row>
        <row r="641">
          <cell r="A641" t="str">
            <v>RAB0000000278863</v>
          </cell>
        </row>
        <row r="642">
          <cell r="A642" t="str">
            <v>RAB0000000279054</v>
          </cell>
        </row>
        <row r="643">
          <cell r="A643" t="str">
            <v>RAB0000000278690</v>
          </cell>
        </row>
        <row r="644">
          <cell r="A644" t="str">
            <v>RAB0000000278843</v>
          </cell>
        </row>
        <row r="645">
          <cell r="A645" t="str">
            <v>RAB0000000278630</v>
          </cell>
        </row>
        <row r="646">
          <cell r="A646" t="str">
            <v>RAB0000000278964</v>
          </cell>
        </row>
        <row r="647">
          <cell r="A647" t="str">
            <v>RAB0000000278799</v>
          </cell>
        </row>
        <row r="648">
          <cell r="A648" t="str">
            <v>RAB0000000279056</v>
          </cell>
        </row>
        <row r="649">
          <cell r="A649" t="str">
            <v>RAB0000000278722</v>
          </cell>
        </row>
        <row r="650">
          <cell r="A650" t="str">
            <v>RAB0000000278760</v>
          </cell>
        </row>
        <row r="651">
          <cell r="A651" t="str">
            <v>RAB0000000278657</v>
          </cell>
        </row>
        <row r="652">
          <cell r="A652" t="str">
            <v>RAB0000000278332</v>
          </cell>
        </row>
        <row r="653">
          <cell r="A653" t="str">
            <v>RAB0000000278438</v>
          </cell>
        </row>
        <row r="654">
          <cell r="A654" t="str">
            <v>RAB0000000278502</v>
          </cell>
        </row>
        <row r="655">
          <cell r="A655" t="str">
            <v>RAB0000000278154</v>
          </cell>
        </row>
        <row r="656">
          <cell r="A656" t="str">
            <v>RAB0000000278107</v>
          </cell>
        </row>
        <row r="657">
          <cell r="A657" t="str">
            <v>RAB0000000277526</v>
          </cell>
        </row>
        <row r="658">
          <cell r="A658" t="str">
            <v>RAB0000000277438</v>
          </cell>
        </row>
        <row r="659">
          <cell r="A659" t="str">
            <v>RAB0000000277476</v>
          </cell>
        </row>
        <row r="660">
          <cell r="A660" t="str">
            <v>RAB0000000277395</v>
          </cell>
        </row>
        <row r="661">
          <cell r="A661" t="str">
            <v>RAB0000000277213</v>
          </cell>
        </row>
        <row r="662">
          <cell r="A662" t="str">
            <v>RAB0000000275658</v>
          </cell>
        </row>
        <row r="663">
          <cell r="A663" t="str">
            <v>RAB0000000273958</v>
          </cell>
        </row>
        <row r="664">
          <cell r="A664" t="str">
            <v>RAB0000000213898</v>
          </cell>
        </row>
        <row r="665">
          <cell r="A665" t="str">
            <v>RAB0000000279534</v>
          </cell>
        </row>
        <row r="666">
          <cell r="A666" t="str">
            <v>RAB0000000279545</v>
          </cell>
        </row>
        <row r="667">
          <cell r="A667" t="str">
            <v>RAB0000000279063</v>
          </cell>
        </row>
        <row r="668">
          <cell r="A668" t="str">
            <v>RAB0000000278299</v>
          </cell>
        </row>
        <row r="669">
          <cell r="A669" t="str">
            <v>RAB0000000279584</v>
          </cell>
        </row>
        <row r="670">
          <cell r="A670" t="str">
            <v>RAB0000000279553</v>
          </cell>
        </row>
        <row r="671">
          <cell r="A671" t="str">
            <v>RAB0000000279601</v>
          </cell>
        </row>
        <row r="672">
          <cell r="A672" t="str">
            <v>RAB0000000279485</v>
          </cell>
        </row>
        <row r="673">
          <cell r="A673" t="str">
            <v>RAB0000000279379</v>
          </cell>
        </row>
        <row r="674">
          <cell r="A674" t="str">
            <v>RAB0000000279378</v>
          </cell>
        </row>
        <row r="675">
          <cell r="A675" t="str">
            <v>RAB0000000279271</v>
          </cell>
        </row>
        <row r="676">
          <cell r="A676" t="str">
            <v>RAB0000000279264</v>
          </cell>
        </row>
        <row r="677">
          <cell r="A677" t="str">
            <v>RAB0000000278934</v>
          </cell>
        </row>
        <row r="678">
          <cell r="A678" t="str">
            <v>RAB0000000278665</v>
          </cell>
        </row>
        <row r="679">
          <cell r="A679" t="str">
            <v>RAB0000000278990</v>
          </cell>
        </row>
        <row r="680">
          <cell r="A680" t="str">
            <v>RAB0000000278704</v>
          </cell>
        </row>
        <row r="681">
          <cell r="A681" t="str">
            <v>RAB0000000278587</v>
          </cell>
        </row>
        <row r="682">
          <cell r="A682" t="str">
            <v>RAB0000000278618</v>
          </cell>
        </row>
        <row r="683">
          <cell r="A683" t="str">
            <v>RAB0000000279006</v>
          </cell>
        </row>
        <row r="684">
          <cell r="A684" t="str">
            <v>RAB0000000278638</v>
          </cell>
        </row>
        <row r="685">
          <cell r="A685" t="str">
            <v>RAB0000000278363</v>
          </cell>
        </row>
        <row r="686">
          <cell r="A686" t="str">
            <v>RAB0000000278503</v>
          </cell>
        </row>
        <row r="687">
          <cell r="A687" t="str">
            <v>RAB0000000278353</v>
          </cell>
        </row>
        <row r="688">
          <cell r="A688" t="str">
            <v>RAB0000000278235</v>
          </cell>
        </row>
        <row r="689">
          <cell r="A689" t="str">
            <v>RAB0000000278255</v>
          </cell>
        </row>
        <row r="690">
          <cell r="A690" t="str">
            <v>RAB0000000277702</v>
          </cell>
        </row>
        <row r="691">
          <cell r="A691" t="str">
            <v>RAB0000000277469</v>
          </cell>
        </row>
        <row r="692">
          <cell r="A692" t="str">
            <v>RAB0000000274994</v>
          </cell>
        </row>
        <row r="693">
          <cell r="A693" t="str">
            <v>RAB0000000279976</v>
          </cell>
        </row>
        <row r="694">
          <cell r="A694" t="str">
            <v>RAB0000000280029</v>
          </cell>
        </row>
        <row r="698">
          <cell r="A698" t="str">
            <v>RAB0000000280003</v>
          </cell>
        </row>
        <row r="699">
          <cell r="A699" t="str">
            <v>RAB0000000279685</v>
          </cell>
        </row>
        <row r="700">
          <cell r="A700" t="str">
            <v>RAB0000000279721</v>
          </cell>
        </row>
        <row r="701">
          <cell r="A701" t="str">
            <v>RAB0000000279773</v>
          </cell>
        </row>
        <row r="702">
          <cell r="A702" t="str">
            <v>RAB0000000279865</v>
          </cell>
        </row>
        <row r="703">
          <cell r="A703" t="str">
            <v>RAB0000000279792</v>
          </cell>
        </row>
        <row r="704">
          <cell r="A704" t="str">
            <v>RAB0000000279874</v>
          </cell>
        </row>
        <row r="705">
          <cell r="A705" t="str">
            <v>RAB0000000279878</v>
          </cell>
        </row>
        <row r="706">
          <cell r="A706" t="str">
            <v>RAB0000000279892</v>
          </cell>
        </row>
        <row r="707">
          <cell r="A707" t="str">
            <v>RAB0000000279754</v>
          </cell>
        </row>
        <row r="708">
          <cell r="A708" t="str">
            <v>RAB0000000279798</v>
          </cell>
        </row>
        <row r="709">
          <cell r="A709" t="str">
            <v>RAB0000000279857</v>
          </cell>
        </row>
        <row r="710">
          <cell r="A710" t="str">
            <v>RAB0000000279949</v>
          </cell>
        </row>
        <row r="711">
          <cell r="A711" t="str">
            <v>RAB0000000279621</v>
          </cell>
        </row>
        <row r="712">
          <cell r="A712" t="str">
            <v>RAB0000000279674</v>
          </cell>
        </row>
        <row r="713">
          <cell r="A713" t="str">
            <v>RAB0000000279649</v>
          </cell>
        </row>
        <row r="714">
          <cell r="A714" t="str">
            <v>RAB0000000279697</v>
          </cell>
        </row>
        <row r="715">
          <cell r="A715" t="str">
            <v>RAB0000000279705</v>
          </cell>
        </row>
        <row r="716">
          <cell r="A716" t="str">
            <v>RAB0000000279632</v>
          </cell>
        </row>
        <row r="717">
          <cell r="A717" t="str">
            <v>RAB0000000279718</v>
          </cell>
        </row>
        <row r="718">
          <cell r="A718" t="str">
            <v>RAB0000000279646</v>
          </cell>
        </row>
        <row r="719">
          <cell r="A719" t="str">
            <v>RAB0000000279690</v>
          </cell>
        </row>
        <row r="720">
          <cell r="A720" t="str">
            <v>RAB0000000279581</v>
          </cell>
        </row>
        <row r="721">
          <cell r="A721" t="str">
            <v>RAB0000000279575</v>
          </cell>
        </row>
        <row r="722">
          <cell r="A722" t="str">
            <v>RAB0000000279507</v>
          </cell>
        </row>
        <row r="723">
          <cell r="A723" t="str">
            <v>RAB0000000279568</v>
          </cell>
        </row>
        <row r="724">
          <cell r="A724" t="str">
            <v>RAB0000000279516</v>
          </cell>
        </row>
        <row r="725">
          <cell r="A725" t="str">
            <v>RAB0000000279510</v>
          </cell>
        </row>
        <row r="726">
          <cell r="A726" t="str">
            <v>RAB0000000279541</v>
          </cell>
        </row>
        <row r="727">
          <cell r="A727" t="str">
            <v>RAB0000000279494</v>
          </cell>
        </row>
        <row r="728">
          <cell r="A728" t="str">
            <v>RAB0000000279564</v>
          </cell>
        </row>
        <row r="729">
          <cell r="A729" t="str">
            <v>RAB0000000279567</v>
          </cell>
        </row>
        <row r="730">
          <cell r="A730" t="str">
            <v>RAB0000000279514</v>
          </cell>
        </row>
        <row r="731">
          <cell r="A731" t="str">
            <v>RAB0000000279487</v>
          </cell>
        </row>
        <row r="732">
          <cell r="A732" t="str">
            <v>RAB0000000279563</v>
          </cell>
        </row>
        <row r="733">
          <cell r="A733" t="str">
            <v>RAB0000000279578</v>
          </cell>
        </row>
        <row r="734">
          <cell r="A734" t="str">
            <v>RAB0000000279585</v>
          </cell>
        </row>
        <row r="735">
          <cell r="A735" t="str">
            <v>RAB0000000279554</v>
          </cell>
        </row>
        <row r="736">
          <cell r="A736" t="str">
            <v>RAB0000000279579</v>
          </cell>
        </row>
        <row r="737">
          <cell r="A737" t="str">
            <v>RAB0000000279451</v>
          </cell>
        </row>
        <row r="738">
          <cell r="A738" t="str">
            <v>RAB0000000279562</v>
          </cell>
        </row>
        <row r="739">
          <cell r="A739" t="str">
            <v>RAB0000000279469</v>
          </cell>
        </row>
        <row r="740">
          <cell r="A740" t="str">
            <v>RAB0000000279381</v>
          </cell>
        </row>
        <row r="741">
          <cell r="A741" t="str">
            <v>RAB0000000279410</v>
          </cell>
        </row>
        <row r="742">
          <cell r="A742" t="str">
            <v>RAB0000000279002</v>
          </cell>
        </row>
        <row r="743">
          <cell r="A743" t="str">
            <v>RAB0000000275123</v>
          </cell>
        </row>
        <row r="745">
          <cell r="A745" t="str">
            <v>RAB0000000280187</v>
          </cell>
        </row>
        <row r="747">
          <cell r="A747" t="str">
            <v>RAB0000000279977</v>
          </cell>
        </row>
        <row r="748">
          <cell r="A748" t="str">
            <v>RAB0000000279994</v>
          </cell>
        </row>
        <row r="749">
          <cell r="A749" t="str">
            <v>RAB0000000279797</v>
          </cell>
        </row>
        <row r="750">
          <cell r="A750" t="str">
            <v>RAB0000000279811</v>
          </cell>
        </row>
        <row r="751">
          <cell r="A751" t="str">
            <v>RAB0000000279952</v>
          </cell>
        </row>
        <row r="752">
          <cell r="A752" t="str">
            <v>RAB0000000279604</v>
          </cell>
        </row>
        <row r="753">
          <cell r="A753" t="str">
            <v>RAB0000000279732</v>
          </cell>
        </row>
        <row r="754">
          <cell r="A754" t="str">
            <v>RAB0000000279800</v>
          </cell>
        </row>
        <row r="755">
          <cell r="A755" t="str">
            <v>RAB0000000279827</v>
          </cell>
        </row>
        <row r="756">
          <cell r="A756" t="str">
            <v>RAB0000000279707</v>
          </cell>
        </row>
        <row r="757">
          <cell r="A757" t="str">
            <v>RAB0000000279880</v>
          </cell>
        </row>
        <row r="758">
          <cell r="A758" t="str">
            <v>RAB0000000279728</v>
          </cell>
        </row>
        <row r="759">
          <cell r="A759" t="str">
            <v>RAB0000000279776</v>
          </cell>
        </row>
        <row r="760">
          <cell r="A760" t="str">
            <v>RAB0000000279829</v>
          </cell>
        </row>
        <row r="761">
          <cell r="A761" t="str">
            <v>RAB0000000279802</v>
          </cell>
        </row>
        <row r="762">
          <cell r="A762" t="str">
            <v>RAB0000000279551</v>
          </cell>
        </row>
        <row r="763">
          <cell r="A763" t="str">
            <v>RAB0000000279490</v>
          </cell>
        </row>
        <row r="764">
          <cell r="A764" t="str">
            <v>RAB0000000279560</v>
          </cell>
        </row>
        <row r="765">
          <cell r="A765" t="str">
            <v>RAB0000000278670</v>
          </cell>
        </row>
        <row r="766">
          <cell r="A766" t="str">
            <v>RAB0000000278685</v>
          </cell>
        </row>
        <row r="767">
          <cell r="A767" t="str">
            <v>RAB0000000278613</v>
          </cell>
        </row>
        <row r="768">
          <cell r="A768" t="str">
            <v>RAB0000000278759</v>
          </cell>
        </row>
        <row r="769">
          <cell r="A769" t="str">
            <v>RAB0000000280368</v>
          </cell>
        </row>
        <row r="770">
          <cell r="A770" t="str">
            <v>RAB0000000280369</v>
          </cell>
        </row>
        <row r="771">
          <cell r="A771" t="str">
            <v>RAB0000000280348</v>
          </cell>
        </row>
        <row r="772">
          <cell r="A772" t="str">
            <v>RAB0000000280692</v>
          </cell>
        </row>
        <row r="774">
          <cell r="A774" t="str">
            <v>RAB0000000280693</v>
          </cell>
        </row>
        <row r="775">
          <cell r="A775" t="str">
            <v>RAB0000000280120</v>
          </cell>
        </row>
        <row r="776">
          <cell r="A776" t="str">
            <v>RAB0000000280189</v>
          </cell>
        </row>
        <row r="777">
          <cell r="A777" t="str">
            <v>RAB0000000280153</v>
          </cell>
        </row>
        <row r="778">
          <cell r="A778" t="str">
            <v>RAB0000000280065</v>
          </cell>
        </row>
        <row r="779">
          <cell r="A779" t="str">
            <v>RAB0000000280081</v>
          </cell>
        </row>
        <row r="780">
          <cell r="A780" t="str">
            <v>RAB0000000280097</v>
          </cell>
        </row>
        <row r="781">
          <cell r="A781" t="str">
            <v>RAB0000000280083</v>
          </cell>
        </row>
        <row r="782">
          <cell r="A782" t="str">
            <v>RAB0000000280129</v>
          </cell>
        </row>
        <row r="783">
          <cell r="A783" t="str">
            <v>RAB0000000280168</v>
          </cell>
        </row>
        <row r="784">
          <cell r="A784" t="str">
            <v>RAB0000000280157</v>
          </cell>
        </row>
        <row r="785">
          <cell r="A785" t="str">
            <v>RAB0000000280118</v>
          </cell>
        </row>
        <row r="786">
          <cell r="A786" t="str">
            <v>RAB0000000279966</v>
          </cell>
        </row>
        <row r="787">
          <cell r="A787" t="str">
            <v>RAB0000000280034</v>
          </cell>
        </row>
        <row r="788">
          <cell r="A788" t="str">
            <v>RAB0000000279987</v>
          </cell>
        </row>
        <row r="789">
          <cell r="A789" t="str">
            <v>RAB0000000280064</v>
          </cell>
        </row>
        <row r="790">
          <cell r="A790" t="str">
            <v>RAB0000000280012</v>
          </cell>
        </row>
        <row r="791">
          <cell r="A791" t="str">
            <v>RAB0000000279991</v>
          </cell>
        </row>
        <row r="792">
          <cell r="A792" t="str">
            <v>RAB0000000279921</v>
          </cell>
        </row>
        <row r="793">
          <cell r="A793" t="str">
            <v>RAB0000000279957</v>
          </cell>
        </row>
        <row r="794">
          <cell r="A794" t="str">
            <v>RAB0000000279954</v>
          </cell>
        </row>
        <row r="795">
          <cell r="A795" t="str">
            <v>RAB0000000279922</v>
          </cell>
        </row>
        <row r="796">
          <cell r="A796" t="str">
            <v>RAB0000000279843</v>
          </cell>
        </row>
        <row r="797">
          <cell r="A797" t="str">
            <v>RAB0000000279749</v>
          </cell>
        </row>
        <row r="798">
          <cell r="A798" t="str">
            <v>RAB0000000279859</v>
          </cell>
        </row>
        <row r="799">
          <cell r="A799" t="str">
            <v>RAB0000000279444</v>
          </cell>
        </row>
        <row r="800">
          <cell r="A800" t="str">
            <v>RAB0000000279499</v>
          </cell>
        </row>
        <row r="801">
          <cell r="A801" t="str">
            <v>RAB0000000279194</v>
          </cell>
        </row>
        <row r="802">
          <cell r="A802" t="str">
            <v>RAB0000000278671</v>
          </cell>
        </row>
        <row r="803">
          <cell r="A803" t="str">
            <v>RAB0000000275946</v>
          </cell>
        </row>
        <row r="804">
          <cell r="A804" t="str">
            <v>RAB0000000269544</v>
          </cell>
        </row>
        <row r="805">
          <cell r="A805" t="str">
            <v>RAB0000000280695</v>
          </cell>
        </row>
        <row r="806">
          <cell r="A806" t="str">
            <v>RAB0000000280696</v>
          </cell>
        </row>
        <row r="807">
          <cell r="A807" t="str">
            <v>RAB0000000280358</v>
          </cell>
        </row>
        <row r="808">
          <cell r="A808" t="str">
            <v>RAB0000000280338</v>
          </cell>
        </row>
        <row r="809">
          <cell r="A809" t="str">
            <v>RAB0000000280342</v>
          </cell>
        </row>
        <row r="810">
          <cell r="A810" t="str">
            <v>RAB0000000280314</v>
          </cell>
        </row>
        <row r="811">
          <cell r="A811" t="str">
            <v>RAB0000000280322</v>
          </cell>
        </row>
        <row r="812">
          <cell r="A812" t="str">
            <v>RAB0000000280161</v>
          </cell>
        </row>
        <row r="813">
          <cell r="A813" t="str">
            <v>RAB0000000280195</v>
          </cell>
        </row>
        <row r="814">
          <cell r="A814" t="str">
            <v>RAB0000000280119</v>
          </cell>
        </row>
        <row r="815">
          <cell r="A815" t="str">
            <v>RAB0000000280073</v>
          </cell>
        </row>
        <row r="816">
          <cell r="A816" t="str">
            <v>RAB0000000280173</v>
          </cell>
        </row>
        <row r="817">
          <cell r="A817" t="str">
            <v>RAB0000000280203</v>
          </cell>
        </row>
        <row r="818">
          <cell r="A818" t="str">
            <v>RAB0000000280196</v>
          </cell>
        </row>
        <row r="819">
          <cell r="A819" t="str">
            <v>RAB0000000279986</v>
          </cell>
        </row>
        <row r="820">
          <cell r="A820" t="str">
            <v>RAB0000000280023</v>
          </cell>
        </row>
        <row r="821">
          <cell r="A821" t="str">
            <v>RAB0000000279906</v>
          </cell>
        </row>
        <row r="822">
          <cell r="A822" t="str">
            <v>RAB0000000279801</v>
          </cell>
        </row>
        <row r="823">
          <cell r="A823" t="str">
            <v>RAB0000000279765</v>
          </cell>
        </row>
        <row r="824">
          <cell r="A824" t="str">
            <v>RAB0000000279861</v>
          </cell>
        </row>
        <row r="825">
          <cell r="A825" t="str">
            <v>RAB0000000279960</v>
          </cell>
        </row>
        <row r="827">
          <cell r="A827" t="str">
            <v>RAB0000000279320</v>
          </cell>
        </row>
        <row r="828">
          <cell r="A828" t="str">
            <v>RAB0000000278784</v>
          </cell>
        </row>
        <row r="829">
          <cell r="A829" t="str">
            <v>RAB0000000278716</v>
          </cell>
        </row>
        <row r="830">
          <cell r="A830" t="str">
            <v>RAB0000000277425</v>
          </cell>
        </row>
        <row r="831">
          <cell r="A831" t="str">
            <v>RAB0000000276589</v>
          </cell>
        </row>
        <row r="832">
          <cell r="A832" t="str">
            <v>RAB0000000223388</v>
          </cell>
        </row>
        <row r="833">
          <cell r="A833" t="str">
            <v>RAB0000000193388</v>
          </cell>
        </row>
        <row r="834">
          <cell r="A834" t="str">
            <v>RAB0000000280697</v>
          </cell>
        </row>
        <row r="835">
          <cell r="A835" t="str">
            <v>RAB0000000280699</v>
          </cell>
        </row>
        <row r="836">
          <cell r="A836" t="str">
            <v>RAB0000000280550</v>
          </cell>
        </row>
        <row r="837">
          <cell r="A837" t="str">
            <v>RAB0000000280488</v>
          </cell>
        </row>
        <row r="838">
          <cell r="A838" t="str">
            <v>RAB0000000280464</v>
          </cell>
        </row>
        <row r="839">
          <cell r="A839" t="str">
            <v>RAB0000000280449</v>
          </cell>
        </row>
        <row r="840">
          <cell r="A840" t="str">
            <v>RAB0000000280431</v>
          </cell>
        </row>
        <row r="841">
          <cell r="A841" t="str">
            <v>RAB0000000280356</v>
          </cell>
        </row>
        <row r="842">
          <cell r="A842" t="str">
            <v>RAB0000000280340</v>
          </cell>
        </row>
        <row r="843">
          <cell r="A843" t="str">
            <v>RAB0000000280311</v>
          </cell>
        </row>
        <row r="844">
          <cell r="A844" t="str">
            <v>RAB0000000280277</v>
          </cell>
        </row>
        <row r="845">
          <cell r="A845" t="str">
            <v>RAB0000000280343</v>
          </cell>
        </row>
        <row r="846">
          <cell r="A846" t="str">
            <v>RAB0000000280191</v>
          </cell>
        </row>
        <row r="847">
          <cell r="A847" t="str">
            <v>RAB0000000280155</v>
          </cell>
        </row>
        <row r="848">
          <cell r="A848" t="str">
            <v>RAB0000000279640</v>
          </cell>
        </row>
        <row r="849">
          <cell r="A849" t="str">
            <v>RAB0000000279672</v>
          </cell>
        </row>
        <row r="850">
          <cell r="A850" t="str">
            <v>RAB0000000279274</v>
          </cell>
        </row>
        <row r="851">
          <cell r="A851" t="str">
            <v>RAB0000000279420</v>
          </cell>
        </row>
        <row r="852">
          <cell r="A852" t="str">
            <v>RAB0000000279573</v>
          </cell>
        </row>
        <row r="853">
          <cell r="A853" t="str">
            <v>RAB0000000279392</v>
          </cell>
        </row>
        <row r="854">
          <cell r="A854" t="str">
            <v>RAB0000000279032</v>
          </cell>
        </row>
        <row r="855">
          <cell r="A855" t="str">
            <v>RAB0000000278594</v>
          </cell>
        </row>
        <row r="856">
          <cell r="A856" t="str">
            <v>RAB0000000278395</v>
          </cell>
        </row>
        <row r="857">
          <cell r="A857" t="str">
            <v>RAB0000000277855</v>
          </cell>
        </row>
        <row r="858">
          <cell r="A858" t="str">
            <v>RAB0000000277139</v>
          </cell>
        </row>
        <row r="859">
          <cell r="A859" t="str">
            <v>RAB0000000273577</v>
          </cell>
        </row>
        <row r="860">
          <cell r="A860" t="str">
            <v>RAB0000000270900</v>
          </cell>
        </row>
        <row r="861">
          <cell r="A861" t="str">
            <v>RAB0000000222779</v>
          </cell>
        </row>
        <row r="862">
          <cell r="A862" t="str">
            <v>RAB0000000194578</v>
          </cell>
        </row>
        <row r="863">
          <cell r="A863" t="str">
            <v>RAB0000000280926</v>
          </cell>
        </row>
        <row r="864">
          <cell r="A864" t="str">
            <v>RAB0000000281080</v>
          </cell>
        </row>
        <row r="865">
          <cell r="A865" t="str">
            <v>RAB0000000281079</v>
          </cell>
        </row>
        <row r="866">
          <cell r="A866" t="str">
            <v>RAB0000000281140</v>
          </cell>
        </row>
        <row r="867">
          <cell r="A867" t="str">
            <v>RAB0000000281087</v>
          </cell>
        </row>
        <row r="868">
          <cell r="A868" t="str">
            <v>RAB0000000281081</v>
          </cell>
        </row>
        <row r="869">
          <cell r="A869" t="str">
            <v>RAB0000000280641</v>
          </cell>
        </row>
        <row r="870">
          <cell r="A870" t="str">
            <v>RAB0000000122027</v>
          </cell>
        </row>
        <row r="871">
          <cell r="A871" t="str">
            <v>RAB0000000280899</v>
          </cell>
        </row>
        <row r="872">
          <cell r="A872" t="str">
            <v>RAB0000000280649</v>
          </cell>
        </row>
        <row r="873">
          <cell r="A873" t="str">
            <v>RAB0000000280499</v>
          </cell>
        </row>
        <row r="874">
          <cell r="A874" t="str">
            <v>RAB0000000280568</v>
          </cell>
        </row>
        <row r="875">
          <cell r="A875" t="str">
            <v>RAB0000000280581</v>
          </cell>
        </row>
        <row r="876">
          <cell r="A876" t="str">
            <v>RAB0000000280485</v>
          </cell>
        </row>
        <row r="877">
          <cell r="A877" t="str">
            <v>RAB0000000280538</v>
          </cell>
        </row>
        <row r="878">
          <cell r="A878" t="str">
            <v>RAB0000000280410</v>
          </cell>
        </row>
        <row r="879">
          <cell r="A879" t="str">
            <v>RAB0000000280536</v>
          </cell>
        </row>
        <row r="880">
          <cell r="A880" t="str">
            <v>RAB0000000280560</v>
          </cell>
        </row>
        <row r="881">
          <cell r="A881" t="str">
            <v>RAB0000000280512</v>
          </cell>
        </row>
        <row r="882">
          <cell r="A882" t="str">
            <v>RAB0000000280418</v>
          </cell>
        </row>
        <row r="883">
          <cell r="A883" t="str">
            <v>RAB0000000280316</v>
          </cell>
        </row>
        <row r="884">
          <cell r="A884" t="str">
            <v>RAB0000000280312</v>
          </cell>
        </row>
        <row r="885">
          <cell r="A885" t="str">
            <v>RAB0000000280272</v>
          </cell>
        </row>
        <row r="886">
          <cell r="A886" t="str">
            <v>RAB0000000280376</v>
          </cell>
        </row>
        <row r="887">
          <cell r="A887" t="str">
            <v>RAB0000000280286</v>
          </cell>
        </row>
        <row r="888">
          <cell r="A888" t="str">
            <v>RAB0000000279808</v>
          </cell>
        </row>
        <row r="889">
          <cell r="A889" t="str">
            <v>RAB0000000279569</v>
          </cell>
        </row>
        <row r="890">
          <cell r="A890" t="str">
            <v>RAB0000000279319</v>
          </cell>
        </row>
        <row r="891">
          <cell r="A891" t="str">
            <v>RAB0000000277981</v>
          </cell>
        </row>
        <row r="892">
          <cell r="A892" t="str">
            <v>RAB0000000276793</v>
          </cell>
        </row>
        <row r="893">
          <cell r="A893" t="str">
            <v>RAB0000000276140</v>
          </cell>
        </row>
        <row r="894">
          <cell r="A894" t="str">
            <v>RAB0000000275032</v>
          </cell>
        </row>
        <row r="895">
          <cell r="A895" t="str">
            <v>RAB0000000275114</v>
          </cell>
        </row>
        <row r="896">
          <cell r="A896" t="str">
            <v>RAB0000000274843</v>
          </cell>
        </row>
        <row r="897">
          <cell r="A897" t="str">
            <v>RAB0000000270898</v>
          </cell>
        </row>
        <row r="898">
          <cell r="A898" t="str">
            <v>RAB0000000280927</v>
          </cell>
        </row>
        <row r="899">
          <cell r="A899" t="str">
            <v>RAB0000000282378</v>
          </cell>
        </row>
        <row r="900">
          <cell r="A900" t="str">
            <v>RAB0000000281535</v>
          </cell>
        </row>
        <row r="901">
          <cell r="A901" t="str">
            <v>RAB0000000280905</v>
          </cell>
        </row>
        <row r="902">
          <cell r="A902" t="str">
            <v>RAB0000000280920</v>
          </cell>
        </row>
        <row r="903">
          <cell r="A903" t="str">
            <v>RAB0000000281015</v>
          </cell>
        </row>
        <row r="904">
          <cell r="A904" t="str">
            <v>RAB0000000280986</v>
          </cell>
        </row>
        <row r="905">
          <cell r="A905" t="str">
            <v>RAB0000000281066</v>
          </cell>
        </row>
        <row r="906">
          <cell r="A906" t="str">
            <v>RAB0000000281132</v>
          </cell>
        </row>
        <row r="907">
          <cell r="A907" t="str">
            <v>RAB0000000281275</v>
          </cell>
        </row>
        <row r="908">
          <cell r="A908" t="str">
            <v>RAB0000000281250</v>
          </cell>
        </row>
        <row r="909">
          <cell r="A909" t="str">
            <v>RAB0000000281443</v>
          </cell>
        </row>
        <row r="910">
          <cell r="A910" t="str">
            <v>RAB0000000281085</v>
          </cell>
        </row>
        <row r="912">
          <cell r="A912" t="str">
            <v>RAB0000000280629</v>
          </cell>
        </row>
        <row r="913">
          <cell r="A913" t="str">
            <v>RAB0000000280831</v>
          </cell>
        </row>
        <row r="914">
          <cell r="A914" t="str">
            <v>RAB0000000280714</v>
          </cell>
        </row>
        <row r="915">
          <cell r="A915" t="str">
            <v>RAB0000000280811</v>
          </cell>
        </row>
        <row r="916">
          <cell r="A916" t="str">
            <v>RAB0000000280702</v>
          </cell>
        </row>
        <row r="917">
          <cell r="A917" t="str">
            <v>RAB0000000280715</v>
          </cell>
        </row>
        <row r="918">
          <cell r="A918" t="str">
            <v>RAB0000000280763</v>
          </cell>
        </row>
        <row r="919">
          <cell r="A919" t="str">
            <v>RAB0000000280610</v>
          </cell>
        </row>
        <row r="920">
          <cell r="A920" t="str">
            <v>RAB0000000280630</v>
          </cell>
        </row>
        <row r="921">
          <cell r="A921" t="str">
            <v>RAB0000000280844</v>
          </cell>
        </row>
        <row r="922">
          <cell r="A922" t="str">
            <v>RAB0000000280801</v>
          </cell>
        </row>
        <row r="923">
          <cell r="A923" t="str">
            <v>RAB0000000280739</v>
          </cell>
        </row>
        <row r="924">
          <cell r="A924" t="str">
            <v>RAB0000000280891</v>
          </cell>
        </row>
        <row r="925">
          <cell r="A925" t="str">
            <v>RAB0000000280689</v>
          </cell>
        </row>
        <row r="926">
          <cell r="A926" t="str">
            <v>RAB0000000280785</v>
          </cell>
        </row>
        <row r="927">
          <cell r="A927" t="str">
            <v>RAB0000000280640</v>
          </cell>
        </row>
        <row r="928">
          <cell r="A928" t="str">
            <v>RAB0000000280587</v>
          </cell>
        </row>
        <row r="929">
          <cell r="A929" t="str">
            <v>RAB0000000280355</v>
          </cell>
        </row>
        <row r="930">
          <cell r="A930" t="str">
            <v>RAB0000000279218</v>
          </cell>
        </row>
        <row r="931">
          <cell r="A931" t="str">
            <v>RAB0000000279398</v>
          </cell>
        </row>
        <row r="932">
          <cell r="A932" t="str">
            <v>RAB0000000279303</v>
          </cell>
        </row>
        <row r="933">
          <cell r="A933" t="str">
            <v>RAB0000000278166</v>
          </cell>
        </row>
        <row r="934">
          <cell r="A934" t="str">
            <v>RAB0000000276302</v>
          </cell>
        </row>
        <row r="935">
          <cell r="A935" t="str">
            <v>RAB0000000275718</v>
          </cell>
        </row>
        <row r="936">
          <cell r="A936" t="str">
            <v>RAB0000000274685</v>
          </cell>
        </row>
        <row r="937">
          <cell r="A937" t="str">
            <v>RAB0000000281387</v>
          </cell>
        </row>
        <row r="938">
          <cell r="A938" t="str">
            <v>RAB0000000281361</v>
          </cell>
        </row>
        <row r="939">
          <cell r="A939" t="str">
            <v>RAB0000000281414</v>
          </cell>
        </row>
        <row r="945">
          <cell r="A945" t="str">
            <v>RAB0000000277164</v>
          </cell>
        </row>
        <row r="946">
          <cell r="A946" t="str">
            <v>RAB0000000277104</v>
          </cell>
        </row>
        <row r="947">
          <cell r="A947" t="str">
            <v>RAB0000000281142</v>
          </cell>
        </row>
        <row r="948">
          <cell r="A948" t="str">
            <v>RAB0000000280946</v>
          </cell>
        </row>
        <row r="949">
          <cell r="A949" t="str">
            <v>RAB0000000281083</v>
          </cell>
        </row>
        <row r="950">
          <cell r="A950" t="str">
            <v>RAB0000000280951</v>
          </cell>
        </row>
        <row r="951">
          <cell r="A951" t="str">
            <v>RAB0000000280903</v>
          </cell>
        </row>
        <row r="952">
          <cell r="A952" t="str">
            <v>RAB0000000280658</v>
          </cell>
        </row>
        <row r="953">
          <cell r="A953" t="str">
            <v>RAB0000000280501</v>
          </cell>
        </row>
        <row r="954">
          <cell r="A954" t="str">
            <v>RAB0000000280442</v>
          </cell>
        </row>
        <row r="955">
          <cell r="A955" t="str">
            <v>RAB0000000279809</v>
          </cell>
        </row>
        <row r="956">
          <cell r="A956" t="str">
            <v>RAB0000000279026</v>
          </cell>
        </row>
        <row r="957">
          <cell r="A957" t="str">
            <v>RAB0000000278782</v>
          </cell>
        </row>
        <row r="958">
          <cell r="A958" t="str">
            <v>RAB0000000280558</v>
          </cell>
        </row>
        <row r="959">
          <cell r="A959" t="str">
            <v>RAB0000000280531</v>
          </cell>
        </row>
        <row r="960">
          <cell r="A960" t="str">
            <v>RAB0000000279923</v>
          </cell>
        </row>
        <row r="961">
          <cell r="A961" t="str">
            <v>RAB0000000270639</v>
          </cell>
        </row>
        <row r="962">
          <cell r="A962" t="str">
            <v>RAB0000000281499</v>
          </cell>
        </row>
        <row r="963">
          <cell r="A963" t="str">
            <v>RAB0000000281464</v>
          </cell>
        </row>
        <row r="964">
          <cell r="A964" t="str">
            <v>RAB0000000281401</v>
          </cell>
        </row>
        <row r="965">
          <cell r="A965" t="str">
            <v>RAB0000000281234</v>
          </cell>
        </row>
        <row r="966">
          <cell r="A966" t="str">
            <v>RAB0000000281211</v>
          </cell>
        </row>
        <row r="967">
          <cell r="A967" t="str">
            <v>RAB0000000281216</v>
          </cell>
        </row>
        <row r="968">
          <cell r="A968" t="str">
            <v>RAB0000000281224</v>
          </cell>
        </row>
        <row r="969">
          <cell r="A969" t="str">
            <v>RAB0000000281182</v>
          </cell>
        </row>
        <row r="970">
          <cell r="A970" t="str">
            <v>RAB0000000280949</v>
          </cell>
        </row>
        <row r="971">
          <cell r="A971" t="str">
            <v>RAB0000000280992</v>
          </cell>
        </row>
        <row r="972">
          <cell r="A972" t="str">
            <v>RAB0000000281036</v>
          </cell>
        </row>
        <row r="973">
          <cell r="A973" t="str">
            <v>RAB0000000281039</v>
          </cell>
        </row>
        <row r="974">
          <cell r="A974" t="str">
            <v>RAB0000000280979</v>
          </cell>
        </row>
        <row r="975">
          <cell r="A975" t="str">
            <v>RAB0000000279839</v>
          </cell>
        </row>
        <row r="976">
          <cell r="A976" t="str">
            <v>RAB0000000281103</v>
          </cell>
        </row>
        <row r="977">
          <cell r="A977" t="str">
            <v>RAB0000000281056</v>
          </cell>
        </row>
        <row r="978">
          <cell r="A978" t="str">
            <v>RAB0000000281023</v>
          </cell>
        </row>
        <row r="979">
          <cell r="A979" t="str">
            <v>RAB0000000281032</v>
          </cell>
        </row>
        <row r="980">
          <cell r="A980" t="str">
            <v>RAB0000000280910</v>
          </cell>
        </row>
        <row r="981">
          <cell r="A981" t="str">
            <v>RAB0000000281019</v>
          </cell>
        </row>
        <row r="982">
          <cell r="A982" t="str">
            <v>RAB0000000280993</v>
          </cell>
        </row>
        <row r="983">
          <cell r="A983" t="str">
            <v>RAB0000000281070</v>
          </cell>
        </row>
        <row r="984">
          <cell r="A984" t="str">
            <v>RAB0000000280883</v>
          </cell>
        </row>
        <row r="985">
          <cell r="A985" t="str">
            <v>RAB0000000280829</v>
          </cell>
        </row>
        <row r="986">
          <cell r="A986" t="str">
            <v>RAB0000000280799</v>
          </cell>
        </row>
        <row r="987">
          <cell r="A987" t="str">
            <v>RAB0000000280534</v>
          </cell>
        </row>
        <row r="988">
          <cell r="A988" t="str">
            <v>RAB0000000280507</v>
          </cell>
        </row>
        <row r="989">
          <cell r="A989" t="str">
            <v>RAB0000000279105</v>
          </cell>
        </row>
        <row r="996">
          <cell r="A996" t="str">
            <v>RAB0000000281489</v>
          </cell>
        </row>
        <row r="997">
          <cell r="A997" t="str">
            <v>RAB0000000281186</v>
          </cell>
        </row>
        <row r="998">
          <cell r="A998" t="str">
            <v>RAB0000000281190</v>
          </cell>
        </row>
        <row r="999">
          <cell r="A999" t="str">
            <v>RAB0000000281346</v>
          </cell>
        </row>
        <row r="1000">
          <cell r="A1000" t="str">
            <v>RAB0000000281294</v>
          </cell>
        </row>
        <row r="1001">
          <cell r="A1001" t="str">
            <v>RAB0000000281390</v>
          </cell>
        </row>
        <row r="1002">
          <cell r="A1002" t="str">
            <v>RAB0000000281421</v>
          </cell>
        </row>
        <row r="1003">
          <cell r="A1003" t="str">
            <v>RAB0000000281197</v>
          </cell>
        </row>
        <row r="1004">
          <cell r="A1004" t="str">
            <v>RAB0000000281179</v>
          </cell>
        </row>
        <row r="1005">
          <cell r="A1005" t="str">
            <v>RAB0000000281000</v>
          </cell>
        </row>
        <row r="1006">
          <cell r="A1006" t="str">
            <v>RAB0000000280945</v>
          </cell>
        </row>
        <row r="1007">
          <cell r="A1007" t="str">
            <v>RAB0000000281075</v>
          </cell>
        </row>
        <row r="1008">
          <cell r="A1008" t="str">
            <v>RAB0000000281123</v>
          </cell>
        </row>
        <row r="1009">
          <cell r="A1009" t="str">
            <v>RAB0000000281109</v>
          </cell>
        </row>
        <row r="1010">
          <cell r="A1010" t="str">
            <v>RAB0000000281107</v>
          </cell>
        </row>
        <row r="1011">
          <cell r="A1011" t="str">
            <v>RAB0000000281130</v>
          </cell>
        </row>
        <row r="1012">
          <cell r="A1012" t="str">
            <v>RAB0000000280733</v>
          </cell>
        </row>
        <row r="1013">
          <cell r="A1013" t="str">
            <v>RAB0000000280836</v>
          </cell>
        </row>
        <row r="1014">
          <cell r="A1014" t="str">
            <v>RAB0000000280847</v>
          </cell>
        </row>
        <row r="1015">
          <cell r="A1015" t="str">
            <v>RAB0000000280707</v>
          </cell>
        </row>
        <row r="1016">
          <cell r="A1016" t="str">
            <v>RAB0000000280770</v>
          </cell>
        </row>
        <row r="1017">
          <cell r="A1017" t="str">
            <v>RAB0000000280798</v>
          </cell>
        </row>
        <row r="1018">
          <cell r="A1018" t="str">
            <v>RAB0000000280856</v>
          </cell>
        </row>
        <row r="1019">
          <cell r="A1019" t="str">
            <v>RAB0000000280861</v>
          </cell>
        </row>
        <row r="1020">
          <cell r="A1020" t="str">
            <v>RAB0000000280873</v>
          </cell>
        </row>
        <row r="1021">
          <cell r="A1021" t="str">
            <v>RAB0000000280543</v>
          </cell>
        </row>
        <row r="1022">
          <cell r="A1022" t="str">
            <v>RAB0000000280594</v>
          </cell>
        </row>
        <row r="1023">
          <cell r="A1023" t="str">
            <v>RAB0000000280584</v>
          </cell>
        </row>
        <row r="1024">
          <cell r="A1024" t="str">
            <v>RAB0000000280598</v>
          </cell>
        </row>
        <row r="1025">
          <cell r="A1025" t="str">
            <v>RAB0000000280578</v>
          </cell>
        </row>
        <row r="1026">
          <cell r="A1026" t="str">
            <v>RAB0000000279763</v>
          </cell>
        </row>
        <row r="1027">
          <cell r="A1027" t="str">
            <v>RAB0000000279605</v>
          </cell>
        </row>
        <row r="1028">
          <cell r="A1028" t="str">
            <v>RAB0000000278390</v>
          </cell>
        </row>
        <row r="1029">
          <cell r="A1029" t="str">
            <v>RAB0000000217902</v>
          </cell>
        </row>
        <row r="1030">
          <cell r="A1030" t="str">
            <v>RAB0000000281709</v>
          </cell>
        </row>
        <row r="1031">
          <cell r="A1031" t="str">
            <v>RAB0000000281708</v>
          </cell>
        </row>
        <row r="1032">
          <cell r="A1032" t="str">
            <v>RAB0000000281707</v>
          </cell>
        </row>
        <row r="1033">
          <cell r="A1033" t="str">
            <v>RAB0000000281749</v>
          </cell>
        </row>
        <row r="1035">
          <cell r="A1035" t="str">
            <v>RAB0000000281821</v>
          </cell>
        </row>
        <row r="1036">
          <cell r="A1036" t="str">
            <v>RAB0000000281748</v>
          </cell>
        </row>
        <row r="1037">
          <cell r="A1037" t="str">
            <v>RAB0000000281817</v>
          </cell>
        </row>
        <row r="1038">
          <cell r="A1038" t="str">
            <v>RAB0000000281716</v>
          </cell>
        </row>
        <row r="1039">
          <cell r="A1039" t="str">
            <v>RAB0000000281544</v>
          </cell>
        </row>
        <row r="1040">
          <cell r="A1040" t="str">
            <v>RAB0000000281554</v>
          </cell>
        </row>
        <row r="1041">
          <cell r="A1041" t="str">
            <v>RAB0000000281518</v>
          </cell>
        </row>
        <row r="1042">
          <cell r="A1042" t="str">
            <v>RAB0000000281562</v>
          </cell>
        </row>
        <row r="1043">
          <cell r="A1043" t="str">
            <v>RAB0000000281517</v>
          </cell>
        </row>
        <row r="1045">
          <cell r="A1045" t="str">
            <v>RAB0000000281324</v>
          </cell>
        </row>
        <row r="1046">
          <cell r="A1046" t="str">
            <v>RAB0000000281175</v>
          </cell>
        </row>
        <row r="1047">
          <cell r="A1047" t="str">
            <v>RAB0000000281166</v>
          </cell>
        </row>
        <row r="1048">
          <cell r="A1048" t="str">
            <v>RAB0000000281214</v>
          </cell>
        </row>
        <row r="1049">
          <cell r="A1049" t="str">
            <v>RAB0000000281446</v>
          </cell>
        </row>
        <row r="1050">
          <cell r="A1050" t="str">
            <v>RAB0000000281153</v>
          </cell>
        </row>
        <row r="1051">
          <cell r="A1051" t="str">
            <v>RAB0000000281110</v>
          </cell>
        </row>
        <row r="1052">
          <cell r="A1052" t="str">
            <v>RAB0000000280991</v>
          </cell>
        </row>
        <row r="1053">
          <cell r="A1053" t="str">
            <v>RAB0000000280675</v>
          </cell>
        </row>
        <row r="1054">
          <cell r="A1054" t="str">
            <v>RAB0000000280643</v>
          </cell>
        </row>
        <row r="1055">
          <cell r="A1055" t="str">
            <v>RAB0000000280868</v>
          </cell>
        </row>
        <row r="1056">
          <cell r="A1056" t="str">
            <v>RAB0000000280823</v>
          </cell>
        </row>
        <row r="1057">
          <cell r="A1057" t="str">
            <v>RAB0000000280865</v>
          </cell>
        </row>
        <row r="1058">
          <cell r="A1058" t="str">
            <v>RAB0000000279863</v>
          </cell>
        </row>
        <row r="1059">
          <cell r="A1059" t="str">
            <v>RAB0000000276545</v>
          </cell>
        </row>
        <row r="1060">
          <cell r="A1060" t="str">
            <v>RAB0000000275271</v>
          </cell>
        </row>
        <row r="1061">
          <cell r="A1061" t="str">
            <v>RAB0000000274644</v>
          </cell>
        </row>
        <row r="1062">
          <cell r="A1062" t="str">
            <v>RAB0000000273939</v>
          </cell>
        </row>
        <row r="1064">
          <cell r="A1064" t="str">
            <v>RAB0000000281826</v>
          </cell>
        </row>
        <row r="1065">
          <cell r="A1065" t="str">
            <v>RAB0000000281788</v>
          </cell>
        </row>
        <row r="1066">
          <cell r="A1066" t="str">
            <v>RAB0000000281678</v>
          </cell>
        </row>
        <row r="1067">
          <cell r="A1067" t="str">
            <v>RAB0000000281791</v>
          </cell>
        </row>
        <row r="1068">
          <cell r="A1068" t="str">
            <v>RAB0000000281712</v>
          </cell>
        </row>
        <row r="1069">
          <cell r="A1069" t="str">
            <v>RAB0000000281784</v>
          </cell>
        </row>
        <row r="1070">
          <cell r="A1070" t="str">
            <v>RAB0000000281761</v>
          </cell>
        </row>
        <row r="1071">
          <cell r="A1071" t="str">
            <v>RAB0000000281601</v>
          </cell>
        </row>
        <row r="1072">
          <cell r="A1072" t="str">
            <v>RAB0000000281802</v>
          </cell>
        </row>
        <row r="1073">
          <cell r="A1073" t="str">
            <v>RAB0000000281677</v>
          </cell>
        </row>
        <row r="1074">
          <cell r="A1074" t="str">
            <v>RAB0000000281764</v>
          </cell>
        </row>
        <row r="1075">
          <cell r="A1075" t="str">
            <v>RAB0000000281765</v>
          </cell>
        </row>
        <row r="1076">
          <cell r="A1076" t="str">
            <v>RAB0000000281370</v>
          </cell>
        </row>
        <row r="1077">
          <cell r="A1077" t="str">
            <v>RAB0000000281235</v>
          </cell>
        </row>
        <row r="1078">
          <cell r="A1078" t="str">
            <v>RAB0000000281025</v>
          </cell>
        </row>
        <row r="1079">
          <cell r="A1079" t="str">
            <v>RAB0000000280989</v>
          </cell>
        </row>
        <row r="1080">
          <cell r="A1080" t="str">
            <v>RAB0000000280846</v>
          </cell>
        </row>
        <row r="1081">
          <cell r="A1081" t="str">
            <v>RAB0000000280527</v>
          </cell>
        </row>
        <row r="1082">
          <cell r="A1082" t="str">
            <v>RAB0000000277804</v>
          </cell>
        </row>
        <row r="1083">
          <cell r="A1083" t="str">
            <v>RAB0000000275479</v>
          </cell>
        </row>
        <row r="1084">
          <cell r="A1084" t="str">
            <v>RAB0000000273810</v>
          </cell>
        </row>
        <row r="1091">
          <cell r="A1091" t="str">
            <v>RAB0000000282073</v>
          </cell>
        </row>
        <row r="1092">
          <cell r="A1092" t="str">
            <v>RAB0000000282209</v>
          </cell>
        </row>
        <row r="1093">
          <cell r="A1093" t="str">
            <v>RAB0000000281611</v>
          </cell>
        </row>
        <row r="1094">
          <cell r="A1094" t="str">
            <v>RAB0000000281725</v>
          </cell>
        </row>
        <row r="1095">
          <cell r="A1095" t="str">
            <v>RAB0000000281682</v>
          </cell>
        </row>
        <row r="1096">
          <cell r="A1096" t="str">
            <v>RAB0000000281631</v>
          </cell>
        </row>
        <row r="1097">
          <cell r="A1097" t="str">
            <v>RAB0000000281603</v>
          </cell>
        </row>
        <row r="1098">
          <cell r="A1098" t="str">
            <v>RAB0000000281732</v>
          </cell>
        </row>
        <row r="1099">
          <cell r="A1099" t="str">
            <v>RAB0000000281590</v>
          </cell>
        </row>
        <row r="1100">
          <cell r="A1100" t="str">
            <v>RAB0000000281812</v>
          </cell>
        </row>
        <row r="1101">
          <cell r="A1101" t="str">
            <v>RAB0000000281564</v>
          </cell>
        </row>
        <row r="1102">
          <cell r="A1102" t="str">
            <v>RAB0000000279875</v>
          </cell>
        </row>
        <row r="1103">
          <cell r="A1103" t="str">
            <v>RAB0000000282414</v>
          </cell>
        </row>
        <row r="1104">
          <cell r="A1104" t="str">
            <v>RAB0000000282467</v>
          </cell>
        </row>
        <row r="1105">
          <cell r="A1105" t="str">
            <v>RAB0000000282457</v>
          </cell>
        </row>
        <row r="1106">
          <cell r="A1106" t="str">
            <v>RAB0000000282456</v>
          </cell>
        </row>
        <row r="1107">
          <cell r="A1107" t="str">
            <v>RAB0000000282291</v>
          </cell>
        </row>
        <row r="1108">
          <cell r="A1108" t="str">
            <v>De là à là</v>
          </cell>
        </row>
        <row r="1109">
          <cell r="A1109" t="str">
            <v>RAB0000000282043</v>
          </cell>
        </row>
        <row r="1110">
          <cell r="A1110" t="str">
            <v>RAB0000000281901</v>
          </cell>
        </row>
        <row r="1111">
          <cell r="A1111" t="str">
            <v>RAB0000000281907</v>
          </cell>
        </row>
        <row r="1112">
          <cell r="A1112" t="str">
            <v>RAB0000000281900</v>
          </cell>
        </row>
        <row r="1113">
          <cell r="A1113" t="str">
            <v>RAB0000000282224</v>
          </cell>
        </row>
        <row r="1114">
          <cell r="A1114" t="str">
            <v>RAB0000000282088</v>
          </cell>
        </row>
        <row r="1115">
          <cell r="A1115" t="str">
            <v>RAB0000000282184</v>
          </cell>
        </row>
        <row r="1116">
          <cell r="A1116" t="str">
            <v>De là à là</v>
          </cell>
        </row>
        <row r="1117">
          <cell r="A1117" t="str">
            <v>De là à là</v>
          </cell>
        </row>
        <row r="1118">
          <cell r="A1118" t="str">
            <v>De là à là</v>
          </cell>
        </row>
        <row r="1119">
          <cell r="A1119" t="str">
            <v>De là à là</v>
          </cell>
        </row>
        <row r="1120">
          <cell r="A1120" t="str">
            <v>RAB0000000282093</v>
          </cell>
        </row>
        <row r="1121">
          <cell r="A1121" t="str">
            <v>RAB0000000281904</v>
          </cell>
        </row>
        <row r="1122">
          <cell r="A1122" t="str">
            <v>RAB0000000281831</v>
          </cell>
        </row>
        <row r="1123">
          <cell r="A1123" t="str">
            <v>RAB0000000281646</v>
          </cell>
        </row>
        <row r="1124">
          <cell r="A1124" t="str">
            <v>RAB0000000281662</v>
          </cell>
        </row>
        <row r="1125">
          <cell r="A1125" t="str">
            <v>RAB0000000281692</v>
          </cell>
        </row>
        <row r="1126">
          <cell r="A1126" t="str">
            <v>RAB0000000281534</v>
          </cell>
        </row>
        <row r="1127">
          <cell r="A1127" t="str">
            <v>RAB0000000281503</v>
          </cell>
        </row>
        <row r="1128">
          <cell r="A1128" t="str">
            <v>RAB0000000281173</v>
          </cell>
        </row>
        <row r="1129">
          <cell r="A1129" t="str">
            <v>RAB0000000274684</v>
          </cell>
        </row>
        <row r="1130">
          <cell r="A1130" t="str">
            <v>RAB0000000282772</v>
          </cell>
        </row>
        <row r="1131">
          <cell r="A1131" t="str">
            <v>RAB0000000282771</v>
          </cell>
        </row>
        <row r="1132">
          <cell r="A1132" t="str">
            <v>RAB0000000282773</v>
          </cell>
        </row>
        <row r="1134">
          <cell r="A1134" t="str">
            <v>RAB0000000282764</v>
          </cell>
        </row>
        <row r="1137">
          <cell r="A1137" t="str">
            <v>RAB0000000282993</v>
          </cell>
        </row>
        <row r="1138">
          <cell r="A1138" t="str">
            <v>RAB0000000282828</v>
          </cell>
        </row>
        <row r="1139">
          <cell r="A1139" t="str">
            <v>RAB0000000282999</v>
          </cell>
        </row>
        <row r="1140">
          <cell r="A1140" t="str">
            <v>RAB0000000283000</v>
          </cell>
        </row>
        <row r="1141">
          <cell r="A1141" t="str">
            <v>RAB0000000282995</v>
          </cell>
        </row>
        <row r="1142">
          <cell r="A1142" t="str">
            <v>RAB0000000282998</v>
          </cell>
        </row>
        <row r="1143">
          <cell r="A1143" t="str">
            <v>RAB0000000282994</v>
          </cell>
        </row>
        <row r="1144">
          <cell r="A1144" t="str">
            <v>RAB0000000283003</v>
          </cell>
        </row>
        <row r="1145">
          <cell r="A1145" t="str">
            <v>RAB0000000282997</v>
          </cell>
        </row>
        <row r="1146">
          <cell r="A1146" t="str">
            <v>RAB0000000283026</v>
          </cell>
        </row>
        <row r="1147">
          <cell r="A1147" t="str">
            <v>RAB0000000283029</v>
          </cell>
        </row>
        <row r="1148">
          <cell r="A1148" t="str">
            <v>RAB0000000282686</v>
          </cell>
        </row>
        <row r="1149">
          <cell r="A1149" t="str">
            <v>RAB0000000282308</v>
          </cell>
        </row>
        <row r="1150">
          <cell r="A1150" t="str">
            <v>De là à là</v>
          </cell>
        </row>
        <row r="1151">
          <cell r="A1151" t="str">
            <v>RAB0000000282455</v>
          </cell>
        </row>
        <row r="1152">
          <cell r="A1152" t="str">
            <v>RAB0000000282381</v>
          </cell>
        </row>
        <row r="1153">
          <cell r="A1153" t="str">
            <v>RAB0000000282429</v>
          </cell>
        </row>
        <row r="1154">
          <cell r="A1154" t="str">
            <v>De là à là</v>
          </cell>
        </row>
        <row r="1155">
          <cell r="A1155" t="str">
            <v>RAB0000000281898</v>
          </cell>
        </row>
        <row r="1156">
          <cell r="A1156" t="str">
            <v>RAB0000000282031</v>
          </cell>
        </row>
        <row r="1157">
          <cell r="A1157" t="str">
            <v>De là à là</v>
          </cell>
        </row>
        <row r="1158">
          <cell r="A1158" t="str">
            <v>RAB0000000281878</v>
          </cell>
        </row>
        <row r="1159">
          <cell r="A1159" t="str">
            <v>RAB0000000281962</v>
          </cell>
        </row>
        <row r="1160">
          <cell r="A1160" t="str">
            <v>RAB0000000282002</v>
          </cell>
        </row>
        <row r="1161">
          <cell r="A1161" t="str">
            <v>RAB0000000282106</v>
          </cell>
        </row>
        <row r="1162">
          <cell r="A1162" t="str">
            <v>RAB0000000282110</v>
          </cell>
        </row>
        <row r="1163">
          <cell r="A1163" t="str">
            <v>RAB0000000282140</v>
          </cell>
        </row>
        <row r="1164">
          <cell r="A1164" t="str">
            <v>RAB0000000282154</v>
          </cell>
        </row>
        <row r="1165">
          <cell r="A1165" t="str">
            <v>RAB0000000282205</v>
          </cell>
        </row>
        <row r="1166">
          <cell r="A1166" t="str">
            <v>RAB0000000282249</v>
          </cell>
        </row>
        <row r="1167">
          <cell r="A1167" t="str">
            <v>RAB0000000281964</v>
          </cell>
        </row>
        <row r="1168">
          <cell r="A1168" t="str">
            <v>RAB0000000281600</v>
          </cell>
        </row>
        <row r="1169">
          <cell r="A1169" t="str">
            <v>RAB0000000278932</v>
          </cell>
        </row>
        <row r="1170">
          <cell r="A1170" t="str">
            <v>RAB0000000282810</v>
          </cell>
        </row>
        <row r="1171">
          <cell r="A1171" t="str">
            <v>RAB0000000282888</v>
          </cell>
        </row>
        <row r="1172">
          <cell r="A1172" t="str">
            <v>RAB0000000283034</v>
          </cell>
        </row>
        <row r="1173">
          <cell r="A1173" t="str">
            <v>RAB0000000282676</v>
          </cell>
        </row>
        <row r="1174">
          <cell r="A1174" t="str">
            <v>RAB0000000282681</v>
          </cell>
        </row>
        <row r="1175">
          <cell r="A1175" t="str">
            <v>RAB0000000282342</v>
          </cell>
        </row>
        <row r="1176">
          <cell r="A1176" t="str">
            <v>RAB0000000282264</v>
          </cell>
        </row>
        <row r="1177">
          <cell r="A1177" t="str">
            <v>RAB0000000282317</v>
          </cell>
        </row>
        <row r="1178">
          <cell r="A1178" t="str">
            <v>RAB0000000282367</v>
          </cell>
        </row>
        <row r="1179">
          <cell r="A1179" t="str">
            <v>RAB0000000282425</v>
          </cell>
        </row>
        <row r="1180">
          <cell r="A1180" t="str">
            <v>RAB0000000282350</v>
          </cell>
        </row>
        <row r="1181">
          <cell r="A1181" t="str">
            <v>RAB0000000282227</v>
          </cell>
        </row>
        <row r="1182">
          <cell r="A1182" t="str">
            <v>RAB0000000281859</v>
          </cell>
        </row>
        <row r="1183">
          <cell r="A1183" t="str">
            <v>RAB0000000281936</v>
          </cell>
        </row>
        <row r="1184">
          <cell r="A1184" t="str">
            <v>RAB0000000282241</v>
          </cell>
        </row>
        <row r="1185">
          <cell r="A1185" t="str">
            <v>RAB0000000281538</v>
          </cell>
        </row>
        <row r="1186">
          <cell r="A1186" t="str">
            <v>RAB0000000281477</v>
          </cell>
        </row>
        <row r="1187">
          <cell r="A1187" t="str">
            <v>RAB0000000281244</v>
          </cell>
        </row>
        <row r="1188">
          <cell r="A1188" t="str">
            <v>RAB0000000281209</v>
          </cell>
        </row>
        <row r="1189">
          <cell r="A1189" t="str">
            <v>RAB0000000280842</v>
          </cell>
        </row>
        <row r="1190">
          <cell r="A1190" t="str">
            <v>RAB0000000280661</v>
          </cell>
        </row>
        <row r="1191">
          <cell r="A1191" t="str">
            <v>RAB0000000279924</v>
          </cell>
        </row>
        <row r="1192">
          <cell r="A1192" t="str">
            <v>RAB0000000275452</v>
          </cell>
        </row>
        <row r="1193">
          <cell r="A1193" t="str">
            <v>RAB0000000274099</v>
          </cell>
        </row>
        <row r="1194">
          <cell r="A1194" t="str">
            <v>RAB0000000283147</v>
          </cell>
        </row>
        <row r="1195">
          <cell r="A1195" t="str">
            <v>RAB0000000283145</v>
          </cell>
        </row>
        <row r="1196">
          <cell r="A1196" t="str">
            <v>RAB0000000283084</v>
          </cell>
        </row>
        <row r="1197">
          <cell r="A1197" t="str">
            <v>RAB0000000283148</v>
          </cell>
        </row>
        <row r="1198">
          <cell r="A1198" t="str">
            <v>RAB0000000283082</v>
          </cell>
        </row>
        <row r="1199">
          <cell r="A1199" t="str">
            <v>RAB0000000283083</v>
          </cell>
        </row>
        <row r="1200">
          <cell r="A1200" t="str">
            <v>RAB0000000283146</v>
          </cell>
        </row>
        <row r="1201">
          <cell r="A1201" t="str">
            <v>RAB0000000283144</v>
          </cell>
        </row>
        <row r="1202">
          <cell r="A1202" t="str">
            <v>RAB0000000282694</v>
          </cell>
        </row>
        <row r="1203">
          <cell r="A1203" t="str">
            <v>RAB0000000282444</v>
          </cell>
        </row>
        <row r="1204">
          <cell r="A1204" t="str">
            <v>RAB0000000282503</v>
          </cell>
        </row>
        <row r="1205">
          <cell r="A1205" t="str">
            <v>RAB0000000282091</v>
          </cell>
        </row>
        <row r="1206">
          <cell r="A1206" t="str">
            <v>RAB0000000281999</v>
          </cell>
        </row>
        <row r="1207">
          <cell r="A1207" t="str">
            <v>RAB0000000282139</v>
          </cell>
        </row>
        <row r="1208">
          <cell r="A1208" t="str">
            <v>RAB0000000283325</v>
          </cell>
        </row>
        <row r="1214">
          <cell r="A1214" t="str">
            <v>RAB0000000284919</v>
          </cell>
        </row>
        <row r="1215">
          <cell r="A1215" t="str">
            <v>RAB0000000283057</v>
          </cell>
        </row>
        <row r="1216">
          <cell r="A1216" t="str">
            <v>RAB0000000282937</v>
          </cell>
        </row>
        <row r="1217">
          <cell r="A1217" t="str">
            <v>RAB0000000282960</v>
          </cell>
        </row>
        <row r="1218">
          <cell r="A1218" t="str">
            <v>RAB0000000282934</v>
          </cell>
        </row>
        <row r="1219">
          <cell r="A1219" t="str">
            <v>RAB0000000283141</v>
          </cell>
        </row>
        <row r="1220">
          <cell r="A1220" t="str">
            <v>RAB0000000282817</v>
          </cell>
        </row>
        <row r="1221">
          <cell r="A1221" t="str">
            <v>RAB0000000282530</v>
          </cell>
        </row>
        <row r="1222">
          <cell r="A1222" t="str">
            <v>RAB0000000282544</v>
          </cell>
        </row>
        <row r="1223">
          <cell r="A1223" t="str">
            <v>RAB0000000282582</v>
          </cell>
        </row>
        <row r="1224">
          <cell r="A1224" t="str">
            <v>RAB0000000282717</v>
          </cell>
        </row>
        <row r="1225">
          <cell r="A1225" t="str">
            <v>RAB0000000282679</v>
          </cell>
        </row>
        <row r="1226">
          <cell r="A1226" t="str">
            <v>RAB0000000282770</v>
          </cell>
        </row>
        <row r="1227">
          <cell r="A1227" t="str">
            <v>RAB0000000282446</v>
          </cell>
        </row>
        <row r="1228">
          <cell r="A1228" t="str">
            <v>RAB0000000282477</v>
          </cell>
        </row>
        <row r="1229">
          <cell r="A1229" t="str">
            <v>RAB0000000281833</v>
          </cell>
        </row>
        <row r="1230">
          <cell r="A1230" t="str">
            <v>RAB0000000282242</v>
          </cell>
        </row>
        <row r="1231">
          <cell r="A1231" t="str">
            <v>RAB0000000281838</v>
          </cell>
        </row>
        <row r="1232">
          <cell r="A1232" t="str">
            <v>RAB0000000282151</v>
          </cell>
        </row>
        <row r="1233">
          <cell r="A1233" t="str">
            <v>RAB0000000282248</v>
          </cell>
        </row>
        <row r="1234">
          <cell r="A1234" t="str">
            <v>RAB0000000281965</v>
          </cell>
        </row>
        <row r="1235">
          <cell r="A1235" t="str">
            <v>RAB0000000281968</v>
          </cell>
        </row>
        <row r="1236">
          <cell r="A1236" t="str">
            <v>RAB0000000282146</v>
          </cell>
        </row>
        <row r="1237">
          <cell r="A1237" t="str">
            <v>RAB0000000282003</v>
          </cell>
        </row>
        <row r="1238">
          <cell r="A1238" t="str">
            <v>RAB0000000278952</v>
          </cell>
        </row>
        <row r="1242">
          <cell r="A1242" t="str">
            <v>RAB0000000284042</v>
          </cell>
        </row>
        <row r="1243">
          <cell r="A1243" t="str">
            <v>RAB0000000284036</v>
          </cell>
        </row>
        <row r="1244">
          <cell r="A1244" t="str">
            <v>RAB0000000283412</v>
          </cell>
        </row>
        <row r="1245">
          <cell r="A1245" t="str">
            <v>RAB0000000284008</v>
          </cell>
        </row>
        <row r="1247">
          <cell r="A1247" t="str">
            <v>RAB0000000283327</v>
          </cell>
        </row>
        <row r="1248">
          <cell r="A1248" t="str">
            <v>RAB0000000283263</v>
          </cell>
        </row>
        <row r="1249">
          <cell r="A1249" t="str">
            <v>RAB0000000283080</v>
          </cell>
        </row>
        <row r="1250">
          <cell r="A1250" t="str">
            <v>RAB0000000282887</v>
          </cell>
        </row>
        <row r="1251">
          <cell r="A1251" t="str">
            <v>RAB0000000283063</v>
          </cell>
        </row>
        <row r="1252">
          <cell r="A1252" t="str">
            <v>RAB0000000282933</v>
          </cell>
        </row>
        <row r="1253">
          <cell r="A1253" t="str">
            <v>RAB0000000282882</v>
          </cell>
        </row>
        <row r="1254">
          <cell r="A1254" t="str">
            <v>RAB0000000283006</v>
          </cell>
        </row>
        <row r="1255">
          <cell r="A1255" t="str">
            <v>RAB0000000283020</v>
          </cell>
        </row>
        <row r="1256">
          <cell r="A1256" t="str">
            <v>RAB0000000283071</v>
          </cell>
        </row>
        <row r="1257">
          <cell r="A1257" t="str">
            <v>RAB0000000282814</v>
          </cell>
        </row>
        <row r="1258">
          <cell r="A1258" t="str">
            <v>RAB0000000282849</v>
          </cell>
        </row>
        <row r="1259">
          <cell r="A1259" t="str">
            <v>RAB0000000282520</v>
          </cell>
        </row>
        <row r="1260">
          <cell r="A1260" t="str">
            <v>RAB0000000282396</v>
          </cell>
        </row>
        <row r="1261">
          <cell r="A1261" t="str">
            <v>RAB0000000282419</v>
          </cell>
        </row>
        <row r="1262">
          <cell r="A1262" t="str">
            <v>RAB0000000282343</v>
          </cell>
        </row>
        <row r="1263">
          <cell r="A1263" t="str">
            <v>RAB0000000282250</v>
          </cell>
        </row>
        <row r="1264">
          <cell r="A1264" t="str">
            <v>RAB0000000282252</v>
          </cell>
        </row>
        <row r="1265">
          <cell r="A1265" t="str">
            <v>RAB0000000281848</v>
          </cell>
        </row>
        <row r="1266">
          <cell r="A1266" t="str">
            <v>RAB0000000280848</v>
          </cell>
        </row>
        <row r="1267">
          <cell r="A1267" t="str">
            <v>RAB0000000279609</v>
          </cell>
        </row>
        <row r="1268">
          <cell r="A1268" t="str">
            <v>RAB0000000278196</v>
          </cell>
        </row>
        <row r="1269">
          <cell r="A1269" t="str">
            <v>RAB0000000278182</v>
          </cell>
        </row>
        <row r="1270">
          <cell r="A1270" t="str">
            <v>RAB0000000275858</v>
          </cell>
        </row>
        <row r="1271">
          <cell r="A1271" t="str">
            <v>RAB0000000214253</v>
          </cell>
        </row>
        <row r="1272">
          <cell r="A1272" t="str">
            <v>RAB0000000210906</v>
          </cell>
        </row>
        <row r="1273">
          <cell r="A1273" t="str">
            <v>RAB0000000207893</v>
          </cell>
        </row>
        <row r="1274">
          <cell r="A1274" t="str">
            <v>RAB0000000204431</v>
          </cell>
        </row>
        <row r="1276">
          <cell r="A1276" t="str">
            <v>De là à là</v>
          </cell>
        </row>
        <row r="1277">
          <cell r="A1277" t="str">
            <v>RAB0000000284052</v>
          </cell>
        </row>
        <row r="1278">
          <cell r="A1278" t="str">
            <v>RAB0000000284051</v>
          </cell>
        </row>
        <row r="1279">
          <cell r="A1279" t="str">
            <v>RAB0000000283633</v>
          </cell>
        </row>
        <row r="1280">
          <cell r="A1280" t="str">
            <v>RAB0000000283669</v>
          </cell>
        </row>
        <row r="1281">
          <cell r="A1281" t="str">
            <v>RAB0000000283629</v>
          </cell>
        </row>
        <row r="1282">
          <cell r="A1282" t="str">
            <v>RAB0000000283659</v>
          </cell>
        </row>
        <row r="1283">
          <cell r="A1283" t="str">
            <v>RAB0000000283449</v>
          </cell>
        </row>
        <row r="1284">
          <cell r="A1284" t="str">
            <v>RAB0000000283494</v>
          </cell>
        </row>
        <row r="1285">
          <cell r="A1285" t="str">
            <v>RAB0000000283572</v>
          </cell>
        </row>
        <row r="1286">
          <cell r="A1286" t="str">
            <v>RAB0000000283577</v>
          </cell>
        </row>
        <row r="1287">
          <cell r="A1287" t="str">
            <v>RAB0000000283303</v>
          </cell>
        </row>
        <row r="1288">
          <cell r="A1288" t="str">
            <v>RAB0000000283340</v>
          </cell>
        </row>
        <row r="1289">
          <cell r="A1289" t="str">
            <v>RAB0000000283370</v>
          </cell>
        </row>
        <row r="1290">
          <cell r="A1290" t="str">
            <v>RAB0000000283345</v>
          </cell>
        </row>
        <row r="1291">
          <cell r="A1291" t="str">
            <v>RAB0000000283238</v>
          </cell>
        </row>
        <row r="1292">
          <cell r="A1292" t="str">
            <v>RAB0000000283211</v>
          </cell>
        </row>
        <row r="1293">
          <cell r="A1293" t="str">
            <v>RAB0000000283261</v>
          </cell>
        </row>
        <row r="1294">
          <cell r="A1294" t="str">
            <v>RAB0000000283100</v>
          </cell>
        </row>
        <row r="1295">
          <cell r="A1295" t="str">
            <v>RAB0000000283039</v>
          </cell>
        </row>
        <row r="1296">
          <cell r="A1296" t="str">
            <v>RAB0000000282920</v>
          </cell>
        </row>
        <row r="1297">
          <cell r="A1297" t="str">
            <v>RAB0000000282966</v>
          </cell>
        </row>
        <row r="1298">
          <cell r="A1298" t="str">
            <v>RAB0000000282728</v>
          </cell>
        </row>
        <row r="1299">
          <cell r="A1299" t="str">
            <v>RAB0000000282720</v>
          </cell>
        </row>
        <row r="1300">
          <cell r="A1300" t="str">
            <v>RAB0000000282442</v>
          </cell>
        </row>
        <row r="1301">
          <cell r="A1301" t="str">
            <v>RAB0000000282376</v>
          </cell>
        </row>
        <row r="1302">
          <cell r="A1302" t="str">
            <v>RAB0000000281863</v>
          </cell>
        </row>
        <row r="1303">
          <cell r="A1303" t="str">
            <v>RAB0000000281960</v>
          </cell>
        </row>
        <row r="1304">
          <cell r="A1304" t="str">
            <v>RAB0000000280209</v>
          </cell>
        </row>
        <row r="1305">
          <cell r="A1305" t="str">
            <v>RAB0000000279453</v>
          </cell>
        </row>
        <row r="1306">
          <cell r="A1306" t="str">
            <v>RAB0000000275906</v>
          </cell>
        </row>
        <row r="1307">
          <cell r="A1307" t="str">
            <v>RAB0000000216569</v>
          </cell>
        </row>
        <row r="1308">
          <cell r="A1308" t="str">
            <v>RAB0000000213732</v>
          </cell>
        </row>
        <row r="1309">
          <cell r="A1309" t="str">
            <v>RAB0000000283982</v>
          </cell>
        </row>
        <row r="1310">
          <cell r="A1310" t="str">
            <v>RAB0000000283892</v>
          </cell>
        </row>
        <row r="1311">
          <cell r="A1311" t="str">
            <v>RAB0000000223439</v>
          </cell>
        </row>
        <row r="1312">
          <cell r="A1312" t="str">
            <v>RAB0000000284059</v>
          </cell>
        </row>
        <row r="1313">
          <cell r="A1313" t="str">
            <v>RAB0000000283696</v>
          </cell>
        </row>
        <row r="1314">
          <cell r="A1314" t="str">
            <v>RAB0000000283677</v>
          </cell>
        </row>
        <row r="1315">
          <cell r="A1315" t="str">
            <v>RAB0000000283721</v>
          </cell>
        </row>
        <row r="1316">
          <cell r="A1316" t="str">
            <v>RAB0000000283694</v>
          </cell>
        </row>
        <row r="1317">
          <cell r="A1317" t="str">
            <v>RAB0000000283568</v>
          </cell>
        </row>
        <row r="1318">
          <cell r="A1318" t="str">
            <v>RAB0000000283671</v>
          </cell>
        </row>
        <row r="1319">
          <cell r="A1319" t="str">
            <v>RAB0000000283660</v>
          </cell>
        </row>
        <row r="1320">
          <cell r="A1320" t="str">
            <v>RAB0000000283674</v>
          </cell>
        </row>
        <row r="1321">
          <cell r="A1321" t="str">
            <v>RAB0000000283710</v>
          </cell>
        </row>
        <row r="1322">
          <cell r="A1322" t="str">
            <v>RAB0000000283445</v>
          </cell>
        </row>
        <row r="1323">
          <cell r="A1323" t="str">
            <v>RAB0000000283297</v>
          </cell>
        </row>
        <row r="1324">
          <cell r="A1324" t="str">
            <v>RAB0000000283253</v>
          </cell>
        </row>
        <row r="1325">
          <cell r="A1325" t="str">
            <v>RAB0000000283251</v>
          </cell>
        </row>
        <row r="1326">
          <cell r="A1326" t="str">
            <v>RAB0000000283052</v>
          </cell>
        </row>
        <row r="1327">
          <cell r="A1327" t="str">
            <v>RAB0000000283037</v>
          </cell>
        </row>
        <row r="1328">
          <cell r="A1328" t="str">
            <v>RAB0000000282854</v>
          </cell>
        </row>
        <row r="1329">
          <cell r="A1329" t="str">
            <v>RAB0000000282857</v>
          </cell>
        </row>
        <row r="1330">
          <cell r="A1330" t="str">
            <v>RAB0000000281913</v>
          </cell>
        </row>
        <row r="1331">
          <cell r="A1331" t="str">
            <v>RAB0000000282133</v>
          </cell>
        </row>
        <row r="1332">
          <cell r="A1332" t="str">
            <v>RAB0000000281839</v>
          </cell>
        </row>
        <row r="1333">
          <cell r="A1333" t="str">
            <v>RAB0000000281816</v>
          </cell>
        </row>
        <row r="1334">
          <cell r="A1334" t="str">
            <v>RAB0000000280688</v>
          </cell>
        </row>
        <row r="1335">
          <cell r="A1335" t="str">
            <v>RAB0000000273862</v>
          </cell>
        </row>
        <row r="1336">
          <cell r="A1336" t="str">
            <v>RAB0000000221611</v>
          </cell>
        </row>
        <row r="1337">
          <cell r="A1337" t="str">
            <v>RAB0000000284125</v>
          </cell>
        </row>
        <row r="1338">
          <cell r="A1338" t="str">
            <v>RAB0000000284207</v>
          </cell>
        </row>
        <row r="1339">
          <cell r="A1339" t="str">
            <v>RAB0000000283866</v>
          </cell>
        </row>
        <row r="1340">
          <cell r="A1340" t="str">
            <v>RAB0000000283964</v>
          </cell>
        </row>
        <row r="1341">
          <cell r="A1341" t="str">
            <v>RAB0000000283971</v>
          </cell>
        </row>
        <row r="1342">
          <cell r="A1342" t="str">
            <v>RAB0000000283959</v>
          </cell>
        </row>
        <row r="1343">
          <cell r="A1343" t="str">
            <v>RAB0000000283969</v>
          </cell>
        </row>
        <row r="1344">
          <cell r="A1344" t="str">
            <v>RAB0000000283902</v>
          </cell>
        </row>
        <row r="1345">
          <cell r="A1345" t="str">
            <v>RAB0000000283825</v>
          </cell>
        </row>
        <row r="1346">
          <cell r="A1346" t="str">
            <v>RAB0000000283949</v>
          </cell>
        </row>
        <row r="1347">
          <cell r="A1347" t="str">
            <v>RAB0000000283871</v>
          </cell>
        </row>
        <row r="1350">
          <cell r="A1350" t="str">
            <v>RAB0000000283910</v>
          </cell>
        </row>
        <row r="1351">
          <cell r="A1351" t="str">
            <v>RAB0000000284057</v>
          </cell>
        </row>
        <row r="1352">
          <cell r="A1352" t="str">
            <v>RAB0000000283771</v>
          </cell>
        </row>
        <row r="1353">
          <cell r="A1353" t="str">
            <v>RAB0000000283893</v>
          </cell>
        </row>
        <row r="1354">
          <cell r="A1354" t="str">
            <v>RAB0000000283782</v>
          </cell>
        </row>
        <row r="1355">
          <cell r="A1355" t="str">
            <v>RAB0000000283885</v>
          </cell>
        </row>
        <row r="1356">
          <cell r="A1356" t="str">
            <v>RAB0000000283889</v>
          </cell>
        </row>
        <row r="1357">
          <cell r="A1357" t="str">
            <v>RAB0000000283777</v>
          </cell>
        </row>
        <row r="1358">
          <cell r="A1358" t="str">
            <v>RAB0000000283788</v>
          </cell>
        </row>
        <row r="1359">
          <cell r="A1359" t="str">
            <v>RAB0000000283826</v>
          </cell>
        </row>
        <row r="1360">
          <cell r="A1360" t="str">
            <v>RAB0000000283768</v>
          </cell>
        </row>
        <row r="1361">
          <cell r="A1361" t="str">
            <v>RAB0000000283913</v>
          </cell>
        </row>
        <row r="1362">
          <cell r="A1362" t="str">
            <v>RAB0000000283965</v>
          </cell>
        </row>
        <row r="1363">
          <cell r="A1363" t="str">
            <v>RAB0000000283751</v>
          </cell>
        </row>
        <row r="1364">
          <cell r="A1364" t="str">
            <v>RAB0000000283915</v>
          </cell>
        </row>
        <row r="1365">
          <cell r="A1365" t="str">
            <v>RAB0000000281321</v>
          </cell>
        </row>
        <row r="1367">
          <cell r="A1367" t="str">
            <v>RAB0000000283698</v>
          </cell>
        </row>
        <row r="1368">
          <cell r="A1368" t="str">
            <v>RAB0000000283701</v>
          </cell>
        </row>
        <row r="1369">
          <cell r="A1369" t="str">
            <v>RAB0000000283684</v>
          </cell>
        </row>
        <row r="1370">
          <cell r="A1370" t="str">
            <v>RAB0000000283670</v>
          </cell>
        </row>
        <row r="1371">
          <cell r="A1371" t="str">
            <v>RAB0000000283121</v>
          </cell>
        </row>
        <row r="1372">
          <cell r="A1372" t="str">
            <v>RAB0000000283024</v>
          </cell>
        </row>
        <row r="1373">
          <cell r="A1373" t="str">
            <v>RAB0000000282545</v>
          </cell>
        </row>
        <row r="1374">
          <cell r="A1374" t="str">
            <v>RAB0000000282743</v>
          </cell>
        </row>
        <row r="1375">
          <cell r="A1375" t="str">
            <v>RAB0000000281850</v>
          </cell>
        </row>
        <row r="1376">
          <cell r="A1376" t="str">
            <v>RAB0000000281400</v>
          </cell>
        </row>
        <row r="1377">
          <cell r="A1377" t="str">
            <v>RAB0000000278795</v>
          </cell>
        </row>
        <row r="1378">
          <cell r="A1378" t="str">
            <v>RAB0000000277150</v>
          </cell>
        </row>
        <row r="1379">
          <cell r="A1379" t="str">
            <v>RAB0000000273884</v>
          </cell>
        </row>
        <row r="1380">
          <cell r="A1380" t="str">
            <v>RAB0000000207559</v>
          </cell>
        </row>
        <row r="1381">
          <cell r="A1381" t="str">
            <v>RAB0000000211373</v>
          </cell>
        </row>
        <row r="1382">
          <cell r="A1382" t="str">
            <v>RAB0000000223830</v>
          </cell>
        </row>
        <row r="1383">
          <cell r="A1383" t="str">
            <v>RAB0000000279503</v>
          </cell>
        </row>
        <row r="1384">
          <cell r="A1384" t="str">
            <v>RAB0000000281003</v>
          </cell>
        </row>
        <row r="1385">
          <cell r="A1385" t="str">
            <v>RAB0000000281855</v>
          </cell>
        </row>
        <row r="1386">
          <cell r="A1386" t="str">
            <v>RAB0000000282507</v>
          </cell>
        </row>
        <row r="1387">
          <cell r="A1387" t="str">
            <v>RAB0000000283469</v>
          </cell>
        </row>
        <row r="1388">
          <cell r="A1388" t="str">
            <v>RAB0000000283711</v>
          </cell>
        </row>
        <row r="1389">
          <cell r="A1389" t="str">
            <v>RAB0000000283867</v>
          </cell>
        </row>
        <row r="1390">
          <cell r="A1390" t="str">
            <v>RAB0000000284158</v>
          </cell>
        </row>
        <row r="1396">
          <cell r="A1396" t="str">
            <v>RAB0000000284181</v>
          </cell>
        </row>
        <row r="1397">
          <cell r="A1397" t="str">
            <v>RAB0000000284031</v>
          </cell>
        </row>
        <row r="1398">
          <cell r="A1398" t="str">
            <v>RAB0000000284035</v>
          </cell>
        </row>
        <row r="1399">
          <cell r="A1399" t="str">
            <v>RAB0000000284564</v>
          </cell>
        </row>
        <row r="1400">
          <cell r="A1400" t="str">
            <v>RAB0000000284567</v>
          </cell>
        </row>
        <row r="1401">
          <cell r="A1401" t="str">
            <v>RAB0000000284570</v>
          </cell>
        </row>
        <row r="1402">
          <cell r="A1402" t="str">
            <v>RAB0000000284571</v>
          </cell>
        </row>
        <row r="1403">
          <cell r="A1403" t="str">
            <v>RAB0000000284573</v>
          </cell>
        </row>
        <row r="1404">
          <cell r="A1404" t="str">
            <v>RAB0000000283932</v>
          </cell>
        </row>
        <row r="1405">
          <cell r="A1405" t="str">
            <v>RAB0000000283824</v>
          </cell>
        </row>
        <row r="1406">
          <cell r="A1406" t="str">
            <v>RAB0000000283778</v>
          </cell>
        </row>
        <row r="1407">
          <cell r="A1407" t="str">
            <v>RAB0000000278867</v>
          </cell>
        </row>
        <row r="1408">
          <cell r="A1408" t="str">
            <v>RAB0000000284142</v>
          </cell>
        </row>
        <row r="1409">
          <cell r="A1409" t="str">
            <v>RAB0000000284237</v>
          </cell>
        </row>
        <row r="1410">
          <cell r="A1410" t="str">
            <v>RAB0000000278273</v>
          </cell>
        </row>
        <row r="1411">
          <cell r="A1411" t="str">
            <v>RAB0000000284316</v>
          </cell>
        </row>
        <row r="1412">
          <cell r="A1412" t="str">
            <v>RAB0000000283742</v>
          </cell>
        </row>
        <row r="1413">
          <cell r="A1413" t="str">
            <v>RAB0000000283081</v>
          </cell>
        </row>
        <row r="1414">
          <cell r="A1414" t="str">
            <v>RAB0000000283917</v>
          </cell>
        </row>
        <row r="1415">
          <cell r="A1415" t="str">
            <v>RAB0000000280025</v>
          </cell>
        </row>
        <row r="1416">
          <cell r="A1416" t="str">
            <v>RAB0000000284342</v>
          </cell>
        </row>
        <row r="1417">
          <cell r="A1417" t="str">
            <v>RAB0000000283929</v>
          </cell>
        </row>
        <row r="1418">
          <cell r="A1418" t="str">
            <v>RAB0000000281664</v>
          </cell>
        </row>
        <row r="1419">
          <cell r="A1419" t="str">
            <v>RAB0000000283407</v>
          </cell>
        </row>
        <row r="1420">
          <cell r="A1420" t="str">
            <v>RAB0000000274222</v>
          </cell>
        </row>
        <row r="1421">
          <cell r="A1421" t="str">
            <v>RAB0000000281756</v>
          </cell>
        </row>
        <row r="1422">
          <cell r="A1422" t="str">
            <v>RAB0000000283200</v>
          </cell>
        </row>
        <row r="1423">
          <cell r="A1423" t="str">
            <v>RAB0000000284138</v>
          </cell>
        </row>
        <row r="1424">
          <cell r="A1424" t="str">
            <v>RAB0000000208435</v>
          </cell>
        </row>
        <row r="1425">
          <cell r="A1425" t="str">
            <v>RAB0000000278744</v>
          </cell>
        </row>
        <row r="1426">
          <cell r="A1426" t="str">
            <v>RAB0000000210372</v>
          </cell>
        </row>
        <row r="1427">
          <cell r="A1427" t="str">
            <v>RAB0000000281755</v>
          </cell>
        </row>
        <row r="1428">
          <cell r="A1428" t="str">
            <v>RAB0000000205475</v>
          </cell>
        </row>
        <row r="1429">
          <cell r="A1429" t="str">
            <v>RAB0000000284078</v>
          </cell>
        </row>
        <row r="1430">
          <cell r="A1430" t="str">
            <v>RAB0000000282504</v>
          </cell>
        </row>
        <row r="1431">
          <cell r="A1431" t="str">
            <v>De là à là</v>
          </cell>
        </row>
        <row r="1432">
          <cell r="A1432" t="str">
            <v>De là à là</v>
          </cell>
        </row>
        <row r="1433">
          <cell r="A1433" t="str">
            <v>RAB0000000284888</v>
          </cell>
        </row>
        <row r="1434">
          <cell r="A1434" t="str">
            <v>RAB0000000284608</v>
          </cell>
        </row>
        <row r="1435">
          <cell r="A1435" t="str">
            <v>RAB0000000284588</v>
          </cell>
        </row>
        <row r="1436">
          <cell r="A1436" t="str">
            <v>RAB0000000284431</v>
          </cell>
        </row>
        <row r="1437">
          <cell r="A1437" t="str">
            <v>RAB0000000284469</v>
          </cell>
        </row>
        <row r="1438">
          <cell r="A1438" t="str">
            <v>RAB0000000284467</v>
          </cell>
        </row>
        <row r="1439">
          <cell r="A1439" t="str">
            <v>RAB0000000284515</v>
          </cell>
        </row>
        <row r="1440">
          <cell r="A1440" t="str">
            <v>RAB0000000284232</v>
          </cell>
        </row>
        <row r="1441">
          <cell r="A1441" t="str">
            <v>RAB0000000284086</v>
          </cell>
        </row>
        <row r="1442">
          <cell r="A1442" t="str">
            <v>RAB0000000278055</v>
          </cell>
        </row>
        <row r="1443">
          <cell r="A1443" t="str">
            <v>RAB0000000186817</v>
          </cell>
        </row>
        <row r="1444">
          <cell r="A1444" t="str">
            <v>RAB0000000284475</v>
          </cell>
        </row>
        <row r="1445">
          <cell r="A1445" t="str">
            <v>RAB0000000284496</v>
          </cell>
        </row>
        <row r="1448">
          <cell r="A1448" t="str">
            <v>RAB0000000284326</v>
          </cell>
        </row>
        <row r="1449">
          <cell r="A1449" t="str">
            <v>RAB0000000284888</v>
          </cell>
        </row>
        <row r="1450">
          <cell r="A1450" t="str">
            <v>RAB0000000284614</v>
          </cell>
        </row>
        <row r="1451">
          <cell r="A1451" t="str">
            <v>RAB0000000284658</v>
          </cell>
        </row>
        <row r="1452">
          <cell r="A1452" t="str">
            <v>RAB0000000284663</v>
          </cell>
        </row>
        <row r="1453">
          <cell r="A1453" t="str">
            <v>RAB0000000284499</v>
          </cell>
        </row>
        <row r="1454">
          <cell r="A1454" t="str">
            <v>RAB0000000284503</v>
          </cell>
        </row>
        <row r="1455">
          <cell r="A1455" t="str">
            <v>RAB0000000284443</v>
          </cell>
        </row>
        <row r="1456">
          <cell r="A1456" t="str">
            <v>RAB0000000284472</v>
          </cell>
        </row>
        <row r="1457">
          <cell r="A1457" t="str">
            <v>RAB0000000284369</v>
          </cell>
        </row>
        <row r="1458">
          <cell r="A1458" t="str">
            <v>RAB0000000284370</v>
          </cell>
        </row>
        <row r="1459">
          <cell r="A1459" t="str">
            <v>RAB0000000284340</v>
          </cell>
        </row>
        <row r="1460">
          <cell r="A1460" t="str">
            <v>RAB0000000284436</v>
          </cell>
        </row>
        <row r="1461">
          <cell r="A1461" t="str">
            <v>RAB0000000284471</v>
          </cell>
        </row>
        <row r="1462">
          <cell r="A1462" t="str">
            <v>RAB0000000284403</v>
          </cell>
        </row>
        <row r="1463">
          <cell r="A1463" t="str">
            <v>RAB0000000284355</v>
          </cell>
        </row>
        <row r="1464">
          <cell r="A1464" t="str">
            <v>RAB0000000284396</v>
          </cell>
        </row>
        <row r="1465">
          <cell r="A1465" t="str">
            <v>RAB0000000284077</v>
          </cell>
        </row>
        <row r="1466">
          <cell r="A1466" t="str">
            <v>RAB0000000284072</v>
          </cell>
        </row>
        <row r="1467">
          <cell r="A1467" t="str">
            <v>RAB0000000283936</v>
          </cell>
        </row>
        <row r="1468">
          <cell r="A1468" t="str">
            <v>RAB0000000283714</v>
          </cell>
        </row>
        <row r="1469">
          <cell r="A1469" t="str">
            <v>RAB0000000283647</v>
          </cell>
        </row>
        <row r="1470">
          <cell r="A1470" t="str">
            <v>RAB0000000283350</v>
          </cell>
        </row>
        <row r="1471">
          <cell r="A1471" t="str">
            <v>RAB0000000283301</v>
          </cell>
        </row>
        <row r="1472">
          <cell r="A1472" t="str">
            <v>RAB0000000283154</v>
          </cell>
        </row>
        <row r="1473">
          <cell r="A1473" t="str">
            <v>RAB0000000281746</v>
          </cell>
        </row>
        <row r="1474">
          <cell r="A1474" t="str">
            <v>RAB0000000281659</v>
          </cell>
        </row>
        <row r="1475">
          <cell r="A1475" t="str">
            <v>RAB0000000280995</v>
          </cell>
        </row>
        <row r="1476">
          <cell r="A1476" t="str">
            <v>RAB0000000284179</v>
          </cell>
        </row>
        <row r="1477">
          <cell r="A1477" t="str">
            <v>RAB0000000284582</v>
          </cell>
        </row>
        <row r="1478">
          <cell r="A1478" t="str">
            <v>RAB0000000284958</v>
          </cell>
        </row>
        <row r="1479">
          <cell r="A1479" t="str">
            <v>RAB0000000284820</v>
          </cell>
        </row>
        <row r="1480">
          <cell r="A1480" t="str">
            <v>RAB0000000284766</v>
          </cell>
        </row>
        <row r="1481">
          <cell r="A1481" t="str">
            <v>RAB0000000284730</v>
          </cell>
        </row>
        <row r="1482">
          <cell r="A1482" t="str">
            <v>RAB0000000284775</v>
          </cell>
        </row>
        <row r="1483">
          <cell r="A1483" t="str">
            <v>RAB0000000284735</v>
          </cell>
        </row>
        <row r="1484">
          <cell r="A1484" t="str">
            <v>RAB0000000284734</v>
          </cell>
        </row>
        <row r="1485">
          <cell r="A1485" t="str">
            <v>RAB0000000284761</v>
          </cell>
        </row>
        <row r="1486">
          <cell r="A1486" t="str">
            <v>RAB0000000284699</v>
          </cell>
        </row>
        <row r="1487">
          <cell r="A1487" t="str">
            <v>RAB0000000284651</v>
          </cell>
        </row>
        <row r="1488">
          <cell r="A1488" t="str">
            <v>RAB0000000284644</v>
          </cell>
        </row>
        <row r="1489">
          <cell r="A1489" t="str">
            <v>RAB0000000284655</v>
          </cell>
        </row>
        <row r="1490">
          <cell r="A1490" t="str">
            <v>RAB0000000284489</v>
          </cell>
        </row>
        <row r="1491">
          <cell r="A1491" t="str">
            <v>RAB0000000284333</v>
          </cell>
        </row>
        <row r="1492">
          <cell r="A1492" t="str">
            <v>RAB0000000284384</v>
          </cell>
        </row>
        <row r="1493">
          <cell r="A1493" t="str">
            <v>RAB0000000284386</v>
          </cell>
        </row>
        <row r="1494">
          <cell r="A1494" t="str">
            <v>RAB0000000284352</v>
          </cell>
        </row>
        <row r="1495">
          <cell r="A1495" t="str">
            <v>RAB0000000278501</v>
          </cell>
        </row>
        <row r="1496">
          <cell r="A1496" t="str">
            <v>RAB0000000284068</v>
          </cell>
        </row>
        <row r="1497">
          <cell r="A1497" t="str">
            <v>RAB0000000283394</v>
          </cell>
        </row>
        <row r="1498">
          <cell r="A1498" t="str">
            <v>RAB0000000283330</v>
          </cell>
        </row>
        <row r="1499">
          <cell r="A1499" t="str">
            <v>RAB0000000282567</v>
          </cell>
        </row>
        <row r="1500">
          <cell r="A1500" t="str">
            <v>RAB0000000282247</v>
          </cell>
        </row>
        <row r="1501">
          <cell r="A1501" t="str">
            <v>RAB0000000281717</v>
          </cell>
        </row>
        <row r="1502">
          <cell r="A1502" t="str">
            <v>RAB0000000280601</v>
          </cell>
        </row>
        <row r="1503">
          <cell r="A1503" t="str">
            <v>RAB0000000278840</v>
          </cell>
        </row>
        <row r="1504">
          <cell r="A1504" t="str">
            <v>RAB0000000278053</v>
          </cell>
        </row>
        <row r="1505">
          <cell r="A1505" t="str">
            <v>RAB0000000276665</v>
          </cell>
        </row>
        <row r="1506">
          <cell r="A1506" t="str">
            <v>RAB0000000219250</v>
          </cell>
        </row>
        <row r="1507">
          <cell r="A1507" t="str">
            <v>RAB0000000216424</v>
          </cell>
        </row>
        <row r="1508">
          <cell r="A1508" t="str">
            <v>RAB0000000283658</v>
          </cell>
        </row>
        <row r="1509">
          <cell r="A1509" t="str">
            <v>RAB0000000284882</v>
          </cell>
        </row>
        <row r="1510">
          <cell r="A1510" t="str">
            <v>RAB0000000284770</v>
          </cell>
        </row>
        <row r="1511">
          <cell r="A1511" t="str">
            <v>RAB0000000284843</v>
          </cell>
        </row>
        <row r="1512">
          <cell r="A1512" t="str">
            <v>RAB0000000284606</v>
          </cell>
        </row>
        <row r="1513">
          <cell r="A1513" t="str">
            <v>RAB0000000284692</v>
          </cell>
        </row>
        <row r="1514">
          <cell r="A1514" t="str">
            <v>RAB0000000284830</v>
          </cell>
        </row>
        <row r="1515">
          <cell r="A1515" t="str">
            <v>RAB0000000284488</v>
          </cell>
        </row>
        <row r="1516">
          <cell r="A1516" t="str">
            <v>RAB0000000284846</v>
          </cell>
        </row>
        <row r="1517">
          <cell r="A1517" t="str">
            <v>RAB0000000284924</v>
          </cell>
        </row>
        <row r="1518">
          <cell r="A1518" t="str">
            <v>RAB0000000284754</v>
          </cell>
        </row>
        <row r="1519">
          <cell r="A1519" t="str">
            <v>RAB0000000284916</v>
          </cell>
        </row>
        <row r="1520">
          <cell r="A1520" t="str">
            <v>RAB0000000284665</v>
          </cell>
        </row>
        <row r="1521">
          <cell r="A1521" t="str">
            <v>RAB0000000284590</v>
          </cell>
        </row>
        <row r="1522">
          <cell r="A1522" t="str">
            <v>RAB0000000284184</v>
          </cell>
        </row>
        <row r="1523">
          <cell r="A1523" t="str">
            <v>RAB0000000284420</v>
          </cell>
        </row>
        <row r="1524">
          <cell r="A1524" t="str">
            <v>RAB0000000284524</v>
          </cell>
        </row>
        <row r="1525">
          <cell r="A1525" t="str">
            <v>RAB0000000284479</v>
          </cell>
        </row>
        <row r="1526">
          <cell r="A1526" t="str">
            <v>RAB0000000284509</v>
          </cell>
        </row>
        <row r="1527">
          <cell r="A1527" t="str">
            <v>RAB0000000284235</v>
          </cell>
        </row>
        <row r="1528">
          <cell r="A1528" t="str">
            <v>RAB0000000284214</v>
          </cell>
        </row>
        <row r="1529">
          <cell r="A1529" t="str">
            <v>RAB0000000284123</v>
          </cell>
        </row>
        <row r="1530">
          <cell r="A1530" t="str">
            <v>RAB0000000284157</v>
          </cell>
        </row>
        <row r="1531">
          <cell r="A1531" t="str">
            <v>RAB0000000283779</v>
          </cell>
        </row>
        <row r="1532">
          <cell r="A1532" t="str">
            <v>RAB0000000284043</v>
          </cell>
        </row>
        <row r="1533">
          <cell r="A1533" t="str">
            <v>RAB0000000283909</v>
          </cell>
        </row>
        <row r="1534">
          <cell r="A1534" t="str">
            <v>RAB0000000284020</v>
          </cell>
        </row>
        <row r="1535">
          <cell r="A1535" t="str">
            <v>RAB0000000283896</v>
          </cell>
        </row>
        <row r="1536">
          <cell r="A1536" t="str">
            <v>RAB0000000283968</v>
          </cell>
        </row>
        <row r="1537">
          <cell r="A1537" t="str">
            <v>RAB0000000283422</v>
          </cell>
        </row>
        <row r="1538">
          <cell r="A1538" t="str">
            <v>RAB0000000282370</v>
          </cell>
        </row>
        <row r="1539">
          <cell r="A1539" t="str">
            <v>RAB0000000281013</v>
          </cell>
        </row>
        <row r="1540">
          <cell r="A1540" t="str">
            <v>RAB0000000278911</v>
          </cell>
        </row>
        <row r="1541">
          <cell r="A1541" t="str">
            <v>RAB0000000270835</v>
          </cell>
        </row>
        <row r="1542">
          <cell r="A1542" t="str">
            <v>RAB0000000222101</v>
          </cell>
        </row>
        <row r="1543">
          <cell r="A1543" t="str">
            <v>RAB0000000203855</v>
          </cell>
        </row>
        <row r="1544">
          <cell r="A1544" t="str">
            <v>RAB0000000285428</v>
          </cell>
        </row>
        <row r="1545">
          <cell r="A1545" t="str">
            <v>RAB0000000285287</v>
          </cell>
        </row>
        <row r="1546">
          <cell r="A1546" t="str">
            <v>RAB0000000285470</v>
          </cell>
        </row>
        <row r="1547">
          <cell r="A1547" t="str">
            <v>RAB0000000285146</v>
          </cell>
        </row>
        <row r="1548">
          <cell r="A1548" t="str">
            <v>RAB0000000285468</v>
          </cell>
        </row>
        <row r="1549">
          <cell r="A1549" t="str">
            <v>RAB0000000285154</v>
          </cell>
        </row>
        <row r="1550">
          <cell r="A1550" t="str">
            <v>RAB0000000285119</v>
          </cell>
        </row>
        <row r="1551">
          <cell r="A1551" t="str">
            <v>RAB0000000285103</v>
          </cell>
        </row>
        <row r="1552">
          <cell r="A1552" t="str">
            <v>RAB0000000285173</v>
          </cell>
        </row>
        <row r="1553">
          <cell r="A1553" t="str">
            <v>RAB0000000285100</v>
          </cell>
        </row>
        <row r="1554">
          <cell r="A1554" t="str">
            <v>RAB0000000285045</v>
          </cell>
        </row>
        <row r="1555">
          <cell r="A1555" t="str">
            <v>RAB0000000284989</v>
          </cell>
        </row>
        <row r="1556">
          <cell r="A1556" t="str">
            <v>RAB0000000285061</v>
          </cell>
        </row>
        <row r="1557">
          <cell r="A1557" t="str">
            <v>RAB0000000285076</v>
          </cell>
        </row>
        <row r="1558">
          <cell r="A1558" t="str">
            <v>RAB0000000284988</v>
          </cell>
        </row>
        <row r="1559">
          <cell r="A1559" t="str">
            <v>RAB0000000285090</v>
          </cell>
        </row>
        <row r="1560">
          <cell r="A1560" t="str">
            <v>RAB0000000285467</v>
          </cell>
        </row>
        <row r="1561">
          <cell r="A1561" t="str">
            <v>RAB0000000284816</v>
          </cell>
        </row>
        <row r="1562">
          <cell r="A1562" t="str">
            <v>RAB0000000284701</v>
          </cell>
        </row>
        <row r="1563">
          <cell r="A1563" t="str">
            <v>RAB0000000284778</v>
          </cell>
        </row>
        <row r="1564">
          <cell r="A1564" t="str">
            <v>RAB0000000284682</v>
          </cell>
        </row>
        <row r="1565">
          <cell r="A1565" t="str">
            <v>RAB0000000284861</v>
          </cell>
        </row>
        <row r="1566">
          <cell r="A1566" t="str">
            <v>RAB0000000284661</v>
          </cell>
        </row>
        <row r="1567">
          <cell r="A1567" t="str">
            <v>RAB0000000284584</v>
          </cell>
        </row>
        <row r="1568">
          <cell r="A1568" t="str">
            <v>RAB0000000284650</v>
          </cell>
        </row>
        <row r="1569">
          <cell r="A1569" t="str">
            <v>RAB0000000284637</v>
          </cell>
        </row>
        <row r="1570">
          <cell r="A1570" t="str">
            <v>RAB0000000285253</v>
          </cell>
        </row>
        <row r="1571">
          <cell r="A1571" t="str">
            <v>RAB0000000285254</v>
          </cell>
        </row>
        <row r="1572">
          <cell r="A1572" t="str">
            <v>RAB0000000284487</v>
          </cell>
        </row>
        <row r="1573">
          <cell r="A1573" t="str">
            <v>RAB0000000284450</v>
          </cell>
        </row>
        <row r="1574">
          <cell r="A1574" t="str">
            <v>RAB0000000284234</v>
          </cell>
        </row>
        <row r="1575">
          <cell r="A1575" t="str">
            <v>RAB0000000284288</v>
          </cell>
        </row>
        <row r="1576">
          <cell r="A1576" t="str">
            <v>RAB0000000283447</v>
          </cell>
        </row>
        <row r="1577">
          <cell r="A1577" t="str">
            <v>RAB0000000282653</v>
          </cell>
        </row>
        <row r="1578">
          <cell r="A1578" t="str">
            <v>RAB0000000279996</v>
          </cell>
        </row>
        <row r="1579">
          <cell r="A1579" t="str">
            <v>RAB0000000219063</v>
          </cell>
        </row>
        <row r="1580">
          <cell r="A1580" t="str">
            <v>RAB0000000219101</v>
          </cell>
        </row>
        <row r="1581">
          <cell r="A1581" t="str">
            <v>RAB0000000201162</v>
          </cell>
        </row>
        <row r="1582">
          <cell r="A1582" t="str">
            <v>RAB0000000285631</v>
          </cell>
        </row>
        <row r="1583">
          <cell r="A1583" t="str">
            <v>RAB0000000285214</v>
          </cell>
        </row>
        <row r="1584">
          <cell r="A1584" t="str">
            <v>RAB0000000285335</v>
          </cell>
        </row>
        <row r="1585">
          <cell r="A1585" t="str">
            <v>RAB0000000285342</v>
          </cell>
        </row>
        <row r="1586">
          <cell r="A1586" t="str">
            <v>RAB0000000285410</v>
          </cell>
        </row>
        <row r="1587">
          <cell r="A1587" t="str">
            <v>RAB0000000285401</v>
          </cell>
        </row>
        <row r="1588">
          <cell r="A1588" t="str">
            <v>RAB0000000285213</v>
          </cell>
        </row>
        <row r="1589">
          <cell r="A1589" t="str">
            <v>RAB0000000285337</v>
          </cell>
        </row>
        <row r="1590">
          <cell r="A1590" t="str">
            <v>RAB0000000285271</v>
          </cell>
        </row>
        <row r="1591">
          <cell r="A1591" t="str">
            <v>RAB0000000285193</v>
          </cell>
        </row>
        <row r="1592">
          <cell r="A1592" t="str">
            <v>RAB0000000285196</v>
          </cell>
        </row>
        <row r="1593">
          <cell r="A1593" t="str">
            <v>RAB0000000285199</v>
          </cell>
        </row>
        <row r="1594">
          <cell r="A1594" t="str">
            <v>RAB0000000285441</v>
          </cell>
        </row>
        <row r="1595">
          <cell r="A1595" t="str">
            <v>RAB0000000285144</v>
          </cell>
        </row>
        <row r="1596">
          <cell r="A1596" t="str">
            <v>RAB0000000285688</v>
          </cell>
        </row>
        <row r="1597">
          <cell r="A1597" t="str">
            <v>RAB0000000285144</v>
          </cell>
        </row>
        <row r="1598">
          <cell r="A1598" t="str">
            <v>RAB0000000285157</v>
          </cell>
        </row>
        <row r="1599">
          <cell r="A1599" t="str">
            <v>RAB0000000285166</v>
          </cell>
        </row>
        <row r="1600">
          <cell r="A1600" t="str">
            <v>RAB0000000285147</v>
          </cell>
        </row>
        <row r="1601">
          <cell r="A1601" t="str">
            <v>RAB0000000285063</v>
          </cell>
        </row>
        <row r="1602">
          <cell r="A1602" t="str">
            <v>RAB0000000285684</v>
          </cell>
        </row>
        <row r="1603">
          <cell r="A1603" t="str">
            <v>RAB0000000284686</v>
          </cell>
        </row>
        <row r="1604">
          <cell r="A1604" t="str">
            <v>RAB0000000284792</v>
          </cell>
        </row>
        <row r="1605">
          <cell r="A1605" t="str">
            <v>RAB0000000284780</v>
          </cell>
        </row>
        <row r="1606">
          <cell r="A1606" t="str">
            <v>RAB0000000284667</v>
          </cell>
        </row>
        <row r="1607">
          <cell r="A1607" t="str">
            <v>RAB0000000284277</v>
          </cell>
        </row>
        <row r="1608">
          <cell r="A1608" t="str">
            <v>RAB0000000284561</v>
          </cell>
        </row>
        <row r="1609">
          <cell r="A1609" t="str">
            <v>RAB0000000284062</v>
          </cell>
        </row>
        <row r="1610">
          <cell r="A1610" t="str">
            <v>RAB0000000283943</v>
          </cell>
        </row>
        <row r="1611">
          <cell r="A1611" t="str">
            <v>RAB0000000283930</v>
          </cell>
        </row>
        <row r="1612">
          <cell r="A1612" t="str">
            <v>RAB0000000282876</v>
          </cell>
        </row>
        <row r="1613">
          <cell r="A1613" t="str">
            <v>RAB0000000282973</v>
          </cell>
        </row>
        <row r="1614">
          <cell r="A1614" t="str">
            <v>RAB0000000282283</v>
          </cell>
        </row>
        <row r="1615">
          <cell r="A1615" t="str">
            <v>RAB0000000281893</v>
          </cell>
        </row>
        <row r="1616">
          <cell r="A1616" t="str">
            <v>RAB0000000215002</v>
          </cell>
        </row>
        <row r="1617">
          <cell r="A1617" t="str">
            <v>RAB0000000209826</v>
          </cell>
        </row>
        <row r="1618">
          <cell r="A1618" t="str">
            <v>RAB0000000209034</v>
          </cell>
        </row>
        <row r="1619">
          <cell r="A1619" t="str">
            <v>RAB0000000279119</v>
          </cell>
        </row>
        <row r="1620">
          <cell r="A1620" t="str">
            <v>RAB0000000285696</v>
          </cell>
        </row>
        <row r="1621">
          <cell r="A1621" t="str">
            <v>RAB0000000285689</v>
          </cell>
        </row>
        <row r="1622">
          <cell r="A1622" t="str">
            <v>RAB0000000285698</v>
          </cell>
        </row>
        <row r="1623">
          <cell r="A1623" t="str">
            <v>RAB0000000285594</v>
          </cell>
        </row>
        <row r="1624">
          <cell r="A1624" t="str">
            <v>RAB0000000284270</v>
          </cell>
        </row>
        <row r="1625">
          <cell r="A1625" t="str">
            <v>RAB0000000284748</v>
          </cell>
        </row>
        <row r="1626">
          <cell r="A1626" t="str">
            <v>RAB0000000285551</v>
          </cell>
        </row>
        <row r="1627">
          <cell r="A1627" t="str">
            <v>RAB0000000285531</v>
          </cell>
        </row>
        <row r="1628">
          <cell r="A1628" t="str">
            <v>RAB0000000285575</v>
          </cell>
        </row>
        <row r="1629">
          <cell r="A1629" t="str">
            <v>RAB0000000285532</v>
          </cell>
        </row>
        <row r="1630">
          <cell r="A1630" t="str">
            <v>RAB0000000285466</v>
          </cell>
        </row>
        <row r="1631">
          <cell r="A1631" t="str">
            <v>RAB0000000285557</v>
          </cell>
        </row>
        <row r="1632">
          <cell r="A1632" t="str">
            <v>RAB0000000285514</v>
          </cell>
        </row>
        <row r="1633">
          <cell r="A1633" t="str">
            <v>RAB0000000285493</v>
          </cell>
        </row>
        <row r="1634">
          <cell r="A1634" t="str">
            <v>RAB0000000269689</v>
          </cell>
        </row>
        <row r="1635">
          <cell r="A1635" t="str">
            <v>RAB0000000285485</v>
          </cell>
        </row>
        <row r="1636">
          <cell r="A1636" t="str">
            <v>RAB0000000285197</v>
          </cell>
        </row>
        <row r="1637">
          <cell r="A1637" t="str">
            <v>RAB0000000285326</v>
          </cell>
        </row>
        <row r="1638">
          <cell r="A1638" t="str">
            <v>RAB0000000285383</v>
          </cell>
        </row>
        <row r="1639">
          <cell r="A1639" t="str">
            <v>RAB0000000285436</v>
          </cell>
        </row>
        <row r="1640">
          <cell r="A1640" t="str">
            <v>RAB0000000285290</v>
          </cell>
        </row>
        <row r="1641">
          <cell r="A1641" t="str">
            <v>RAB0000000285446</v>
          </cell>
        </row>
        <row r="1642">
          <cell r="A1642" t="str">
            <v>RAB0000000285458</v>
          </cell>
        </row>
        <row r="1643">
          <cell r="A1643" t="str">
            <v>RAB0000000285444</v>
          </cell>
        </row>
        <row r="1644">
          <cell r="A1644" t="str">
            <v>RAB0000000285417</v>
          </cell>
        </row>
        <row r="1645">
          <cell r="A1645" t="str">
            <v>RAB0000000285459</v>
          </cell>
        </row>
        <row r="1646">
          <cell r="A1646" t="str">
            <v>RAB0000000285324</v>
          </cell>
        </row>
        <row r="1647">
          <cell r="A1647" t="str">
            <v>RAB0000000285161</v>
          </cell>
        </row>
        <row r="1648">
          <cell r="A1648" t="str">
            <v>RAB0000000285127</v>
          </cell>
        </row>
        <row r="1649">
          <cell r="A1649" t="str">
            <v>RAB0000000285185</v>
          </cell>
        </row>
        <row r="1650">
          <cell r="A1650" t="str">
            <v>RAB0000000285100</v>
          </cell>
        </row>
        <row r="1651">
          <cell r="A1651" t="str">
            <v>RAB0000000285007</v>
          </cell>
        </row>
        <row r="1652">
          <cell r="A1652" t="str">
            <v>RAB0000000285090</v>
          </cell>
        </row>
        <row r="1653">
          <cell r="A1653" t="str">
            <v>RAB0000000284821</v>
          </cell>
        </row>
        <row r="1654">
          <cell r="A1654" t="str">
            <v>RAB0000000285792</v>
          </cell>
        </row>
        <row r="1655">
          <cell r="A1655" t="str">
            <v>RAB0000000284270</v>
          </cell>
        </row>
        <row r="1656">
          <cell r="A1656" t="str">
            <v>RAB0000000283715</v>
          </cell>
        </row>
        <row r="1657">
          <cell r="A1657" t="str">
            <v>RAB0000000283190</v>
          </cell>
        </row>
        <row r="1658">
          <cell r="A1658" t="str">
            <v>RAB0000000284857</v>
          </cell>
        </row>
        <row r="1659">
          <cell r="A1659" t="str">
            <v>RAB0000000285857</v>
          </cell>
        </row>
        <row r="1660">
          <cell r="A1660" t="str">
            <v>RAB0000000285853</v>
          </cell>
        </row>
        <row r="1661">
          <cell r="A1661" t="str">
            <v>RAB0000000285855</v>
          </cell>
        </row>
        <row r="1662">
          <cell r="A1662" t="str">
            <v>RAB0000000285890</v>
          </cell>
        </row>
        <row r="1663">
          <cell r="A1663" t="str">
            <v>RAB0000000285892</v>
          </cell>
        </row>
        <row r="1664">
          <cell r="A1664" t="str">
            <v>RAB0000000285634</v>
          </cell>
        </row>
        <row r="1665">
          <cell r="A1665" t="str">
            <v>RAB0000000285658</v>
          </cell>
        </row>
        <row r="1666">
          <cell r="A1666" t="str">
            <v>RAB0000000285657</v>
          </cell>
        </row>
        <row r="1667">
          <cell r="A1667" t="str">
            <v>RAB0000000285678</v>
          </cell>
        </row>
        <row r="1668">
          <cell r="A1668" t="str">
            <v>RAB0000000285673</v>
          </cell>
        </row>
        <row r="1669">
          <cell r="A1669" t="str">
            <v>RAB0000000285564</v>
          </cell>
        </row>
        <row r="1670">
          <cell r="A1670" t="str">
            <v>RAB0000000285586</v>
          </cell>
        </row>
        <row r="1671">
          <cell r="A1671" t="str">
            <v>RAB0000000285491</v>
          </cell>
        </row>
        <row r="1672">
          <cell r="A1672" t="str">
            <v>RAB0000000285284</v>
          </cell>
        </row>
        <row r="1673">
          <cell r="A1673" t="str">
            <v>RAB0000000285433</v>
          </cell>
        </row>
        <row r="1674">
          <cell r="A1674" t="str">
            <v>RAB0000000285367</v>
          </cell>
        </row>
        <row r="1675">
          <cell r="A1675" t="str">
            <v>RAB0000000285371</v>
          </cell>
        </row>
        <row r="1676">
          <cell r="A1676" t="str">
            <v>RAB0000000285463</v>
          </cell>
        </row>
        <row r="1677">
          <cell r="A1677" t="str">
            <v>RAB0000000285409</v>
          </cell>
        </row>
        <row r="1678">
          <cell r="A1678" t="str">
            <v>RAB0000000285267</v>
          </cell>
        </row>
        <row r="1679">
          <cell r="A1679" t="str">
            <v>RAB0000000285209</v>
          </cell>
        </row>
        <row r="1680">
          <cell r="A1680" t="str">
            <v>RAB0000000285244</v>
          </cell>
        </row>
        <row r="1681">
          <cell r="A1681" t="str">
            <v>RAB0000000285330</v>
          </cell>
        </row>
        <row r="1682">
          <cell r="A1682" t="str">
            <v>RAB0000000285115</v>
          </cell>
        </row>
        <row r="1683">
          <cell r="A1683" t="str">
            <v>RAB0000000282786</v>
          </cell>
        </row>
        <row r="1684">
          <cell r="A1684" t="str">
            <v>RAB0000000282319</v>
          </cell>
        </row>
        <row r="1685">
          <cell r="A1685" t="str">
            <v>RAB0000000281795</v>
          </cell>
        </row>
        <row r="1686">
          <cell r="A1686" t="str">
            <v>RAB0000000280267</v>
          </cell>
        </row>
        <row r="1687">
          <cell r="A1687" t="str">
            <v>RAB0000000275582</v>
          </cell>
        </row>
        <row r="1688">
          <cell r="A1688" t="str">
            <v>RAB0000000274870</v>
          </cell>
        </row>
        <row r="1689">
          <cell r="A1689" t="str">
            <v>RAB0000000272144</v>
          </cell>
        </row>
        <row r="1690">
          <cell r="A1690" t="str">
            <v>RAB0000000215679</v>
          </cell>
        </row>
        <row r="1691">
          <cell r="A1691" t="str">
            <v>RAB0000000209380</v>
          </cell>
        </row>
        <row r="1692">
          <cell r="A1692" t="str">
            <v>RAB0000000285509</v>
          </cell>
        </row>
        <row r="1693">
          <cell r="A1693" t="str">
            <v>RAB0000000285945</v>
          </cell>
        </row>
        <row r="1694">
          <cell r="A1694" t="str">
            <v>RAB0000000286035</v>
          </cell>
        </row>
        <row r="1695">
          <cell r="A1695" t="str">
            <v>RAB0000000285749</v>
          </cell>
        </row>
        <row r="1696">
          <cell r="A1696" t="str">
            <v>RAB0000000285808</v>
          </cell>
        </row>
        <row r="1697">
          <cell r="A1697" t="str">
            <v>RAB0000000285815</v>
          </cell>
        </row>
        <row r="1698">
          <cell r="A1698" t="str">
            <v>RAB0000000285814</v>
          </cell>
        </row>
        <row r="1699">
          <cell r="A1699" t="str">
            <v>RAB0000000285810</v>
          </cell>
        </row>
        <row r="1700">
          <cell r="A1700" t="str">
            <v>RAB0000000285830</v>
          </cell>
        </row>
        <row r="1701">
          <cell r="A1701" t="str">
            <v>RAB0000000285780</v>
          </cell>
        </row>
        <row r="1702">
          <cell r="A1702" t="str">
            <v>RAB0000000285770</v>
          </cell>
        </row>
        <row r="1703">
          <cell r="A1703" t="str">
            <v>RAB0000000285870</v>
          </cell>
        </row>
        <row r="1704">
          <cell r="A1704" t="str">
            <v>RAB0000000285782</v>
          </cell>
        </row>
        <row r="1705">
          <cell r="A1705" t="str">
            <v>RAB0000000285795</v>
          </cell>
        </row>
        <row r="1706">
          <cell r="A1706" t="str">
            <v>RAB0000000285818</v>
          </cell>
        </row>
        <row r="1707">
          <cell r="A1707" t="str">
            <v>RAB0000000286312</v>
          </cell>
        </row>
        <row r="1708">
          <cell r="A1708" t="str">
            <v>RAB0000000286359</v>
          </cell>
        </row>
        <row r="1709">
          <cell r="A1709" t="str">
            <v>RAB0000000285887</v>
          </cell>
        </row>
        <row r="1710">
          <cell r="A1710" t="str">
            <v>RAB0000000285728</v>
          </cell>
        </row>
        <row r="1711">
          <cell r="A1711" t="str">
            <v>RAB0000000285579</v>
          </cell>
        </row>
        <row r="1712">
          <cell r="A1712" t="str">
            <v>RAB0000000285217</v>
          </cell>
        </row>
        <row r="1713">
          <cell r="A1713" t="str">
            <v>RAB0000000285105</v>
          </cell>
        </row>
        <row r="1714">
          <cell r="A1714" t="str">
            <v>RAB0000000285075</v>
          </cell>
        </row>
        <row r="1715">
          <cell r="A1715" t="str">
            <v>RAB0000000284678</v>
          </cell>
        </row>
        <row r="1716">
          <cell r="A1716" t="str">
            <v>RAB0000000284116</v>
          </cell>
        </row>
        <row r="1717">
          <cell r="A1717" t="str">
            <v>RAB0000000282865</v>
          </cell>
        </row>
        <row r="1718">
          <cell r="A1718" t="str">
            <v>RAB0000000272058</v>
          </cell>
        </row>
        <row r="1719">
          <cell r="A1719" t="str">
            <v>RAB0000000219975</v>
          </cell>
        </row>
        <row r="1720">
          <cell r="A1720" t="str">
            <v>RAB0000000216144</v>
          </cell>
        </row>
        <row r="1721">
          <cell r="A1721" t="str">
            <v>RAB0000000212775</v>
          </cell>
        </row>
        <row r="1722">
          <cell r="A1722" t="str">
            <v>RAB0000000208647</v>
          </cell>
        </row>
        <row r="1723">
          <cell r="A1723" t="str">
            <v>RAB0000000285916</v>
          </cell>
        </row>
        <row r="1724">
          <cell r="A1724" t="str">
            <v>RAB0000000285984</v>
          </cell>
        </row>
        <row r="1725">
          <cell r="A1725" t="str">
            <v>RAB0000000286103</v>
          </cell>
        </row>
        <row r="1726">
          <cell r="A1726" t="str">
            <v>RAB0000000285967</v>
          </cell>
        </row>
        <row r="1727">
          <cell r="A1727" t="str">
            <v>RAB0000000285981</v>
          </cell>
        </row>
        <row r="1728">
          <cell r="A1728" t="str">
            <v>RAB0000000285917</v>
          </cell>
        </row>
        <row r="1729">
          <cell r="A1729" t="str">
            <v>RAB0000000285931</v>
          </cell>
        </row>
        <row r="1730">
          <cell r="A1730" t="str">
            <v>RAB0000000285925</v>
          </cell>
        </row>
        <row r="1731">
          <cell r="A1731" t="str">
            <v>RAB0000000285952</v>
          </cell>
        </row>
        <row r="1732">
          <cell r="A1732" t="str">
            <v>RAB0000000285922</v>
          </cell>
        </row>
        <row r="1733">
          <cell r="A1733" t="str">
            <v>RAB0000000285238</v>
          </cell>
        </row>
        <row r="1734">
          <cell r="A1734" t="str">
            <v>RAB0000000286006</v>
          </cell>
        </row>
        <row r="1735">
          <cell r="A1735" t="str">
            <v>RAB0000000286012</v>
          </cell>
        </row>
        <row r="1736">
          <cell r="A1736" t="str">
            <v>RAB0000000285904</v>
          </cell>
        </row>
        <row r="1737">
          <cell r="A1737" t="str">
            <v>RAB00000002866361</v>
          </cell>
        </row>
        <row r="1738">
          <cell r="A1738" t="str">
            <v>RAB0000000286364</v>
          </cell>
        </row>
        <row r="1739">
          <cell r="A1739" t="str">
            <v>RAB0000000286335</v>
          </cell>
        </row>
        <row r="1740">
          <cell r="A1740" t="str">
            <v>RAB0000000281716</v>
          </cell>
        </row>
        <row r="1741">
          <cell r="A1741" t="str">
            <v>RAB0000000286366</v>
          </cell>
        </row>
        <row r="1742">
          <cell r="A1742" t="str">
            <v>RAB0000000286378</v>
          </cell>
        </row>
        <row r="1743">
          <cell r="A1743" t="str">
            <v>RAB0000000286246</v>
          </cell>
        </row>
        <row r="1744">
          <cell r="A1744" t="str">
            <v>RAB0000000286018</v>
          </cell>
        </row>
        <row r="1745">
          <cell r="A1745" t="str">
            <v>RAB0000000286114</v>
          </cell>
        </row>
        <row r="1746">
          <cell r="A1746" t="str">
            <v>RAB0000000286068</v>
          </cell>
        </row>
        <row r="1747">
          <cell r="A1747" t="str">
            <v>RAB0000000286053</v>
          </cell>
        </row>
        <row r="1748">
          <cell r="A1748" t="str">
            <v>RAB0000000286045</v>
          </cell>
        </row>
        <row r="1749">
          <cell r="A1749" t="str">
            <v>RAB0000000285748</v>
          </cell>
        </row>
        <row r="1750">
          <cell r="A1750" t="str">
            <v>RAB0000000285819</v>
          </cell>
        </row>
        <row r="1751">
          <cell r="A1751" t="str">
            <v>RAB0000000285817</v>
          </cell>
        </row>
        <row r="1752">
          <cell r="A1752" t="str">
            <v>RAB0000000285886</v>
          </cell>
        </row>
        <row r="1753">
          <cell r="A1753" t="str">
            <v>RAB0000000285738</v>
          </cell>
        </row>
        <row r="1754">
          <cell r="A1754" t="str">
            <v>RAB0000000285724</v>
          </cell>
        </row>
        <row r="1755">
          <cell r="A1755" t="str">
            <v>RAB0000000285225</v>
          </cell>
        </row>
        <row r="1756">
          <cell r="A1756" t="str">
            <v>RAB0000000285192</v>
          </cell>
        </row>
        <row r="1757">
          <cell r="A1757" t="str">
            <v>RAB0000000285104</v>
          </cell>
        </row>
        <row r="1758">
          <cell r="A1758" t="str">
            <v>RAB0000000286490</v>
          </cell>
        </row>
        <row r="1759">
          <cell r="A1759" t="str">
            <v>RAB0000000286485</v>
          </cell>
        </row>
        <row r="1760">
          <cell r="A1760" t="str">
            <v>RAB0000000286494</v>
          </cell>
        </row>
        <row r="1761">
          <cell r="A1761" t="str">
            <v>RAB0000000286429</v>
          </cell>
        </row>
        <row r="1762">
          <cell r="A1762" t="str">
            <v>RAB0000000286365</v>
          </cell>
        </row>
        <row r="1763">
          <cell r="A1763" t="str">
            <v>RAB0000000286389</v>
          </cell>
        </row>
        <row r="1764">
          <cell r="A1764" t="str">
            <v>RAB0000000286392</v>
          </cell>
        </row>
        <row r="1765">
          <cell r="A1765" t="str">
            <v>RAB0000000286313</v>
          </cell>
        </row>
        <row r="1766">
          <cell r="A1766" t="str">
            <v>RAB0000000285911</v>
          </cell>
        </row>
        <row r="1767">
          <cell r="A1767" t="str">
            <v>RAB0000000285929</v>
          </cell>
        </row>
        <row r="1768">
          <cell r="A1768" t="str">
            <v>RAB0000000285939</v>
          </cell>
        </row>
        <row r="1769">
          <cell r="A1769" t="str">
            <v>RAB0000000285999</v>
          </cell>
        </row>
        <row r="1770">
          <cell r="A1770" t="str">
            <v>RAB0000000286088</v>
          </cell>
        </row>
        <row r="1771">
          <cell r="A1771" t="str">
            <v>RAB0000000286023</v>
          </cell>
        </row>
        <row r="1772">
          <cell r="A1772" t="str">
            <v>RAB0000000285743</v>
          </cell>
        </row>
        <row r="1773">
          <cell r="A1773" t="str">
            <v>RAB0000000285746</v>
          </cell>
        </row>
        <row r="1774">
          <cell r="A1774" t="str">
            <v>RAB0000000285761</v>
          </cell>
        </row>
        <row r="1775">
          <cell r="A1775" t="str">
            <v>RAB0000000285860</v>
          </cell>
        </row>
        <row r="1776">
          <cell r="A1776" t="str">
            <v>RAB0000000285646</v>
          </cell>
        </row>
        <row r="1777">
          <cell r="A1777" t="str">
            <v>RAB0000000285712</v>
          </cell>
        </row>
        <row r="1778">
          <cell r="A1778" t="str">
            <v>RAB0000000285334</v>
          </cell>
        </row>
        <row r="1779">
          <cell r="A1779" t="str">
            <v>RAB0000000285292</v>
          </cell>
        </row>
        <row r="1780">
          <cell r="A1780" t="str">
            <v>RAB0000000285116</v>
          </cell>
        </row>
        <row r="1781">
          <cell r="A1781" t="str">
            <v>RAB0000000284906</v>
          </cell>
        </row>
        <row r="1782">
          <cell r="A1782" t="str">
            <v>RAB0000000283967</v>
          </cell>
        </row>
        <row r="1783">
          <cell r="A1783" t="str">
            <v>RAB0000000283873</v>
          </cell>
        </row>
        <row r="1784">
          <cell r="A1784" t="str">
            <v>RAB0000000221891</v>
          </cell>
        </row>
        <row r="1785">
          <cell r="A1785" t="str">
            <v>RAB0000000208802</v>
          </cell>
        </row>
        <row r="1786">
          <cell r="A1786" t="str">
            <v>RAB0000000286613</v>
          </cell>
        </row>
        <row r="1787">
          <cell r="A1787" t="str">
            <v>RAB0000000286614</v>
          </cell>
        </row>
        <row r="1788">
          <cell r="A1788" t="str">
            <v>RAB0000000286723</v>
          </cell>
        </row>
        <row r="1789">
          <cell r="A1789" t="str">
            <v>RAB0000000286577</v>
          </cell>
        </row>
        <row r="1790">
          <cell r="A1790" t="str">
            <v>RAB0000000286427</v>
          </cell>
        </row>
        <row r="1791">
          <cell r="A1791" t="str">
            <v>RAB0000000282953</v>
          </cell>
        </row>
        <row r="1792">
          <cell r="A1792" t="str">
            <v>RAB0000000280692</v>
          </cell>
        </row>
        <row r="1793">
          <cell r="A1793" t="str">
            <v>RAB0000000286465</v>
          </cell>
        </row>
        <row r="1794">
          <cell r="A1794" t="str">
            <v>RAB0000000286457</v>
          </cell>
        </row>
        <row r="1795">
          <cell r="A1795" t="str">
            <v>RAB0000000286444</v>
          </cell>
        </row>
        <row r="1796">
          <cell r="A1796" t="str">
            <v>RAB0000000286290</v>
          </cell>
        </row>
        <row r="1797">
          <cell r="A1797" t="str">
            <v>RAB0000000286348</v>
          </cell>
        </row>
        <row r="1798">
          <cell r="A1798" t="str">
            <v>RAB0000000286380</v>
          </cell>
        </row>
        <row r="1799">
          <cell r="A1799" t="str">
            <v>RAB0000000286390</v>
          </cell>
        </row>
        <row r="1800">
          <cell r="A1800" t="str">
            <v>RAB0000000286238</v>
          </cell>
        </row>
        <row r="1801">
          <cell r="A1801" t="str">
            <v>RAB0000000286352</v>
          </cell>
        </row>
        <row r="1802">
          <cell r="A1802" t="str">
            <v>RAB0000000286355</v>
          </cell>
        </row>
        <row r="1803">
          <cell r="A1803" t="str">
            <v>RAB0000000286317</v>
          </cell>
        </row>
        <row r="1804">
          <cell r="A1804" t="str">
            <v>RAB0000000286091</v>
          </cell>
        </row>
        <row r="1805">
          <cell r="A1805" t="str">
            <v>RAB0000000285677</v>
          </cell>
        </row>
        <row r="1806">
          <cell r="A1806" t="str">
            <v>RAB0000000285642</v>
          </cell>
        </row>
        <row r="1807">
          <cell r="A1807" t="str">
            <v>RAB0000000285561</v>
          </cell>
        </row>
        <row r="1808">
          <cell r="A1808" t="str">
            <v>RAB0000000285356</v>
          </cell>
        </row>
        <row r="1809">
          <cell r="A1809" t="str">
            <v>RAB0000000285262</v>
          </cell>
        </row>
        <row r="1810">
          <cell r="A1810" t="str">
            <v>RAB0000000285239</v>
          </cell>
        </row>
        <row r="1811">
          <cell r="A1811" t="str">
            <v>RAB0000000283821</v>
          </cell>
        </row>
        <row r="1812">
          <cell r="A1812" t="str">
            <v>RAB0000000282775</v>
          </cell>
        </row>
        <row r="1813">
          <cell r="A1813" t="str">
            <v>RAB0000000272776</v>
          </cell>
        </row>
        <row r="1814">
          <cell r="A1814" t="str">
            <v>RAB0000000187611</v>
          </cell>
        </row>
        <row r="1815">
          <cell r="A1815" t="str">
            <v>RAB0000000286484</v>
          </cell>
        </row>
        <row r="1816">
          <cell r="A1816" t="str">
            <v>RAB0000000286342</v>
          </cell>
        </row>
        <row r="1817">
          <cell r="A1817" t="str">
            <v>RAB0000000217389</v>
          </cell>
        </row>
        <row r="1818">
          <cell r="A1818" t="str">
            <v>RAB0000000215691</v>
          </cell>
        </row>
        <row r="1819">
          <cell r="A1819" t="str">
            <v>RAB0000000286670</v>
          </cell>
        </row>
        <row r="1820">
          <cell r="A1820" t="str">
            <v>RAB0000000286591</v>
          </cell>
        </row>
        <row r="1821">
          <cell r="A1821" t="str">
            <v>RAB0000000286628</v>
          </cell>
        </row>
        <row r="1822">
          <cell r="A1822" t="str">
            <v>RAB0000000286618</v>
          </cell>
        </row>
        <row r="1823">
          <cell r="A1823" t="str">
            <v>RAB0000000286598</v>
          </cell>
        </row>
        <row r="1824">
          <cell r="A1824" t="str">
            <v>RAB0000000286573</v>
          </cell>
        </row>
        <row r="1825">
          <cell r="A1825" t="str">
            <v>RAB0000000286730</v>
          </cell>
        </row>
        <row r="1826">
          <cell r="A1826" t="str">
            <v>RAB0000000286578</v>
          </cell>
        </row>
        <row r="1827">
          <cell r="A1827" t="str">
            <v>RAB0000000286572</v>
          </cell>
        </row>
        <row r="1828">
          <cell r="A1828" t="str">
            <v>RAB0000000286579</v>
          </cell>
        </row>
        <row r="1829">
          <cell r="A1829" t="str">
            <v>RAB0000000286553</v>
          </cell>
        </row>
        <row r="1830">
          <cell r="A1830" t="str">
            <v>RAB0000000286574</v>
          </cell>
        </row>
        <row r="1831">
          <cell r="A1831" t="str">
            <v>RAB0000000286744</v>
          </cell>
        </row>
        <row r="1832">
          <cell r="A1832" t="str">
            <v>RAB0000000286748</v>
          </cell>
        </row>
        <row r="1833">
          <cell r="A1833" t="str">
            <v>RAB0000000286757</v>
          </cell>
        </row>
        <row r="1834">
          <cell r="A1834" t="str">
            <v>RAB0000000286760</v>
          </cell>
        </row>
        <row r="1835">
          <cell r="A1835" t="str">
            <v>RAB0000000286651</v>
          </cell>
        </row>
        <row r="1836">
          <cell r="A1836" t="str">
            <v>RAB0000000286600</v>
          </cell>
        </row>
        <row r="1837">
          <cell r="A1837" t="str">
            <v>RAB0000000286430</v>
          </cell>
        </row>
        <row r="1838">
          <cell r="A1838" t="str">
            <v>RAB0000000286423</v>
          </cell>
        </row>
        <row r="1839">
          <cell r="A1839" t="str">
            <v>RAB0000000286743</v>
          </cell>
        </row>
        <row r="1840">
          <cell r="A1840" t="str">
            <v>RAB0000000286289</v>
          </cell>
        </row>
        <row r="1841">
          <cell r="A1841" t="str">
            <v>RAB0000000286119</v>
          </cell>
        </row>
        <row r="1842">
          <cell r="A1842" t="str">
            <v>RAB0000000285757</v>
          </cell>
        </row>
        <row r="1843">
          <cell r="A1843" t="str">
            <v>RAB0000000280279</v>
          </cell>
        </row>
        <row r="1844">
          <cell r="A1844" t="str">
            <v>RAB0000000277273</v>
          </cell>
        </row>
        <row r="1845">
          <cell r="A1845" t="str">
            <v>RAB0000000274619</v>
          </cell>
        </row>
        <row r="1846">
          <cell r="A1846" t="str">
            <v>RAB0000000215368</v>
          </cell>
        </row>
        <row r="1847">
          <cell r="A1847" t="str">
            <v>RAB0000000277112</v>
          </cell>
        </row>
        <row r="1848">
          <cell r="A1848" t="str">
            <v>RAB0000000286765</v>
          </cell>
        </row>
        <row r="1849">
          <cell r="A1849" t="str">
            <v>RAB0000000286770</v>
          </cell>
        </row>
        <row r="1850">
          <cell r="A1850" t="str">
            <v>RAB0000000286826</v>
          </cell>
        </row>
        <row r="1851">
          <cell r="A1851" t="str">
            <v>RAB0000000286822</v>
          </cell>
        </row>
        <row r="1852">
          <cell r="A1852" t="str">
            <v>RAB0000000286742</v>
          </cell>
        </row>
        <row r="1853">
          <cell r="A1853" t="str">
            <v>RAB0000000286979</v>
          </cell>
        </row>
        <row r="1854">
          <cell r="A1854" t="str">
            <v>RAB0000000286832</v>
          </cell>
        </row>
        <row r="1855">
          <cell r="A1855" t="str">
            <v>RAB0000000286733</v>
          </cell>
        </row>
        <row r="1856">
          <cell r="A1856" t="str">
            <v>RAB0000000286717</v>
          </cell>
        </row>
        <row r="1857">
          <cell r="A1857" t="str">
            <v>RAB0000000286587</v>
          </cell>
        </row>
        <row r="1858">
          <cell r="A1858" t="str">
            <v>RAB0000000286726</v>
          </cell>
        </row>
        <row r="1859">
          <cell r="A1859" t="str">
            <v>RAB0000000286594</v>
          </cell>
        </row>
        <row r="1860">
          <cell r="A1860" t="str">
            <v>RAB0000000286611</v>
          </cell>
        </row>
        <row r="1861">
          <cell r="A1861" t="str">
            <v>RAB0000000286481</v>
          </cell>
        </row>
        <row r="1862">
          <cell r="A1862" t="str">
            <v>RAB0000000286441</v>
          </cell>
        </row>
        <row r="1863">
          <cell r="A1863" t="str">
            <v>RAB0000000286493</v>
          </cell>
        </row>
        <row r="1864">
          <cell r="A1864" t="str">
            <v>RAB0000000283171</v>
          </cell>
        </row>
        <row r="1865">
          <cell r="A1865" t="str">
            <v>RAB0000000282775</v>
          </cell>
        </row>
        <row r="1866">
          <cell r="A1866" t="str">
            <v>RAB0000000276766</v>
          </cell>
        </row>
        <row r="1867">
          <cell r="A1867" t="str">
            <v>RAB0000000216766</v>
          </cell>
        </row>
        <row r="1868">
          <cell r="A1868" t="str">
            <v>RAB0000000286861</v>
          </cell>
        </row>
        <row r="1869">
          <cell r="A1869" t="str">
            <v>RAB0000000286905</v>
          </cell>
        </row>
        <row r="1870">
          <cell r="A1870" t="str">
            <v>RAB0000000286966</v>
          </cell>
        </row>
        <row r="1871">
          <cell r="A1871" t="str">
            <v>RAB0000000286937</v>
          </cell>
        </row>
        <row r="1872">
          <cell r="A1872" t="str">
            <v>RAB0000000286960</v>
          </cell>
        </row>
        <row r="1873">
          <cell r="A1873" t="str">
            <v>RAB0000000277112</v>
          </cell>
        </row>
        <row r="1874">
          <cell r="A1874" t="str">
            <v>RAB0000000287092</v>
          </cell>
        </row>
        <row r="1875">
          <cell r="A1875" t="str">
            <v>RAB0000000287090</v>
          </cell>
        </row>
        <row r="1876">
          <cell r="A1876" t="str">
            <v>RAB0000000287075</v>
          </cell>
        </row>
        <row r="1877">
          <cell r="A1877" t="str">
            <v>RAB0000000287097</v>
          </cell>
        </row>
        <row r="1878">
          <cell r="A1878" t="str">
            <v>RAB0000000287089</v>
          </cell>
        </row>
        <row r="1879">
          <cell r="A1879" t="str">
            <v>RAB0000000287078</v>
          </cell>
        </row>
        <row r="1880">
          <cell r="A1880" t="str">
            <v>RAB0000000286907</v>
          </cell>
        </row>
        <row r="1881">
          <cell r="A1881" t="str">
            <v>RAB0000000286845</v>
          </cell>
        </row>
        <row r="1882">
          <cell r="A1882" t="str">
            <v>RAB0000000286787</v>
          </cell>
        </row>
        <row r="1883">
          <cell r="A1883" t="str">
            <v>RAB0000000286776</v>
          </cell>
        </row>
        <row r="1884">
          <cell r="A1884" t="str">
            <v>RAB0000000286805</v>
          </cell>
        </row>
        <row r="1885">
          <cell r="A1885" t="str">
            <v>RAB0000000111282</v>
          </cell>
        </row>
        <row r="1886">
          <cell r="A1886" t="str">
            <v>RAB0000000286978</v>
          </cell>
        </row>
        <row r="1887">
          <cell r="A1887" t="str">
            <v>RAB0000000286958</v>
          </cell>
        </row>
        <row r="1888">
          <cell r="A1888" t="str">
            <v>RAB0000000286698</v>
          </cell>
        </row>
        <row r="1889">
          <cell r="A1889" t="str">
            <v>RAB0000000286715</v>
          </cell>
        </row>
        <row r="1890">
          <cell r="A1890" t="str">
            <v>RAB0000000286100</v>
          </cell>
        </row>
        <row r="1891">
          <cell r="A1891" t="str">
            <v>RAB0000000286099</v>
          </cell>
        </row>
        <row r="1892">
          <cell r="A1892" t="str">
            <v>RAB0000000285047</v>
          </cell>
        </row>
        <row r="1893">
          <cell r="A1893" t="str">
            <v>RAB0000000287229</v>
          </cell>
        </row>
        <row r="1894">
          <cell r="A1894" t="str">
            <v>RAB0000000287130</v>
          </cell>
        </row>
        <row r="1895">
          <cell r="A1895" t="str">
            <v>RAB0000000287172</v>
          </cell>
        </row>
        <row r="1896">
          <cell r="A1896" t="str">
            <v>RAB0000000287129</v>
          </cell>
        </row>
        <row r="1897">
          <cell r="A1897" t="str">
            <v>RAB0000000287143</v>
          </cell>
        </row>
        <row r="1898">
          <cell r="A1898" t="str">
            <v>RAB0000000287179</v>
          </cell>
        </row>
        <row r="1899">
          <cell r="A1899" t="str">
            <v>RAB0000000287153</v>
          </cell>
        </row>
        <row r="1900">
          <cell r="A1900" t="str">
            <v>RAB0000000287165</v>
          </cell>
        </row>
        <row r="1901">
          <cell r="A1901" t="str">
            <v>RAB0000000287060</v>
          </cell>
        </row>
        <row r="1902">
          <cell r="A1902" t="str">
            <v>RAB0000000109687</v>
          </cell>
        </row>
        <row r="1903">
          <cell r="A1903" t="str">
            <v>RAB0000000286997</v>
          </cell>
        </row>
        <row r="1904">
          <cell r="A1904" t="str">
            <v>RAB0000000287058</v>
          </cell>
        </row>
        <row r="1905">
          <cell r="A1905" t="str">
            <v>RAB0000000287171</v>
          </cell>
        </row>
        <row r="1906">
          <cell r="A1906" t="str">
            <v>RAB0000000287319</v>
          </cell>
        </row>
        <row r="1907">
          <cell r="A1907" t="str">
            <v>RAB0000000287395</v>
          </cell>
        </row>
        <row r="1908">
          <cell r="A1908" t="str">
            <v>RAB0000000286709</v>
          </cell>
        </row>
        <row r="1909">
          <cell r="A1909" t="str">
            <v>RAB0000000285839</v>
          </cell>
        </row>
        <row r="1910">
          <cell r="A1910" t="str">
            <v>RAB0000000285263</v>
          </cell>
        </row>
        <row r="1911">
          <cell r="A1911" t="str">
            <v>RAB0000000284306</v>
          </cell>
        </row>
        <row r="1912">
          <cell r="A1912" t="str">
            <v>RAB0000000284194</v>
          </cell>
        </row>
        <row r="1913">
          <cell r="A1913" t="str">
            <v>RAB0000000283343</v>
          </cell>
        </row>
        <row r="1914">
          <cell r="A1914" t="str">
            <v>RAB0000000282351</v>
          </cell>
        </row>
        <row r="1915">
          <cell r="A1915" t="str">
            <v>RAB0000000281818</v>
          </cell>
        </row>
        <row r="1916">
          <cell r="A1916" t="str">
            <v>RAB0000000272856</v>
          </cell>
        </row>
        <row r="1917">
          <cell r="A1917" t="str">
            <v>RAB0000000213049</v>
          </cell>
        </row>
        <row r="1918">
          <cell r="A1918" t="str">
            <v>RAB0000000287197</v>
          </cell>
        </row>
        <row r="1919">
          <cell r="A1919" t="str">
            <v>RAB0000000287050</v>
          </cell>
        </row>
        <row r="1920">
          <cell r="A1920" t="str">
            <v>RAB0000000214598</v>
          </cell>
        </row>
        <row r="1921">
          <cell r="A1921" t="str">
            <v>RAB0000000214598</v>
          </cell>
        </row>
        <row r="1922">
          <cell r="A1922" t="str">
            <v>RAB0000000287601</v>
          </cell>
        </row>
        <row r="1923">
          <cell r="A1923" t="str">
            <v>RAB0000000287597</v>
          </cell>
        </row>
        <row r="1924">
          <cell r="A1924" t="str">
            <v>RAB0000000287001</v>
          </cell>
        </row>
        <row r="1925">
          <cell r="A1925" t="str">
            <v>RAB0000000287243</v>
          </cell>
        </row>
        <row r="1926">
          <cell r="A1926" t="str">
            <v>RAB0000000286533</v>
          </cell>
        </row>
        <row r="1927">
          <cell r="A1927" t="str">
            <v>RAB0000000287232</v>
          </cell>
        </row>
        <row r="1928">
          <cell r="A1928" t="str">
            <v>RAB0000000287248</v>
          </cell>
        </row>
        <row r="1929">
          <cell r="A1929" t="str">
            <v>RAB0000000287231</v>
          </cell>
        </row>
        <row r="1930">
          <cell r="A1930" t="str">
            <v>RAB0000000287225</v>
          </cell>
        </row>
        <row r="1931">
          <cell r="A1931" t="str">
            <v>RAB0000000287257</v>
          </cell>
        </row>
        <row r="1932">
          <cell r="A1932" t="str">
            <v>RAB0000000287247</v>
          </cell>
        </row>
        <row r="1933">
          <cell r="A1933" t="str">
            <v>RAB0000000287240</v>
          </cell>
        </row>
        <row r="1934">
          <cell r="A1934" t="str">
            <v>RAB0000000287080</v>
          </cell>
        </row>
        <row r="1935">
          <cell r="A1935" t="str">
            <v>RAB0000000287122</v>
          </cell>
        </row>
        <row r="1936">
          <cell r="A1936" t="str">
            <v>RAB0000000287167</v>
          </cell>
        </row>
        <row r="1937">
          <cell r="A1937" t="str">
            <v>RAB0000000287008</v>
          </cell>
        </row>
        <row r="1938">
          <cell r="A1938" t="str">
            <v>RAB0000000286911</v>
          </cell>
        </row>
        <row r="1939">
          <cell r="A1939" t="str">
            <v>RAB0000000286868</v>
          </cell>
        </row>
        <row r="1940">
          <cell r="A1940" t="str">
            <v>RAB0000000286818</v>
          </cell>
        </row>
        <row r="1941">
          <cell r="A1941" t="str">
            <v>RAB0000000286022</v>
          </cell>
        </row>
        <row r="1942">
          <cell r="A1942" t="str">
            <v>RAB0000000286021</v>
          </cell>
        </row>
        <row r="1943">
          <cell r="A1943" t="str">
            <v>RAB0000000279061</v>
          </cell>
        </row>
        <row r="1944">
          <cell r="A1944" t="str">
            <v>RAB0000000275111</v>
          </cell>
        </row>
        <row r="1945">
          <cell r="A1945" t="str">
            <v>RAB0000000273959</v>
          </cell>
        </row>
        <row r="1946">
          <cell r="A1946" t="str">
            <v>RAB0000000181810</v>
          </cell>
        </row>
        <row r="1947">
          <cell r="A1947" t="str">
            <v>RAB0000000287372</v>
          </cell>
        </row>
        <row r="1948">
          <cell r="A1948" t="str">
            <v>RAB0000000287439</v>
          </cell>
        </row>
        <row r="1949">
          <cell r="A1949" t="str">
            <v>RAB0000000287290</v>
          </cell>
        </row>
        <row r="1950">
          <cell r="A1950" t="str">
            <v>RAB0000000287311</v>
          </cell>
        </row>
        <row r="1951">
          <cell r="A1951" t="str">
            <v>RAB0000000287306</v>
          </cell>
        </row>
        <row r="1952">
          <cell r="A1952" t="str">
            <v>RAB0000000287427</v>
          </cell>
        </row>
        <row r="1953">
          <cell r="A1953" t="str">
            <v>RAB0000000287238</v>
          </cell>
        </row>
        <row r="1954">
          <cell r="A1954" t="str">
            <v>RAB0000000287451</v>
          </cell>
        </row>
        <row r="1955">
          <cell r="A1955" t="str">
            <v>RAB0000000287426</v>
          </cell>
        </row>
        <row r="1956">
          <cell r="A1956" t="str">
            <v>RAB0000000287304</v>
          </cell>
        </row>
        <row r="1957">
          <cell r="A1957" t="str">
            <v>RAB0000000282358</v>
          </cell>
        </row>
        <row r="1958">
          <cell r="A1958" t="str">
            <v>RAB0000000278599</v>
          </cell>
        </row>
        <row r="1959">
          <cell r="A1959" t="str">
            <v>RAB0000000276467</v>
          </cell>
        </row>
        <row r="1960">
          <cell r="A1960" t="str">
            <v>RAB0000000276493</v>
          </cell>
        </row>
        <row r="1961">
          <cell r="A1961" t="str">
            <v>RAB0000000273822</v>
          </cell>
        </row>
        <row r="1962">
          <cell r="A1962" t="str">
            <v>RAB0000000287692</v>
          </cell>
        </row>
        <row r="1963">
          <cell r="A1963" t="str">
            <v>RAB0000000286345</v>
          </cell>
        </row>
        <row r="1964">
          <cell r="A1964" t="str">
            <v>RAB0000000286581</v>
          </cell>
        </row>
        <row r="1965">
          <cell r="A1965" t="str">
            <v>RAB0000000285850</v>
          </cell>
        </row>
        <row r="1966">
          <cell r="A1966" t="str">
            <v>RAB0000000281663</v>
          </cell>
        </row>
        <row r="1967">
          <cell r="A1967" t="str">
            <v>RAB0000000287921</v>
          </cell>
        </row>
        <row r="1968">
          <cell r="A1968" t="str">
            <v>RAB0000000287902</v>
          </cell>
        </row>
        <row r="1969">
          <cell r="A1969" t="str">
            <v>RAB0000000287924</v>
          </cell>
        </row>
        <row r="1970">
          <cell r="A1970" t="str">
            <v>RAB0000000287919</v>
          </cell>
        </row>
        <row r="1971">
          <cell r="A1971" t="str">
            <v>RAB0000000287916</v>
          </cell>
        </row>
        <row r="1972">
          <cell r="A1972" t="str">
            <v>RAB0000000287487</v>
          </cell>
        </row>
        <row r="1973">
          <cell r="A1973" t="str">
            <v>RAB0000000287546</v>
          </cell>
        </row>
        <row r="1974">
          <cell r="A1974" t="str">
            <v>RAB0000000287568</v>
          </cell>
        </row>
        <row r="1975">
          <cell r="A1975" t="str">
            <v>RAB0000000287538</v>
          </cell>
        </row>
        <row r="1976">
          <cell r="A1976" t="str">
            <v>RAB0000000287628</v>
          </cell>
        </row>
        <row r="1977">
          <cell r="A1977" t="str">
            <v>RAB0000000287713</v>
          </cell>
        </row>
        <row r="1978">
          <cell r="A1978" t="str">
            <v>RAB0000000287723</v>
          </cell>
        </row>
        <row r="1979">
          <cell r="A1979" t="str">
            <v>RAB0000000287748</v>
          </cell>
        </row>
        <row r="1980">
          <cell r="A1980" t="str">
            <v>RAB0000000287793</v>
          </cell>
        </row>
        <row r="1981">
          <cell r="A1981" t="str">
            <v>RAB0000000287731</v>
          </cell>
        </row>
        <row r="1982">
          <cell r="A1982" t="str">
            <v>RAB0000000287756</v>
          </cell>
        </row>
        <row r="1983">
          <cell r="A1983" t="str">
            <v>RAB0000000287801</v>
          </cell>
        </row>
        <row r="1984">
          <cell r="A1984" t="str">
            <v>RAB0000000287559</v>
          </cell>
        </row>
        <row r="1985">
          <cell r="A1985" t="str">
            <v>RAB0000000287615</v>
          </cell>
        </row>
        <row r="1986">
          <cell r="A1986" t="str">
            <v>RAB0000000287621</v>
          </cell>
        </row>
        <row r="1987">
          <cell r="A1987" t="str">
            <v>RAB0000000287661</v>
          </cell>
        </row>
        <row r="1988">
          <cell r="A1988" t="str">
            <v>RAB0000000287673</v>
          </cell>
        </row>
        <row r="1989">
          <cell r="A1989" t="str">
            <v>RAB0000000287806</v>
          </cell>
        </row>
        <row r="1990">
          <cell r="A1990" t="str">
            <v>RAB0000000287792</v>
          </cell>
        </row>
        <row r="1991">
          <cell r="A1991" t="str">
            <v>RAB0000000287800</v>
          </cell>
        </row>
        <row r="1992">
          <cell r="A1992" t="str">
            <v>RAB0000000287803</v>
          </cell>
        </row>
        <row r="1993">
          <cell r="A1993" t="str">
            <v>RAB0000000287735</v>
          </cell>
        </row>
        <row r="1994">
          <cell r="A1994" t="str">
            <v>RAB0000000287465</v>
          </cell>
        </row>
        <row r="1995">
          <cell r="A1995" t="str">
            <v>RAB0000000287296</v>
          </cell>
        </row>
        <row r="1996">
          <cell r="A1996" t="str">
            <v>RAB0000000287403</v>
          </cell>
        </row>
        <row r="1997">
          <cell r="A1997" t="str">
            <v>RAB0000000287336</v>
          </cell>
        </row>
        <row r="1998">
          <cell r="A1998" t="str">
            <v>RAB0000000287362</v>
          </cell>
        </row>
        <row r="1999">
          <cell r="A1999" t="str">
            <v>RAB0000000287413</v>
          </cell>
        </row>
        <row r="2000">
          <cell r="A2000" t="str">
            <v>RAB0000000287386</v>
          </cell>
        </row>
        <row r="2001">
          <cell r="A2001" t="str">
            <v>RAB0000000287364</v>
          </cell>
        </row>
        <row r="2002">
          <cell r="A2002" t="str">
            <v>RAB0000000286753</v>
          </cell>
        </row>
        <row r="2003">
          <cell r="A2003" t="str">
            <v>RAB0000000286525</v>
          </cell>
        </row>
        <row r="2004">
          <cell r="A2004" t="str">
            <v>RAB0000000285682</v>
          </cell>
        </row>
        <row r="2005">
          <cell r="A2005" t="str">
            <v>RAB0000000277539</v>
          </cell>
        </row>
        <row r="2006">
          <cell r="A2006" t="str">
            <v>RAB0000000214998</v>
          </cell>
        </row>
        <row r="2007">
          <cell r="A2007" t="str">
            <v>RAB0000000288049</v>
          </cell>
        </row>
        <row r="2008">
          <cell r="A2008" t="str">
            <v>RAB0000000288013</v>
          </cell>
        </row>
        <row r="2009">
          <cell r="A2009" t="str">
            <v>RAB0000000288092</v>
          </cell>
        </row>
        <row r="2010">
          <cell r="A2010" t="str">
            <v>RAB0000000287488</v>
          </cell>
        </row>
        <row r="2011">
          <cell r="A2011" t="str">
            <v>RAB0000000287490</v>
          </cell>
        </row>
        <row r="2012">
          <cell r="A2012" t="str">
            <v>RAB0000000287531</v>
          </cell>
        </row>
        <row r="2013">
          <cell r="A2013" t="str">
            <v>RAB0000000287570</v>
          </cell>
        </row>
        <row r="2014">
          <cell r="A2014" t="str">
            <v>RAB0000000287711</v>
          </cell>
        </row>
        <row r="2015">
          <cell r="A2015" t="str">
            <v>RAB0000000287790</v>
          </cell>
        </row>
        <row r="2016">
          <cell r="A2016" t="str">
            <v>RAB0000000287604</v>
          </cell>
        </row>
        <row r="2017">
          <cell r="A2017" t="str">
            <v>RAB0000000287599</v>
          </cell>
        </row>
        <row r="2018">
          <cell r="A2018" t="str">
            <v>RAB0000000287569</v>
          </cell>
        </row>
        <row r="2019">
          <cell r="A2019" t="str">
            <v>RAB0000000287785</v>
          </cell>
        </row>
        <row r="2020">
          <cell r="A2020" t="str">
            <v>RAB0000000287603</v>
          </cell>
        </row>
        <row r="2021">
          <cell r="A2021" t="str">
            <v>RAB0000000287460</v>
          </cell>
        </row>
        <row r="2022">
          <cell r="A2022" t="str">
            <v>RAB0000000287390</v>
          </cell>
        </row>
        <row r="2023">
          <cell r="A2023" t="str">
            <v>RAB0000000287471</v>
          </cell>
        </row>
        <row r="2024">
          <cell r="A2024" t="str">
            <v>RAB0000000287391</v>
          </cell>
        </row>
        <row r="2025">
          <cell r="A2025" t="str">
            <v>RAB0000000287454</v>
          </cell>
        </row>
        <row r="2026">
          <cell r="A2026" t="str">
            <v>RAB0000000280765</v>
          </cell>
        </row>
        <row r="2027">
          <cell r="A2027" t="str">
            <v>RAB0000000287259</v>
          </cell>
        </row>
        <row r="2028">
          <cell r="A2028" t="str">
            <v>RAB0000000287007</v>
          </cell>
        </row>
        <row r="2029">
          <cell r="A2029" t="str">
            <v>RAB0000000287148</v>
          </cell>
        </row>
        <row r="2030">
          <cell r="A2030" t="str">
            <v>RAB0000000286589</v>
          </cell>
        </row>
        <row r="2031">
          <cell r="A2031" t="str">
            <v>RAB0000000286209</v>
          </cell>
        </row>
        <row r="2032">
          <cell r="A2032" t="str">
            <v>RAB0000000286142</v>
          </cell>
        </row>
        <row r="2033">
          <cell r="A2033" t="str">
            <v>RAB0000000283103</v>
          </cell>
        </row>
        <row r="2034">
          <cell r="A2034" t="str">
            <v>RAB0000000279165</v>
          </cell>
        </row>
        <row r="2035">
          <cell r="A2035" t="str">
            <v>RAB0000000278860</v>
          </cell>
        </row>
        <row r="2036">
          <cell r="A2036" t="str">
            <v>RAB0000000276768</v>
          </cell>
        </row>
        <row r="2037">
          <cell r="A2037" t="str">
            <v>RAB0000000275944</v>
          </cell>
        </row>
        <row r="2038">
          <cell r="A2038" t="str">
            <v>RAB0000000179512</v>
          </cell>
        </row>
        <row r="2039">
          <cell r="A2039" t="str">
            <v>RAB0000000288140</v>
          </cell>
        </row>
        <row r="2040">
          <cell r="A2040" t="str">
            <v>RAB0000000288446</v>
          </cell>
        </row>
        <row r="2041">
          <cell r="A2041" t="str">
            <v>RAB0000000288010</v>
          </cell>
        </row>
        <row r="2042">
          <cell r="A2042" t="str">
            <v>RAB0000000288008</v>
          </cell>
        </row>
        <row r="2043">
          <cell r="A2043" t="str">
            <v>RAB0000000287993</v>
          </cell>
        </row>
        <row r="2044">
          <cell r="A2044" t="str">
            <v>RAB0000000287963</v>
          </cell>
        </row>
        <row r="2045">
          <cell r="A2045" t="str">
            <v>RAB0000000288009</v>
          </cell>
        </row>
        <row r="2046">
          <cell r="A2046" t="str">
            <v>RAB0000000288038</v>
          </cell>
        </row>
        <row r="2047">
          <cell r="A2047" t="str">
            <v>RAB0000000287992</v>
          </cell>
        </row>
        <row r="2048">
          <cell r="A2048" t="str">
            <v>RAB0000000287966</v>
          </cell>
        </row>
        <row r="2049">
          <cell r="A2049" t="str">
            <v>RAB0000000288040</v>
          </cell>
        </row>
        <row r="2050">
          <cell r="A2050" t="str">
            <v>RAB0000000288087</v>
          </cell>
        </row>
        <row r="2051">
          <cell r="A2051" t="str">
            <v>RAB0000000288098</v>
          </cell>
        </row>
        <row r="2052">
          <cell r="A2052" t="str">
            <v>RAB0000000287866</v>
          </cell>
        </row>
        <row r="2053">
          <cell r="A2053" t="str">
            <v>RAB0000000287619</v>
          </cell>
        </row>
        <row r="2054">
          <cell r="A2054" t="str">
            <v>RAB0000000287821</v>
          </cell>
        </row>
        <row r="2055">
          <cell r="A2055" t="str">
            <v>RAB0000000287738</v>
          </cell>
        </row>
        <row r="2056">
          <cell r="A2056" t="str">
            <v>RAB0000000287653</v>
          </cell>
        </row>
        <row r="2057">
          <cell r="A2057" t="str">
            <v>RAB0000000287722</v>
          </cell>
        </row>
        <row r="2058">
          <cell r="A2058" t="str">
            <v>RAB0000000287683</v>
          </cell>
        </row>
        <row r="2059">
          <cell r="A2059" t="str">
            <v>RAB0000000287774</v>
          </cell>
        </row>
        <row r="2060">
          <cell r="A2060" t="str">
            <v>RAB0000000287295</v>
          </cell>
        </row>
        <row r="2061">
          <cell r="A2061" t="str">
            <v>RAB0000000287302</v>
          </cell>
        </row>
        <row r="2062">
          <cell r="A2062" t="str">
            <v>RAB0000000287357</v>
          </cell>
        </row>
        <row r="2063">
          <cell r="A2063" t="str">
            <v>RAB0000000287454</v>
          </cell>
        </row>
        <row r="2064">
          <cell r="A2064" t="str">
            <v>RAB0000000280765</v>
          </cell>
        </row>
        <row r="2065">
          <cell r="A2065" t="str">
            <v>RAB0000000287299</v>
          </cell>
        </row>
        <row r="2066">
          <cell r="A2066" t="str">
            <v>RAB0000000286137</v>
          </cell>
        </row>
        <row r="2067">
          <cell r="A2067" t="str">
            <v>RAB0000000286358</v>
          </cell>
        </row>
        <row r="2068">
          <cell r="A2068" t="str">
            <v>RAB0000000286002</v>
          </cell>
        </row>
        <row r="2069">
          <cell r="A2069" t="str">
            <v>RAB0000000285755</v>
          </cell>
        </row>
        <row r="2070">
          <cell r="A2070" t="str">
            <v>RAB0000000285000</v>
          </cell>
        </row>
        <row r="2071">
          <cell r="A2071" t="str">
            <v>RAB0000000282868</v>
          </cell>
        </row>
        <row r="2072">
          <cell r="A2072" t="str">
            <v>RAB0000000281880</v>
          </cell>
        </row>
        <row r="2073">
          <cell r="A2073" t="str">
            <v>RAB0000000273845</v>
          </cell>
        </row>
        <row r="2074">
          <cell r="A2074" t="str">
            <v>RAB0000000271427</v>
          </cell>
        </row>
        <row r="2075">
          <cell r="A2075" t="str">
            <v>RAB0000000203693</v>
          </cell>
        </row>
        <row r="2076">
          <cell r="A2076" t="str">
            <v>RAB0000000288082</v>
          </cell>
        </row>
        <row r="2077">
          <cell r="A2077" t="str">
            <v>RAB0000000288099</v>
          </cell>
        </row>
        <row r="2078">
          <cell r="A2078" t="str">
            <v>RAB0000000288107</v>
          </cell>
        </row>
        <row r="2079">
          <cell r="A2079" t="str">
            <v>RAB0000000288211</v>
          </cell>
        </row>
        <row r="2080">
          <cell r="A2080" t="str">
            <v>RAB0000000288221</v>
          </cell>
        </row>
        <row r="2081">
          <cell r="A2081" t="str">
            <v>RAB0000000288376</v>
          </cell>
        </row>
        <row r="2082">
          <cell r="A2082" t="str">
            <v>RAB0000000288453</v>
          </cell>
        </row>
        <row r="2083">
          <cell r="A2083" t="str">
            <v>RAB0000000288239</v>
          </cell>
        </row>
        <row r="2084">
          <cell r="A2084" t="str">
            <v>RAB0000000288238</v>
          </cell>
        </row>
        <row r="2085">
          <cell r="A2085" t="str">
            <v>RAB0000000287964</v>
          </cell>
        </row>
        <row r="2086">
          <cell r="A2086" t="str">
            <v>RAB0000000288014</v>
          </cell>
        </row>
        <row r="2087">
          <cell r="A2087" t="str">
            <v>RAB0000000288004</v>
          </cell>
        </row>
        <row r="2088">
          <cell r="A2088" t="str">
            <v>RAB0000000287865</v>
          </cell>
        </row>
        <row r="2089">
          <cell r="A2089" t="str">
            <v>RAB0000000287876</v>
          </cell>
        </row>
        <row r="2090">
          <cell r="A2090" t="str">
            <v>RAB0000000287870</v>
          </cell>
        </row>
        <row r="2091">
          <cell r="A2091" t="str">
            <v>RAB0000000287366</v>
          </cell>
        </row>
        <row r="2092">
          <cell r="A2092" t="str">
            <v>RAB0000000287358</v>
          </cell>
        </row>
        <row r="2093">
          <cell r="A2093" t="str">
            <v>RAB0000000287479</v>
          </cell>
        </row>
        <row r="2094">
          <cell r="A2094" t="str">
            <v>RAB0000000287325</v>
          </cell>
        </row>
        <row r="2095">
          <cell r="A2095" t="str">
            <v>RAB0000000287410</v>
          </cell>
        </row>
        <row r="2096">
          <cell r="A2096" t="str">
            <v>RAB0000000287351</v>
          </cell>
        </row>
        <row r="2097">
          <cell r="A2097" t="str">
            <v>RAB0000000287467</v>
          </cell>
        </row>
        <row r="2098">
          <cell r="A2098" t="str">
            <v>RAB0000000287267</v>
          </cell>
        </row>
        <row r="2099">
          <cell r="A2099" t="str">
            <v>RAB0000000286370</v>
          </cell>
        </row>
        <row r="2100">
          <cell r="A2100" t="str">
            <v>RAB0000000286169</v>
          </cell>
        </row>
        <row r="2101">
          <cell r="A2101" t="str">
            <v>RAB0000000282149</v>
          </cell>
        </row>
        <row r="2102">
          <cell r="A2102" t="str">
            <v>RAB0000000278683</v>
          </cell>
        </row>
        <row r="2103">
          <cell r="A2103" t="str">
            <v>RAB0000000273740</v>
          </cell>
        </row>
        <row r="2104">
          <cell r="A2104" t="str">
            <v>RAB0000000215540</v>
          </cell>
        </row>
        <row r="2105">
          <cell r="A2105" t="str">
            <v>RAB0000000203549</v>
          </cell>
        </row>
        <row r="2106">
          <cell r="A2106" t="str">
            <v>RAB0000000288349</v>
          </cell>
        </row>
        <row r="2107">
          <cell r="A2107" t="str">
            <v>RAB0000000288344</v>
          </cell>
        </row>
        <row r="2108">
          <cell r="A2108" t="str">
            <v>RAB0000000288380</v>
          </cell>
        </row>
        <row r="2109">
          <cell r="A2109" t="str">
            <v>RAB0000000288439</v>
          </cell>
        </row>
        <row r="2110">
          <cell r="A2110" t="str">
            <v>RAB0000000288442</v>
          </cell>
        </row>
        <row r="2111">
          <cell r="A2111" t="str">
            <v>RAB0000000288426</v>
          </cell>
        </row>
        <row r="2112">
          <cell r="A2112" t="str">
            <v>RAB0000000288461</v>
          </cell>
        </row>
        <row r="2113">
          <cell r="A2113" t="str">
            <v>RAB0000000288465</v>
          </cell>
        </row>
        <row r="2114">
          <cell r="A2114" t="str">
            <v>RAB0000000288397</v>
          </cell>
        </row>
        <row r="2115">
          <cell r="A2115" t="str">
            <v>RAB0000000288282</v>
          </cell>
        </row>
        <row r="2116">
          <cell r="A2116" t="str">
            <v>RAB0000000288135</v>
          </cell>
        </row>
        <row r="2117">
          <cell r="A2117" t="str">
            <v>RAB0000000288237</v>
          </cell>
        </row>
        <row r="2118">
          <cell r="A2118" t="str">
            <v>RAB0000000288236</v>
          </cell>
        </row>
        <row r="2119">
          <cell r="A2119" t="str">
            <v>RAB0000000288316</v>
          </cell>
        </row>
        <row r="2120">
          <cell r="A2120" t="str">
            <v>RAB0000000288219</v>
          </cell>
        </row>
        <row r="2121">
          <cell r="A2121" t="str">
            <v>RAB0000000288090</v>
          </cell>
        </row>
        <row r="2122">
          <cell r="A2122" t="str">
            <v>RAB0000000288016</v>
          </cell>
        </row>
        <row r="2123">
          <cell r="A2123" t="str">
            <v>RAB0000000288058</v>
          </cell>
        </row>
        <row r="2124">
          <cell r="A2124" t="str">
            <v>RAB0000000287903</v>
          </cell>
        </row>
        <row r="2125">
          <cell r="A2125" t="str">
            <v>RAB0000000287873</v>
          </cell>
        </row>
        <row r="2126">
          <cell r="A2126" t="str">
            <v>RAB0000000287584</v>
          </cell>
        </row>
        <row r="2127">
          <cell r="A2127" t="str">
            <v>RAB0000000287502</v>
          </cell>
        </row>
        <row r="2128">
          <cell r="A2128" t="str">
            <v>RAB0000000287737</v>
          </cell>
        </row>
        <row r="2129">
          <cell r="A2129" t="str">
            <v>RAB0000000287695</v>
          </cell>
        </row>
        <row r="2130">
          <cell r="A2130" t="str">
            <v>RAB0000000287316</v>
          </cell>
        </row>
        <row r="2131">
          <cell r="A2131" t="str">
            <v>RAB0000000287347</v>
          </cell>
        </row>
        <row r="2132">
          <cell r="A2132" t="str">
            <v>RAB0000000287120</v>
          </cell>
        </row>
        <row r="2133">
          <cell r="A2133" t="str">
            <v>RAB0000000287287</v>
          </cell>
        </row>
        <row r="2134">
          <cell r="A2134" t="str">
            <v>RAB0000000286902</v>
          </cell>
        </row>
        <row r="2135">
          <cell r="A2135" t="str">
            <v>RAB0000000282347</v>
          </cell>
        </row>
        <row r="2136">
          <cell r="A2136" t="str">
            <v>RAB0000000279678</v>
          </cell>
        </row>
        <row r="2137">
          <cell r="A2137" t="str">
            <v>RAB0000000271958</v>
          </cell>
        </row>
        <row r="2138">
          <cell r="A2138" t="str">
            <v>RAB0000000210548</v>
          </cell>
        </row>
        <row r="2139">
          <cell r="A2139" t="str">
            <v>RAB0000000208245</v>
          </cell>
        </row>
        <row r="2140">
          <cell r="A2140" t="str">
            <v>RAB0000000288731</v>
          </cell>
        </row>
        <row r="2141">
          <cell r="A2141" t="str">
            <v>RAB0000000288609</v>
          </cell>
        </row>
        <row r="2142">
          <cell r="A2142" t="str">
            <v>RAB0000000288547</v>
          </cell>
        </row>
        <row r="2143">
          <cell r="A2143" t="str">
            <v>RAB0000000288543</v>
          </cell>
        </row>
        <row r="2144">
          <cell r="A2144" t="str">
            <v>RAB0000000288652</v>
          </cell>
        </row>
        <row r="2145">
          <cell r="A2145" t="str">
            <v>RAB0000000288690</v>
          </cell>
        </row>
        <row r="2146">
          <cell r="A2146" t="str">
            <v>RAB0000000288357</v>
          </cell>
        </row>
        <row r="2147">
          <cell r="A2147" t="str">
            <v>RAB0000000288405</v>
          </cell>
        </row>
        <row r="2148">
          <cell r="A2148" t="str">
            <v>RAB0000000288319</v>
          </cell>
        </row>
        <row r="2149">
          <cell r="A2149" t="str">
            <v>RAB0000000288423</v>
          </cell>
        </row>
        <row r="2150">
          <cell r="A2150" t="str">
            <v>RAB0000000288399</v>
          </cell>
        </row>
        <row r="2151">
          <cell r="A2151" t="str">
            <v>RAB0000000288151</v>
          </cell>
        </row>
        <row r="2152">
          <cell r="A2152" t="str">
            <v>RAB0000000287704</v>
          </cell>
        </row>
        <row r="2153">
          <cell r="A2153" t="str">
            <v>RAB0000000287567</v>
          </cell>
        </row>
        <row r="2154">
          <cell r="A2154" t="str">
            <v>RAB0000000286648</v>
          </cell>
        </row>
        <row r="2155">
          <cell r="A2155" t="str">
            <v>RAB0000000287246</v>
          </cell>
        </row>
        <row r="2156">
          <cell r="A2156" t="str">
            <v>RAB0000000283075</v>
          </cell>
        </row>
        <row r="2157">
          <cell r="A2157" t="str">
            <v>RAB0000000280552</v>
          </cell>
        </row>
        <row r="2158">
          <cell r="A2158" t="str">
            <v>RAB0000000276435</v>
          </cell>
        </row>
        <row r="2159">
          <cell r="A2159" t="str">
            <v>RAB0000000274069</v>
          </cell>
        </row>
        <row r="2160">
          <cell r="A2160" t="str">
            <v>RAB0000000272548</v>
          </cell>
        </row>
        <row r="2161">
          <cell r="A2161" t="str">
            <v>RAB0000000214607</v>
          </cell>
        </row>
        <row r="2162">
          <cell r="A2162" t="str">
            <v>RAB0000000215307</v>
          </cell>
        </row>
        <row r="2163">
          <cell r="A2163" t="str">
            <v>RAB0000000288570</v>
          </cell>
        </row>
        <row r="2164">
          <cell r="A2164" t="str">
            <v>RAB0000000288450</v>
          </cell>
        </row>
        <row r="2165">
          <cell r="A2165" t="str">
            <v>RAB0000000217625</v>
          </cell>
        </row>
        <row r="2166">
          <cell r="A2166" t="str">
            <v>RAB0000000288455</v>
          </cell>
        </row>
        <row r="2167">
          <cell r="A2167" t="str">
            <v>RAB0000000288311</v>
          </cell>
        </row>
        <row r="2168">
          <cell r="A2168" t="str">
            <v>RAB0000000288313</v>
          </cell>
        </row>
        <row r="2169">
          <cell r="A2169" t="str">
            <v>RAB0000000288462</v>
          </cell>
        </row>
        <row r="2170">
          <cell r="A2170" t="str">
            <v>RAB0000000286027</v>
          </cell>
        </row>
        <row r="2171">
          <cell r="A2171" t="str">
            <v>RAB0000000279972</v>
          </cell>
        </row>
        <row r="2172">
          <cell r="A2172" t="str">
            <v>RAB0000000278982</v>
          </cell>
        </row>
        <row r="2173">
          <cell r="A2173" t="str">
            <v>RAB0000000272726</v>
          </cell>
        </row>
        <row r="2174">
          <cell r="A2174" t="str">
            <v>RAB0000000269825</v>
          </cell>
        </row>
        <row r="2175">
          <cell r="A2175" t="str">
            <v>RAB0000000207386</v>
          </cell>
        </row>
        <row r="2176">
          <cell r="A2176" t="str">
            <v>RAB0000000288972</v>
          </cell>
        </row>
        <row r="2177">
          <cell r="A2177" t="str">
            <v>RAB0000000288989</v>
          </cell>
        </row>
        <row r="2178">
          <cell r="A2178" t="str">
            <v>RAB0000000288881</v>
          </cell>
        </row>
        <row r="2179">
          <cell r="A2179" t="str">
            <v>RAB0000000288556</v>
          </cell>
        </row>
        <row r="2180">
          <cell r="A2180" t="str">
            <v>RAB0000000288540</v>
          </cell>
        </row>
        <row r="2181">
          <cell r="A2181" t="str">
            <v>RAB0000000288608</v>
          </cell>
        </row>
        <row r="2182">
          <cell r="A2182" t="str">
            <v>RAB0000000288618</v>
          </cell>
        </row>
        <row r="2183">
          <cell r="A2183" t="str">
            <v>RAB0000000288676</v>
          </cell>
        </row>
        <row r="2184">
          <cell r="A2184" t="str">
            <v>RAB0000000288679</v>
          </cell>
        </row>
        <row r="2185">
          <cell r="A2185" t="str">
            <v>RAB0000000288597</v>
          </cell>
        </row>
        <row r="2186">
          <cell r="A2186" t="str">
            <v>RAB0000000288408</v>
          </cell>
        </row>
        <row r="2187">
          <cell r="A2187" t="str">
            <v>RAB0000000288343</v>
          </cell>
        </row>
        <row r="2188">
          <cell r="A2188" t="str">
            <v>RAB0000000288440</v>
          </cell>
        </row>
        <row r="2189">
          <cell r="A2189" t="str">
            <v>RAB0000000288480</v>
          </cell>
        </row>
        <row r="2190">
          <cell r="A2190" t="str">
            <v>RAB0000000288644</v>
          </cell>
        </row>
        <row r="2191">
          <cell r="A2191" t="str">
            <v>RAB0000000288672</v>
          </cell>
        </row>
        <row r="2192">
          <cell r="A2192" t="str">
            <v>RAB0000000288651</v>
          </cell>
        </row>
        <row r="2193">
          <cell r="A2193" t="str">
            <v>RAB0000000288231</v>
          </cell>
        </row>
        <row r="2194">
          <cell r="A2194" t="str">
            <v>RAB0000000288100</v>
          </cell>
        </row>
        <row r="2195">
          <cell r="A2195" t="str">
            <v>RAB0000000288182</v>
          </cell>
        </row>
        <row r="2196">
          <cell r="A2196" t="str">
            <v>RAB0000000287254</v>
          </cell>
        </row>
        <row r="2197">
          <cell r="A2197" t="str">
            <v>RAB0000000285437</v>
          </cell>
        </row>
        <row r="2198">
          <cell r="A2198" t="str">
            <v>RAB0000000278833</v>
          </cell>
        </row>
        <row r="2199">
          <cell r="A2199" t="str">
            <v>RAB0000000277500</v>
          </cell>
        </row>
        <row r="2200">
          <cell r="A2200" t="str">
            <v>RAB0000000275940</v>
          </cell>
        </row>
        <row r="2201">
          <cell r="A2201" t="str">
            <v>RAB0000000222609</v>
          </cell>
        </row>
        <row r="2202">
          <cell r="A2202" t="str">
            <v>RAB0000000214825</v>
          </cell>
        </row>
        <row r="2203">
          <cell r="A2203" t="str">
            <v>RAB0000000208176</v>
          </cell>
        </row>
        <row r="2204">
          <cell r="A2204" t="str">
            <v>RAB0000000274423</v>
          </cell>
        </row>
        <row r="2205">
          <cell r="A2205" t="str">
            <v>RAB0000000288688</v>
          </cell>
        </row>
        <row r="2206">
          <cell r="A2206" t="str">
            <v>RAB0000000288947</v>
          </cell>
        </row>
        <row r="2207">
          <cell r="A2207" t="str">
            <v>RAB0000000212198</v>
          </cell>
        </row>
        <row r="2208">
          <cell r="A2208" t="str">
            <v>RAB0000000288437</v>
          </cell>
        </row>
        <row r="2209">
          <cell r="A2209" t="str">
            <v>RAB0000000288613</v>
          </cell>
        </row>
        <row r="2210">
          <cell r="A2210" t="str">
            <v>RAB0000000288919</v>
          </cell>
        </row>
        <row r="2211">
          <cell r="A2211" t="str">
            <v>RAB0000000288858</v>
          </cell>
        </row>
        <row r="2212">
          <cell r="A2212" t="str">
            <v>RAB0000000287433</v>
          </cell>
        </row>
        <row r="2213">
          <cell r="A2213" t="str">
            <v>RAB0000000288966</v>
          </cell>
        </row>
        <row r="2214">
          <cell r="A2214" t="str">
            <v>RAB0000000285915</v>
          </cell>
        </row>
        <row r="2215">
          <cell r="A2215" t="str">
            <v>RAB0000000288591</v>
          </cell>
        </row>
        <row r="2216">
          <cell r="A2216" t="str">
            <v>RAB0000000287973</v>
          </cell>
        </row>
        <row r="2217">
          <cell r="A2217" t="str">
            <v>RAB0000000288552</v>
          </cell>
        </row>
        <row r="2218">
          <cell r="A2218" t="str">
            <v>RAB0000000286373</v>
          </cell>
        </row>
        <row r="2219">
          <cell r="A2219" t="str">
            <v>RAB0000000288838</v>
          </cell>
        </row>
        <row r="2220">
          <cell r="A2220" t="str">
            <v>RAB0000000288537</v>
          </cell>
        </row>
        <row r="2221">
          <cell r="A2221" t="str">
            <v>RAB0000000282141</v>
          </cell>
        </row>
        <row r="2222">
          <cell r="A2222" t="str">
            <v>RAB0000000275712</v>
          </cell>
        </row>
        <row r="2223">
          <cell r="A2223" t="str">
            <v>RAB0000000287399</v>
          </cell>
        </row>
        <row r="2224">
          <cell r="A2224" t="str">
            <v>RAB0000000287070</v>
          </cell>
        </row>
        <row r="2225">
          <cell r="A2225" t="str">
            <v>RAB0000000288255</v>
          </cell>
        </row>
        <row r="2226">
          <cell r="A2226" t="str">
            <v>RAB0000000288601</v>
          </cell>
        </row>
        <row r="2227">
          <cell r="A2227" t="str">
            <v>RAB0000000288102</v>
          </cell>
        </row>
        <row r="2228">
          <cell r="A2228" t="str">
            <v>RAB0000000287678</v>
          </cell>
        </row>
        <row r="2229">
          <cell r="A2229" t="str">
            <v>RAB0000000288275</v>
          </cell>
        </row>
        <row r="2230">
          <cell r="A2230" t="str">
            <v>RAB0000000286558</v>
          </cell>
        </row>
        <row r="2231">
          <cell r="A2231" t="str">
            <v>RAB0000000288990</v>
          </cell>
        </row>
        <row r="2232">
          <cell r="A2232" t="str">
            <v>RAB0000000277477</v>
          </cell>
        </row>
        <row r="2233">
          <cell r="A2233" t="str">
            <v>RAB0000000288727</v>
          </cell>
        </row>
        <row r="2234">
          <cell r="A2234" t="str">
            <v>RAB0000000289028</v>
          </cell>
        </row>
        <row r="2235">
          <cell r="A2235" t="str">
            <v>RAB0000000284848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zoomScale="94" zoomScaleNormal="94" zoomScaleSheetLayoutView="80" workbookViewId="0">
      <pane ySplit="1" topLeftCell="A2" activePane="bottomLeft" state="frozen"/>
      <selection pane="bottomLeft" activeCell="D5" sqref="D5"/>
    </sheetView>
  </sheetViews>
  <sheetFormatPr baseColWidth="10" defaultColWidth="39.88671875" defaultRowHeight="15" customHeight="1"/>
  <cols>
    <col min="1" max="1" width="9.6640625" style="634" customWidth="1"/>
    <col min="2" max="2" width="10.33203125" style="634" customWidth="1"/>
    <col min="3" max="3" width="23.21875" style="634" customWidth="1"/>
    <col min="4" max="4" width="34.88671875" style="634" customWidth="1"/>
    <col min="5" max="5" width="36.5546875" style="634" customWidth="1"/>
    <col min="6" max="6" width="11.5546875" style="634" customWidth="1"/>
    <col min="7" max="7" width="12.77734375" style="634" customWidth="1"/>
    <col min="8" max="8" width="15.33203125" style="634" customWidth="1"/>
    <col min="9" max="9" width="13.6640625" style="634" customWidth="1"/>
    <col min="10" max="10" width="13.5546875" style="634" customWidth="1"/>
    <col min="11" max="11" width="11.88671875" style="634" customWidth="1"/>
    <col min="12" max="12" width="17.5546875" style="634" customWidth="1"/>
    <col min="13" max="13" width="21.77734375" style="634" customWidth="1"/>
    <col min="14" max="14" width="18.88671875" style="634" customWidth="1"/>
    <col min="15" max="15" width="14.88671875" style="634" customWidth="1"/>
    <col min="16" max="16" width="6.33203125" style="634" customWidth="1"/>
    <col min="17" max="17" width="13.33203125" style="634" customWidth="1"/>
    <col min="18" max="18" width="18.88671875" style="634" customWidth="1"/>
    <col min="19" max="19" width="5.6640625" style="634" customWidth="1"/>
    <col min="20" max="20" width="6" style="634" customWidth="1"/>
    <col min="21" max="22" width="6.88671875" style="634" customWidth="1"/>
    <col min="23" max="23" width="14.21875" style="634" customWidth="1"/>
    <col min="24" max="24" width="21.44140625" style="634" customWidth="1"/>
    <col min="25" max="25" width="8" style="634" customWidth="1"/>
    <col min="26" max="26" width="7.6640625" style="634" customWidth="1"/>
    <col min="27" max="27" width="28.6640625" style="634" customWidth="1"/>
    <col min="28" max="28" width="36" style="634" customWidth="1"/>
    <col min="29" max="29" width="129.88671875" style="634" customWidth="1"/>
    <col min="30" max="16384" width="39.88671875" style="634"/>
  </cols>
  <sheetData>
    <row r="1" spans="1:31" ht="15" customHeight="1" thickBot="1">
      <c r="A1" s="2292" t="s">
        <v>4380</v>
      </c>
      <c r="B1" s="2292" t="s">
        <v>4381</v>
      </c>
      <c r="C1" s="2292" t="s">
        <v>0</v>
      </c>
      <c r="D1" s="2292" t="s">
        <v>4382</v>
      </c>
      <c r="E1" s="2293" t="s">
        <v>1</v>
      </c>
      <c r="F1" s="2292" t="s">
        <v>2</v>
      </c>
      <c r="G1" s="2292" t="s">
        <v>3</v>
      </c>
      <c r="H1" s="2292" t="s">
        <v>4</v>
      </c>
      <c r="I1" s="2292" t="s">
        <v>5</v>
      </c>
      <c r="J1" s="2292" t="s">
        <v>6</v>
      </c>
      <c r="K1" s="2292" t="s">
        <v>7</v>
      </c>
      <c r="L1" s="2292" t="s">
        <v>8</v>
      </c>
      <c r="M1" s="2292" t="s">
        <v>9</v>
      </c>
      <c r="N1" s="2292" t="s">
        <v>10</v>
      </c>
      <c r="O1" s="2292" t="s">
        <v>11</v>
      </c>
      <c r="P1" s="2292" t="s">
        <v>12</v>
      </c>
      <c r="Q1" s="2292" t="s">
        <v>13</v>
      </c>
      <c r="R1" s="2292" t="s">
        <v>4804</v>
      </c>
      <c r="S1" s="2292" t="s">
        <v>14</v>
      </c>
      <c r="T1" s="2292" t="s">
        <v>15</v>
      </c>
      <c r="U1" s="2292" t="s">
        <v>176</v>
      </c>
      <c r="V1" s="2292" t="s">
        <v>177</v>
      </c>
      <c r="W1" s="2292" t="s">
        <v>17</v>
      </c>
      <c r="X1" s="2292" t="s">
        <v>18</v>
      </c>
      <c r="Y1" s="2292" t="s">
        <v>19</v>
      </c>
      <c r="Z1" s="2292" t="s">
        <v>20</v>
      </c>
      <c r="AA1" s="2292" t="s">
        <v>21</v>
      </c>
      <c r="AB1" s="2292" t="s">
        <v>22</v>
      </c>
      <c r="AC1" s="2293" t="s">
        <v>4383</v>
      </c>
      <c r="AD1" s="2290" t="s">
        <v>4384</v>
      </c>
      <c r="AE1" s="2282" t="s">
        <v>4385</v>
      </c>
    </row>
    <row r="2" spans="1:31" s="2279" customFormat="1" ht="15" customHeight="1" thickBot="1">
      <c r="A2" s="978" t="s">
        <v>25</v>
      </c>
      <c r="B2" s="1265" t="s">
        <v>25</v>
      </c>
      <c r="C2" s="978" t="s">
        <v>619</v>
      </c>
      <c r="D2" s="978" t="s">
        <v>620</v>
      </c>
      <c r="E2" s="978" t="s">
        <v>621</v>
      </c>
      <c r="F2" s="1265">
        <v>101028600</v>
      </c>
      <c r="G2" s="1265">
        <v>708863663</v>
      </c>
      <c r="H2" s="978">
        <v>5.8472499999999998</v>
      </c>
      <c r="I2" s="978">
        <v>-5.3432599999999999</v>
      </c>
      <c r="J2" s="978" t="s">
        <v>189</v>
      </c>
      <c r="K2" s="978" t="s">
        <v>274</v>
      </c>
      <c r="L2" s="978" t="s">
        <v>2799</v>
      </c>
      <c r="M2" s="978"/>
      <c r="N2" s="978"/>
      <c r="O2" s="2295">
        <v>45694</v>
      </c>
      <c r="P2" s="978">
        <v>301</v>
      </c>
      <c r="Q2" s="2295">
        <v>45695</v>
      </c>
      <c r="R2" s="978" t="s">
        <v>273</v>
      </c>
      <c r="S2" s="978"/>
      <c r="T2" s="978">
        <v>3</v>
      </c>
      <c r="U2" s="978" t="s">
        <v>16</v>
      </c>
      <c r="V2" s="978" t="s">
        <v>16</v>
      </c>
      <c r="W2" s="978" t="s">
        <v>48</v>
      </c>
      <c r="X2" s="978" t="s">
        <v>310</v>
      </c>
      <c r="Y2" s="978">
        <v>200</v>
      </c>
      <c r="Z2" s="978" t="s">
        <v>32</v>
      </c>
      <c r="AA2" s="978" t="s">
        <v>260</v>
      </c>
      <c r="AB2" s="978" t="s">
        <v>4028</v>
      </c>
      <c r="AC2" s="978" t="s">
        <v>4029</v>
      </c>
      <c r="AD2" s="2291"/>
      <c r="AE2" s="2283" t="e">
        <f>+COUNTIF([1]Feuil1!A:A,C2)</f>
        <v>#VALUE!</v>
      </c>
    </row>
    <row r="3" spans="1:31" ht="15" customHeight="1" thickBot="1">
      <c r="A3" s="1265" t="s">
        <v>25</v>
      </c>
      <c r="B3" s="1265" t="s">
        <v>25</v>
      </c>
      <c r="C3" s="1265" t="s">
        <v>2438</v>
      </c>
      <c r="D3" s="1265" t="s">
        <v>2439</v>
      </c>
      <c r="E3" s="1265" t="s">
        <v>983</v>
      </c>
      <c r="F3" s="1265">
        <v>707155423</v>
      </c>
      <c r="G3" s="1265">
        <v>101837194</v>
      </c>
      <c r="H3" s="978">
        <v>5.8293249999999999</v>
      </c>
      <c r="I3" s="978">
        <v>-5.3586799999999997</v>
      </c>
      <c r="J3" s="1265" t="s">
        <v>25</v>
      </c>
      <c r="K3" s="978"/>
      <c r="L3" s="978"/>
      <c r="M3" s="978"/>
      <c r="N3" s="978"/>
      <c r="O3" s="2294">
        <v>45748</v>
      </c>
      <c r="P3" s="978">
        <v>140</v>
      </c>
      <c r="Q3" s="2294">
        <v>45856</v>
      </c>
      <c r="R3" s="1265" t="s">
        <v>273</v>
      </c>
      <c r="S3" s="1265"/>
      <c r="T3" s="1265"/>
      <c r="U3" s="1265" t="s">
        <v>16</v>
      </c>
      <c r="V3" s="1265" t="s">
        <v>16</v>
      </c>
      <c r="W3" s="978" t="s">
        <v>48</v>
      </c>
      <c r="X3" s="1265" t="s">
        <v>310</v>
      </c>
      <c r="Y3" s="1265"/>
      <c r="Z3" s="1265" t="s">
        <v>32</v>
      </c>
      <c r="AA3" s="1265" t="s">
        <v>260</v>
      </c>
      <c r="AB3" s="1265" t="s">
        <v>4028</v>
      </c>
      <c r="AC3" s="2296" t="s">
        <v>5052</v>
      </c>
      <c r="AD3" s="2291"/>
      <c r="AE3" s="2283"/>
    </row>
    <row r="4" spans="1:31" ht="15" customHeight="1" thickBot="1">
      <c r="A4" s="1265" t="s">
        <v>25</v>
      </c>
      <c r="B4" s="1265" t="s">
        <v>25</v>
      </c>
      <c r="C4" s="1265" t="s">
        <v>3034</v>
      </c>
      <c r="D4" s="1265" t="s">
        <v>3035</v>
      </c>
      <c r="E4" s="1265" t="s">
        <v>1657</v>
      </c>
      <c r="F4" s="1265">
        <v>757639660</v>
      </c>
      <c r="G4" s="2297">
        <v>545000000</v>
      </c>
      <c r="H4" s="978">
        <v>5.8299300000000001</v>
      </c>
      <c r="I4" s="978">
        <v>-5.35806</v>
      </c>
      <c r="J4" s="1265" t="s">
        <v>36</v>
      </c>
      <c r="K4" s="978" t="s">
        <v>274</v>
      </c>
      <c r="L4" s="978" t="s">
        <v>521</v>
      </c>
      <c r="M4" s="978"/>
      <c r="N4" s="978"/>
      <c r="O4" s="2294">
        <v>45912</v>
      </c>
      <c r="P4" s="978">
        <v>83</v>
      </c>
      <c r="Q4" s="2294">
        <v>45913</v>
      </c>
      <c r="R4" s="1265" t="s">
        <v>4347</v>
      </c>
      <c r="S4" s="1265"/>
      <c r="T4" s="1265"/>
      <c r="U4" s="1265" t="s">
        <v>16</v>
      </c>
      <c r="V4" s="1265" t="s">
        <v>16</v>
      </c>
      <c r="W4" s="978" t="s">
        <v>48</v>
      </c>
      <c r="X4" s="1265" t="s">
        <v>310</v>
      </c>
      <c r="Y4" s="1265"/>
      <c r="Z4" s="1265" t="s">
        <v>32</v>
      </c>
      <c r="AA4" s="1265" t="s">
        <v>260</v>
      </c>
      <c r="AB4" s="1265" t="s">
        <v>4028</v>
      </c>
      <c r="AC4" s="978" t="s">
        <v>4348</v>
      </c>
      <c r="AD4" s="2291"/>
      <c r="AE4" s="2283" t="e">
        <f>+COUNTIF([1]Feuil1!A:A,C4)</f>
        <v>#VALUE!</v>
      </c>
    </row>
    <row r="5" spans="1:31" ht="15" customHeight="1" thickBot="1">
      <c r="A5" s="1265" t="s">
        <v>25</v>
      </c>
      <c r="B5" s="1265" t="s">
        <v>25</v>
      </c>
      <c r="C5" s="2299" t="s">
        <v>4457</v>
      </c>
      <c r="D5" s="2299" t="s">
        <v>4458</v>
      </c>
      <c r="E5" s="2299" t="s">
        <v>3400</v>
      </c>
      <c r="F5" s="2299">
        <v>708845503</v>
      </c>
      <c r="G5" s="2299">
        <v>757665303</v>
      </c>
      <c r="H5" s="978">
        <v>5.8291700000000004</v>
      </c>
      <c r="I5" s="978">
        <v>-5.36341</v>
      </c>
      <c r="J5" s="2299" t="s">
        <v>2612</v>
      </c>
      <c r="K5" s="978" t="s">
        <v>274</v>
      </c>
      <c r="L5" s="978" t="s">
        <v>3554</v>
      </c>
      <c r="M5" s="978"/>
      <c r="N5" s="978"/>
      <c r="O5" s="2300">
        <v>46001</v>
      </c>
      <c r="P5" s="978"/>
      <c r="Q5" s="2300">
        <v>46002</v>
      </c>
      <c r="R5" s="1265" t="s">
        <v>2641</v>
      </c>
      <c r="S5" s="1265"/>
      <c r="T5" s="1265">
        <v>0</v>
      </c>
      <c r="U5" s="1265" t="s">
        <v>16</v>
      </c>
      <c r="V5" s="1265" t="s">
        <v>16</v>
      </c>
      <c r="W5" s="978" t="s">
        <v>48</v>
      </c>
      <c r="X5" s="1265" t="s">
        <v>310</v>
      </c>
      <c r="Y5" s="1265">
        <v>100</v>
      </c>
      <c r="Z5" s="1265" t="s">
        <v>32</v>
      </c>
      <c r="AA5" s="1265" t="s">
        <v>260</v>
      </c>
      <c r="AB5" s="1265" t="s">
        <v>4028</v>
      </c>
      <c r="AC5" s="978" t="s">
        <v>4482</v>
      </c>
      <c r="AD5" s="1052"/>
      <c r="AE5" s="2283" t="e">
        <f>+COUNTIF([1]Feuil1!A:A,C5)</f>
        <v>#VALUE!</v>
      </c>
    </row>
    <row r="6" spans="1:31" ht="15" customHeight="1" thickBot="1">
      <c r="A6" s="1265" t="s">
        <v>25</v>
      </c>
      <c r="B6" s="1265" t="s">
        <v>25</v>
      </c>
      <c r="C6" s="2310" t="s">
        <v>4799</v>
      </c>
      <c r="D6" s="2310" t="s">
        <v>4801</v>
      </c>
      <c r="E6" s="2310" t="s">
        <v>3053</v>
      </c>
      <c r="F6" s="2310">
        <v>153963091</v>
      </c>
      <c r="G6" s="978">
        <v>508397991</v>
      </c>
      <c r="H6" s="978"/>
      <c r="I6" s="978"/>
      <c r="J6" s="2302" t="s">
        <v>25</v>
      </c>
      <c r="K6" s="978"/>
      <c r="L6" s="978"/>
      <c r="M6" s="978"/>
      <c r="N6" s="978"/>
      <c r="O6" s="2295">
        <v>45958</v>
      </c>
      <c r="P6" s="978"/>
      <c r="Q6" s="2306">
        <v>46031</v>
      </c>
      <c r="R6" s="1265" t="s">
        <v>2768</v>
      </c>
      <c r="S6" s="1265"/>
      <c r="T6" s="1265"/>
      <c r="U6" s="1265" t="s">
        <v>16</v>
      </c>
      <c r="V6" s="1265" t="s">
        <v>16</v>
      </c>
      <c r="W6" s="978" t="s">
        <v>48</v>
      </c>
      <c r="X6" s="1265" t="s">
        <v>310</v>
      </c>
      <c r="Y6" s="1265"/>
      <c r="Z6" s="1265" t="s">
        <v>32</v>
      </c>
      <c r="AA6" s="978" t="s">
        <v>260</v>
      </c>
      <c r="AB6" s="978" t="s">
        <v>4028</v>
      </c>
      <c r="AC6" s="2311" t="s">
        <v>4823</v>
      </c>
      <c r="AD6" s="1052"/>
      <c r="AE6" s="2283"/>
    </row>
    <row r="7" spans="1:31" ht="15" customHeight="1" thickBot="1">
      <c r="A7" s="1265" t="s">
        <v>25</v>
      </c>
      <c r="B7" s="1265" t="s">
        <v>25</v>
      </c>
      <c r="C7" s="1265" t="s">
        <v>2263</v>
      </c>
      <c r="D7" s="1265" t="s">
        <v>2264</v>
      </c>
      <c r="E7" s="1265" t="s">
        <v>864</v>
      </c>
      <c r="F7" s="1265">
        <v>759354028</v>
      </c>
      <c r="G7" s="1265">
        <v>759354028</v>
      </c>
      <c r="H7" s="1265">
        <v>5.8398199999999996</v>
      </c>
      <c r="I7" s="978">
        <v>-5.3558599999999998</v>
      </c>
      <c r="J7" s="1265" t="s">
        <v>36</v>
      </c>
      <c r="K7" s="978" t="s">
        <v>190</v>
      </c>
      <c r="L7" s="978" t="s">
        <v>601</v>
      </c>
      <c r="M7" s="978"/>
      <c r="N7" s="978"/>
      <c r="O7" s="2294">
        <v>45826</v>
      </c>
      <c r="P7" s="978">
        <v>169</v>
      </c>
      <c r="Q7" s="2294">
        <v>45827</v>
      </c>
      <c r="R7" s="1265" t="s">
        <v>2641</v>
      </c>
      <c r="S7" s="978"/>
      <c r="T7" s="978"/>
      <c r="U7" s="1265" t="s">
        <v>16</v>
      </c>
      <c r="V7" s="1265" t="s">
        <v>16</v>
      </c>
      <c r="W7" s="978" t="s">
        <v>48</v>
      </c>
      <c r="X7" s="1265" t="s">
        <v>310</v>
      </c>
      <c r="Y7" s="978"/>
      <c r="Z7" s="1265" t="s">
        <v>32</v>
      </c>
      <c r="AA7" s="1265" t="s">
        <v>260</v>
      </c>
      <c r="AB7" s="1265" t="s">
        <v>1894</v>
      </c>
      <c r="AC7" s="978" t="s">
        <v>4359</v>
      </c>
      <c r="AD7" s="2291"/>
      <c r="AE7" s="2283" t="e">
        <f>+COUNTIF([1]Feuil1!A:A,C7)</f>
        <v>#VALUE!</v>
      </c>
    </row>
    <row r="8" spans="1:31" ht="15" customHeight="1" thickBot="1">
      <c r="A8" s="1265" t="s">
        <v>25</v>
      </c>
      <c r="B8" s="1265" t="s">
        <v>25</v>
      </c>
      <c r="C8" s="1265" t="s">
        <v>3074</v>
      </c>
      <c r="D8" s="1265" t="s">
        <v>3075</v>
      </c>
      <c r="E8" s="1265" t="s">
        <v>3076</v>
      </c>
      <c r="F8" s="1265">
        <v>708255453</v>
      </c>
      <c r="G8" s="1265">
        <v>798000000</v>
      </c>
      <c r="H8" s="978">
        <v>5.8492899999999999</v>
      </c>
      <c r="I8" s="978">
        <v>-5.3476299999999997</v>
      </c>
      <c r="J8" s="1265" t="s">
        <v>25</v>
      </c>
      <c r="K8" s="978"/>
      <c r="L8" s="978"/>
      <c r="M8" s="978"/>
      <c r="N8" s="978"/>
      <c r="O8" s="2294">
        <v>45918</v>
      </c>
      <c r="P8" s="978">
        <v>77</v>
      </c>
      <c r="Q8" s="2294">
        <v>45919</v>
      </c>
      <c r="R8" s="1265" t="s">
        <v>273</v>
      </c>
      <c r="S8" s="1265"/>
      <c r="T8" s="1265"/>
      <c r="U8" s="1265" t="s">
        <v>16</v>
      </c>
      <c r="V8" s="1265" t="s">
        <v>16</v>
      </c>
      <c r="W8" s="978" t="s">
        <v>48</v>
      </c>
      <c r="X8" s="1265" t="s">
        <v>310</v>
      </c>
      <c r="Y8" s="1265"/>
      <c r="Z8" s="1265" t="s">
        <v>32</v>
      </c>
      <c r="AA8" s="1265" t="s">
        <v>260</v>
      </c>
      <c r="AB8" s="1265" t="s">
        <v>273</v>
      </c>
      <c r="AC8" s="978" t="s">
        <v>3099</v>
      </c>
      <c r="AD8" s="2291"/>
      <c r="AE8" s="2283" t="e">
        <f>+COUNTIF([1]Feuil1!A:A,C8)</f>
        <v>#VALUE!</v>
      </c>
    </row>
    <row r="9" spans="1:31" ht="15" customHeight="1" thickBot="1">
      <c r="A9" s="1265" t="s">
        <v>25</v>
      </c>
      <c r="B9" s="1265" t="s">
        <v>25</v>
      </c>
      <c r="C9" s="1265" t="s">
        <v>3871</v>
      </c>
      <c r="D9" s="1265" t="s">
        <v>3872</v>
      </c>
      <c r="E9" s="1265" t="s">
        <v>3873</v>
      </c>
      <c r="F9" s="1265">
        <v>707354135</v>
      </c>
      <c r="G9" s="1265">
        <v>707354135</v>
      </c>
      <c r="H9" s="978">
        <v>5.8146899999999997</v>
      </c>
      <c r="I9" s="978">
        <v>-5.3626300000000002</v>
      </c>
      <c r="J9" s="1265" t="s">
        <v>25</v>
      </c>
      <c r="K9" s="978"/>
      <c r="L9" s="978"/>
      <c r="M9" s="978"/>
      <c r="N9" s="978"/>
      <c r="O9" s="2294">
        <v>45965</v>
      </c>
      <c r="P9" s="978">
        <v>30</v>
      </c>
      <c r="Q9" s="2294">
        <v>45966</v>
      </c>
      <c r="R9" s="1265" t="s">
        <v>273</v>
      </c>
      <c r="S9" s="978"/>
      <c r="T9" s="978">
        <v>2</v>
      </c>
      <c r="U9" s="1265" t="s">
        <v>16</v>
      </c>
      <c r="V9" s="1265" t="s">
        <v>16</v>
      </c>
      <c r="W9" s="978" t="s">
        <v>48</v>
      </c>
      <c r="X9" s="1265" t="s">
        <v>310</v>
      </c>
      <c r="Y9" s="978"/>
      <c r="Z9" s="1265" t="s">
        <v>32</v>
      </c>
      <c r="AA9" s="1265" t="s">
        <v>260</v>
      </c>
      <c r="AB9" s="978" t="s">
        <v>3874</v>
      </c>
      <c r="AC9" s="978" t="s">
        <v>3875</v>
      </c>
      <c r="AD9" s="2291"/>
      <c r="AE9" s="2283" t="e">
        <f>+COUNTIF([1]Feuil1!A:A,C9)</f>
        <v>#VALUE!</v>
      </c>
    </row>
    <row r="10" spans="1:31" ht="15" customHeight="1" thickBot="1">
      <c r="A10" s="1265" t="s">
        <v>25</v>
      </c>
      <c r="B10" s="1265" t="s">
        <v>25</v>
      </c>
      <c r="C10" s="1265" t="s">
        <v>3876</v>
      </c>
      <c r="D10" s="1265" t="s">
        <v>3877</v>
      </c>
      <c r="E10" s="1265" t="s">
        <v>3878</v>
      </c>
      <c r="F10" s="1265">
        <v>789362524</v>
      </c>
      <c r="G10" s="1265">
        <v>789362524</v>
      </c>
      <c r="H10" s="978">
        <v>5.8151799999999998</v>
      </c>
      <c r="I10" s="978">
        <v>-5.3620999999999999</v>
      </c>
      <c r="J10" s="1265" t="s">
        <v>25</v>
      </c>
      <c r="K10" s="978"/>
      <c r="L10" s="978"/>
      <c r="M10" s="978"/>
      <c r="N10" s="978"/>
      <c r="O10" s="2294">
        <v>45965</v>
      </c>
      <c r="P10" s="978">
        <v>30</v>
      </c>
      <c r="Q10" s="2294">
        <v>45966</v>
      </c>
      <c r="R10" s="1265" t="s">
        <v>273</v>
      </c>
      <c r="S10" s="978"/>
      <c r="T10" s="978">
        <v>0</v>
      </c>
      <c r="U10" s="1265" t="s">
        <v>16</v>
      </c>
      <c r="V10" s="1265" t="s">
        <v>16</v>
      </c>
      <c r="W10" s="978" t="s">
        <v>48</v>
      </c>
      <c r="X10" s="1265" t="s">
        <v>310</v>
      </c>
      <c r="Y10" s="978"/>
      <c r="Z10" s="1265" t="s">
        <v>32</v>
      </c>
      <c r="AA10" s="1265" t="s">
        <v>260</v>
      </c>
      <c r="AB10" s="978" t="s">
        <v>3874</v>
      </c>
      <c r="AC10" s="978" t="s">
        <v>3879</v>
      </c>
      <c r="AD10" s="2291"/>
      <c r="AE10" s="2283"/>
    </row>
    <row r="11" spans="1:31" ht="15" customHeight="1" thickBot="1">
      <c r="A11" s="1265" t="s">
        <v>25</v>
      </c>
      <c r="B11" s="1265" t="s">
        <v>25</v>
      </c>
      <c r="C11" s="978" t="s">
        <v>1887</v>
      </c>
      <c r="D11" s="978" t="s">
        <v>1888</v>
      </c>
      <c r="E11" s="978" t="s">
        <v>110</v>
      </c>
      <c r="F11" s="1265">
        <v>709143704</v>
      </c>
      <c r="G11" s="1265">
        <v>768527399</v>
      </c>
      <c r="H11" s="978">
        <v>5.8446749999999996</v>
      </c>
      <c r="I11" s="978">
        <v>-5.3369340000000003</v>
      </c>
      <c r="J11" s="978" t="s">
        <v>25</v>
      </c>
      <c r="K11" s="978"/>
      <c r="L11" s="978"/>
      <c r="M11" s="978"/>
      <c r="N11" s="978"/>
      <c r="O11" s="2295">
        <v>45779</v>
      </c>
      <c r="P11" s="978">
        <v>216</v>
      </c>
      <c r="Q11" s="2295">
        <v>45780</v>
      </c>
      <c r="R11" s="978" t="s">
        <v>273</v>
      </c>
      <c r="S11" s="978"/>
      <c r="T11" s="978"/>
      <c r="U11" s="1265" t="s">
        <v>16</v>
      </c>
      <c r="V11" s="1265" t="s">
        <v>16</v>
      </c>
      <c r="W11" s="978" t="s">
        <v>48</v>
      </c>
      <c r="X11" s="978" t="s">
        <v>310</v>
      </c>
      <c r="Y11" s="978"/>
      <c r="Z11" s="1265" t="s">
        <v>32</v>
      </c>
      <c r="AA11" s="978" t="s">
        <v>260</v>
      </c>
      <c r="AB11" s="1265" t="s">
        <v>3874</v>
      </c>
      <c r="AC11" s="978" t="s">
        <v>2765</v>
      </c>
      <c r="AD11" s="2291"/>
      <c r="AE11" s="2283" t="e">
        <f>+COUNTIF([1]Feuil1!A:A,C11)</f>
        <v>#VALUE!</v>
      </c>
    </row>
    <row r="12" spans="1:31" ht="15" customHeight="1" thickBot="1">
      <c r="A12" s="1265" t="s">
        <v>25</v>
      </c>
      <c r="B12" s="1265" t="s">
        <v>25</v>
      </c>
      <c r="C12" s="978" t="s">
        <v>1906</v>
      </c>
      <c r="D12" s="978" t="s">
        <v>1907</v>
      </c>
      <c r="E12" s="978" t="s">
        <v>1908</v>
      </c>
      <c r="F12" s="1265">
        <v>173436996</v>
      </c>
      <c r="G12" s="1265">
        <v>707566528</v>
      </c>
      <c r="H12" s="978">
        <v>5.8436199999999996</v>
      </c>
      <c r="I12" s="978">
        <v>-5.3383880000000001</v>
      </c>
      <c r="J12" s="978" t="s">
        <v>25</v>
      </c>
      <c r="K12" s="978"/>
      <c r="L12" s="978"/>
      <c r="M12" s="978"/>
      <c r="N12" s="978"/>
      <c r="O12" s="2295">
        <v>45782</v>
      </c>
      <c r="P12" s="978">
        <v>213</v>
      </c>
      <c r="Q12" s="2295">
        <v>45783</v>
      </c>
      <c r="R12" s="978" t="s">
        <v>273</v>
      </c>
      <c r="S12" s="978"/>
      <c r="T12" s="978"/>
      <c r="U12" s="1265" t="s">
        <v>16</v>
      </c>
      <c r="V12" s="1265" t="s">
        <v>16</v>
      </c>
      <c r="W12" s="978" t="s">
        <v>48</v>
      </c>
      <c r="X12" s="978" t="s">
        <v>310</v>
      </c>
      <c r="Y12" s="978"/>
      <c r="Z12" s="1265" t="s">
        <v>32</v>
      </c>
      <c r="AA12" s="978" t="s">
        <v>260</v>
      </c>
      <c r="AB12" s="1265" t="s">
        <v>3874</v>
      </c>
      <c r="AC12" s="978" t="s">
        <v>2765</v>
      </c>
      <c r="AD12" s="2291"/>
      <c r="AE12" s="2283" t="e">
        <f>+COUNTIF([1]Feuil1!A:A,C12)</f>
        <v>#VALUE!</v>
      </c>
    </row>
    <row r="13" spans="1:31" ht="15" customHeight="1" thickBot="1">
      <c r="A13" s="1265" t="s">
        <v>25</v>
      </c>
      <c r="B13" s="1265" t="s">
        <v>25</v>
      </c>
      <c r="C13" s="1265" t="s">
        <v>3813</v>
      </c>
      <c r="D13" s="1265" t="s">
        <v>3814</v>
      </c>
      <c r="E13" s="1265" t="s">
        <v>3314</v>
      </c>
      <c r="F13" s="1265">
        <v>789276710</v>
      </c>
      <c r="G13" s="1265">
        <v>506102780</v>
      </c>
      <c r="H13" s="978">
        <v>5.8395200000000003</v>
      </c>
      <c r="I13" s="978">
        <v>-5.3583100000000004</v>
      </c>
      <c r="J13" s="1265" t="s">
        <v>25</v>
      </c>
      <c r="K13" s="978"/>
      <c r="L13" s="978"/>
      <c r="M13" s="978"/>
      <c r="N13" s="978"/>
      <c r="O13" s="2294">
        <v>45960</v>
      </c>
      <c r="P13" s="978">
        <v>35</v>
      </c>
      <c r="Q13" s="2294">
        <v>45961</v>
      </c>
      <c r="R13" s="1265" t="s">
        <v>273</v>
      </c>
      <c r="S13" s="978"/>
      <c r="T13" s="978">
        <v>0</v>
      </c>
      <c r="U13" s="1265" t="s">
        <v>16</v>
      </c>
      <c r="V13" s="1265" t="s">
        <v>16</v>
      </c>
      <c r="W13" s="978" t="s">
        <v>48</v>
      </c>
      <c r="X13" s="1265" t="s">
        <v>310</v>
      </c>
      <c r="Y13" s="978"/>
      <c r="Z13" s="1265" t="s">
        <v>32</v>
      </c>
      <c r="AA13" s="1265" t="s">
        <v>260</v>
      </c>
      <c r="AB13" s="978" t="s">
        <v>3874</v>
      </c>
      <c r="AC13" s="978" t="s">
        <v>4350</v>
      </c>
      <c r="AD13" s="2291"/>
      <c r="AE13" s="2283" t="e">
        <f>+COUNTIF([1]Feuil1!A:A,C13)</f>
        <v>#VALUE!</v>
      </c>
    </row>
    <row r="14" spans="1:31" ht="15" customHeight="1" thickBot="1">
      <c r="A14" s="1265" t="s">
        <v>25</v>
      </c>
      <c r="B14" s="1265" t="s">
        <v>25</v>
      </c>
      <c r="C14" s="1265" t="s">
        <v>3378</v>
      </c>
      <c r="D14" s="1265" t="s">
        <v>3379</v>
      </c>
      <c r="E14" s="1265" t="s">
        <v>2057</v>
      </c>
      <c r="F14" s="1265">
        <v>141428990</v>
      </c>
      <c r="G14" s="1265">
        <v>709093798</v>
      </c>
      <c r="H14" s="978">
        <v>5.8534199999999998</v>
      </c>
      <c r="I14" s="978">
        <v>-5.3511499999999996</v>
      </c>
      <c r="J14" s="1265" t="s">
        <v>25</v>
      </c>
      <c r="K14" s="978"/>
      <c r="L14" s="978"/>
      <c r="M14" s="978"/>
      <c r="N14" s="978"/>
      <c r="O14" s="2294">
        <v>45938</v>
      </c>
      <c r="P14" s="978">
        <v>56</v>
      </c>
      <c r="Q14" s="2294">
        <v>45940</v>
      </c>
      <c r="R14" s="1265" t="s">
        <v>273</v>
      </c>
      <c r="S14" s="978"/>
      <c r="T14" s="978">
        <v>0</v>
      </c>
      <c r="U14" s="1265" t="s">
        <v>16</v>
      </c>
      <c r="V14" s="1265" t="s">
        <v>16</v>
      </c>
      <c r="W14" s="978" t="s">
        <v>48</v>
      </c>
      <c r="X14" s="1265" t="s">
        <v>310</v>
      </c>
      <c r="Y14" s="978"/>
      <c r="Z14" s="1265" t="s">
        <v>32</v>
      </c>
      <c r="AA14" s="978" t="s">
        <v>260</v>
      </c>
      <c r="AB14" s="978" t="s">
        <v>2943</v>
      </c>
      <c r="AC14" s="978" t="s">
        <v>3625</v>
      </c>
      <c r="AD14" s="2291"/>
      <c r="AE14" s="2283" t="e">
        <f>+COUNTIF([1]Feuil1!A:A,C14)</f>
        <v>#VALUE!</v>
      </c>
    </row>
    <row r="15" spans="1:31" ht="15" customHeight="1" thickBot="1">
      <c r="A15" s="1265" t="s">
        <v>25</v>
      </c>
      <c r="B15" s="1265" t="s">
        <v>25</v>
      </c>
      <c r="C15" s="1265" t="s">
        <v>2974</v>
      </c>
      <c r="D15" s="1265" t="s">
        <v>2975</v>
      </c>
      <c r="E15" s="1265" t="s">
        <v>2236</v>
      </c>
      <c r="F15" s="1265">
        <v>789397027</v>
      </c>
      <c r="G15" s="1265">
        <v>789000000</v>
      </c>
      <c r="H15" s="978">
        <v>5.8472499999999998</v>
      </c>
      <c r="I15" s="978">
        <v>-5.3432700000000004</v>
      </c>
      <c r="J15" s="1265" t="s">
        <v>25</v>
      </c>
      <c r="K15" s="978"/>
      <c r="L15" s="978"/>
      <c r="M15" s="978"/>
      <c r="N15" s="978"/>
      <c r="O15" s="2294">
        <v>45903</v>
      </c>
      <c r="P15" s="978">
        <v>90</v>
      </c>
      <c r="Q15" s="2294">
        <v>45906</v>
      </c>
      <c r="R15" s="1265" t="s">
        <v>273</v>
      </c>
      <c r="S15" s="1265"/>
      <c r="T15" s="1265"/>
      <c r="U15" s="1265" t="s">
        <v>16</v>
      </c>
      <c r="V15" s="1265" t="s">
        <v>16</v>
      </c>
      <c r="W15" s="978" t="s">
        <v>48</v>
      </c>
      <c r="X15" s="1265" t="s">
        <v>310</v>
      </c>
      <c r="Y15" s="1265"/>
      <c r="Z15" s="1265" t="s">
        <v>32</v>
      </c>
      <c r="AA15" s="1265" t="s">
        <v>260</v>
      </c>
      <c r="AB15" s="1265" t="s">
        <v>2943</v>
      </c>
      <c r="AC15" s="978" t="s">
        <v>4346</v>
      </c>
      <c r="AD15" s="2291"/>
      <c r="AE15" s="2283" t="e">
        <f>+COUNTIF([1]Feuil1!A:A,C15)</f>
        <v>#VALUE!</v>
      </c>
    </row>
    <row r="16" spans="1:31" ht="15" customHeight="1" thickBot="1">
      <c r="A16" s="978" t="s">
        <v>25</v>
      </c>
      <c r="B16" s="978" t="s">
        <v>25</v>
      </c>
      <c r="C16" s="1265" t="s">
        <v>2858</v>
      </c>
      <c r="D16" s="1265" t="s">
        <v>2859</v>
      </c>
      <c r="E16" s="1265" t="s">
        <v>2860</v>
      </c>
      <c r="F16" s="1265">
        <v>160114843</v>
      </c>
      <c r="G16" s="1265">
        <v>586761014</v>
      </c>
      <c r="H16" s="978">
        <v>5.8506600000000004</v>
      </c>
      <c r="I16" s="978">
        <v>-5.3590400000000002</v>
      </c>
      <c r="J16" s="1265" t="s">
        <v>25</v>
      </c>
      <c r="K16" s="978"/>
      <c r="L16" s="978"/>
      <c r="M16" s="978"/>
      <c r="N16" s="978"/>
      <c r="O16" s="2294">
        <v>45894</v>
      </c>
      <c r="P16" s="978">
        <v>101</v>
      </c>
      <c r="Q16" s="2294">
        <v>45895</v>
      </c>
      <c r="R16" s="1265" t="s">
        <v>273</v>
      </c>
      <c r="S16" s="978"/>
      <c r="T16" s="978"/>
      <c r="U16" s="1265" t="s">
        <v>16</v>
      </c>
      <c r="V16" s="1265" t="s">
        <v>16</v>
      </c>
      <c r="W16" s="978" t="s">
        <v>48</v>
      </c>
      <c r="X16" s="1265" t="s">
        <v>310</v>
      </c>
      <c r="Y16" s="978"/>
      <c r="Z16" s="1265" t="s">
        <v>32</v>
      </c>
      <c r="AA16" s="1265" t="s">
        <v>260</v>
      </c>
      <c r="AB16" s="1265" t="s">
        <v>2943</v>
      </c>
      <c r="AC16" s="978" t="s">
        <v>2867</v>
      </c>
      <c r="AD16" s="2291"/>
      <c r="AE16" s="2283" t="e">
        <f>+COUNTIF([1]Feuil1!A:A,C16)</f>
        <v>#VALUE!</v>
      </c>
    </row>
    <row r="17" spans="1:31" ht="15" customHeight="1" thickBot="1">
      <c r="A17" s="1265" t="s">
        <v>25</v>
      </c>
      <c r="B17" s="1265" t="s">
        <v>25</v>
      </c>
      <c r="C17" s="1265" t="s">
        <v>2913</v>
      </c>
      <c r="D17" s="1265" t="s">
        <v>2914</v>
      </c>
      <c r="E17" s="1265" t="s">
        <v>2236</v>
      </c>
      <c r="F17" s="1265">
        <v>759083072</v>
      </c>
      <c r="G17" s="1265">
        <v>759083072</v>
      </c>
      <c r="H17" s="978">
        <v>5.8457499999999998</v>
      </c>
      <c r="I17" s="978">
        <v>-5.3516000000000004</v>
      </c>
      <c r="J17" s="978" t="s">
        <v>25</v>
      </c>
      <c r="K17" s="978"/>
      <c r="L17" s="978"/>
      <c r="M17" s="978"/>
      <c r="N17" s="978"/>
      <c r="O17" s="2294">
        <v>45898</v>
      </c>
      <c r="P17" s="978">
        <v>97</v>
      </c>
      <c r="Q17" s="2294">
        <v>45899</v>
      </c>
      <c r="R17" s="1265" t="s">
        <v>273</v>
      </c>
      <c r="S17" s="978"/>
      <c r="T17" s="978"/>
      <c r="U17" s="1265" t="s">
        <v>16</v>
      </c>
      <c r="V17" s="1265" t="s">
        <v>16</v>
      </c>
      <c r="W17" s="978" t="s">
        <v>48</v>
      </c>
      <c r="X17" s="1265" t="s">
        <v>310</v>
      </c>
      <c r="Y17" s="978"/>
      <c r="Z17" s="1265" t="s">
        <v>32</v>
      </c>
      <c r="AA17" s="978" t="s">
        <v>260</v>
      </c>
      <c r="AB17" s="1265" t="s">
        <v>2943</v>
      </c>
      <c r="AC17" s="978" t="s">
        <v>2930</v>
      </c>
      <c r="AD17" s="2291"/>
      <c r="AE17" s="2283" t="e">
        <f>+COUNTIF([1]Feuil1!A:A,C17)</f>
        <v>#VALUE!</v>
      </c>
    </row>
    <row r="18" spans="1:31" ht="15" customHeight="1" thickBot="1">
      <c r="A18" s="1265" t="s">
        <v>25</v>
      </c>
      <c r="B18" s="1265" t="s">
        <v>25</v>
      </c>
      <c r="C18" s="1265" t="s">
        <v>2624</v>
      </c>
      <c r="D18" s="1265" t="s">
        <v>2625</v>
      </c>
      <c r="E18" s="1265" t="s">
        <v>2626</v>
      </c>
      <c r="F18" s="1265">
        <v>778536245</v>
      </c>
      <c r="G18" s="1265">
        <v>759137658</v>
      </c>
      <c r="H18" s="978">
        <v>5.8472499999999998</v>
      </c>
      <c r="I18" s="978">
        <v>-5.3432599999999999</v>
      </c>
      <c r="J18" s="1265" t="s">
        <v>189</v>
      </c>
      <c r="K18" s="978" t="s">
        <v>274</v>
      </c>
      <c r="L18" s="978" t="s">
        <v>2798</v>
      </c>
      <c r="M18" s="978"/>
      <c r="N18" s="978"/>
      <c r="O18" s="2294">
        <v>45870</v>
      </c>
      <c r="P18" s="978">
        <v>125</v>
      </c>
      <c r="Q18" s="2294">
        <v>45871</v>
      </c>
      <c r="R18" s="978" t="s">
        <v>273</v>
      </c>
      <c r="S18" s="978"/>
      <c r="T18" s="978">
        <v>2</v>
      </c>
      <c r="U18" s="978" t="s">
        <v>16</v>
      </c>
      <c r="V18" s="978" t="s">
        <v>16</v>
      </c>
      <c r="W18" s="978" t="s">
        <v>48</v>
      </c>
      <c r="X18" s="978" t="s">
        <v>310</v>
      </c>
      <c r="Y18" s="978">
        <v>250</v>
      </c>
      <c r="Z18" s="978" t="s">
        <v>32</v>
      </c>
      <c r="AA18" s="978" t="s">
        <v>260</v>
      </c>
      <c r="AB18" s="1265" t="s">
        <v>2943</v>
      </c>
      <c r="AC18" s="978" t="s">
        <v>4360</v>
      </c>
      <c r="AD18" s="2291"/>
      <c r="AE18" s="2283" t="e">
        <f>+COUNTIF([1]Feuil1!A:A,C18)</f>
        <v>#VALUE!</v>
      </c>
    </row>
    <row r="19" spans="1:31" ht="15" customHeight="1" thickBot="1">
      <c r="A19" s="1265" t="s">
        <v>25</v>
      </c>
      <c r="B19" s="1265" t="s">
        <v>25</v>
      </c>
      <c r="C19" s="1265" t="s">
        <v>1755</v>
      </c>
      <c r="D19" s="1265" t="s">
        <v>1756</v>
      </c>
      <c r="E19" s="1265" t="s">
        <v>996</v>
      </c>
      <c r="F19" s="1265">
        <v>757811691</v>
      </c>
      <c r="G19" s="2297">
        <v>769000000</v>
      </c>
      <c r="H19" s="978">
        <v>5.8460299999999998</v>
      </c>
      <c r="I19" s="978">
        <v>-5.3580100000000002</v>
      </c>
      <c r="J19" s="1265" t="s">
        <v>25</v>
      </c>
      <c r="K19" s="978"/>
      <c r="L19" s="978"/>
      <c r="M19" s="978"/>
      <c r="N19" s="978"/>
      <c r="O19" s="2294">
        <v>45764</v>
      </c>
      <c r="P19" s="978">
        <v>231</v>
      </c>
      <c r="Q19" s="2294">
        <v>45765</v>
      </c>
      <c r="R19" s="978" t="s">
        <v>273</v>
      </c>
      <c r="S19" s="978"/>
      <c r="T19" s="978"/>
      <c r="U19" s="1265" t="s">
        <v>16</v>
      </c>
      <c r="V19" s="1265" t="s">
        <v>16</v>
      </c>
      <c r="W19" s="978" t="s">
        <v>48</v>
      </c>
      <c r="X19" s="978" t="s">
        <v>310</v>
      </c>
      <c r="Y19" s="978"/>
      <c r="Z19" s="1265" t="s">
        <v>32</v>
      </c>
      <c r="AA19" s="978" t="s">
        <v>260</v>
      </c>
      <c r="AB19" s="1265" t="s">
        <v>2943</v>
      </c>
      <c r="AC19" s="978" t="s">
        <v>2765</v>
      </c>
      <c r="AD19" s="2291"/>
      <c r="AE19" s="2283" t="e">
        <f>+COUNTIF([1]Feuil1!A:A,C19)</f>
        <v>#VALUE!</v>
      </c>
    </row>
    <row r="20" spans="1:31" ht="15" customHeight="1" thickBot="1">
      <c r="A20" s="1265" t="s">
        <v>25</v>
      </c>
      <c r="B20" s="1265" t="s">
        <v>25</v>
      </c>
      <c r="C20" s="1265" t="s">
        <v>3949</v>
      </c>
      <c r="D20" s="1265" t="s">
        <v>3950</v>
      </c>
      <c r="E20" s="1265" t="s">
        <v>3951</v>
      </c>
      <c r="F20" s="1265">
        <v>140277414</v>
      </c>
      <c r="G20" s="1265">
        <v>749683411</v>
      </c>
      <c r="H20" s="978"/>
      <c r="I20" s="978"/>
      <c r="J20" s="1265" t="s">
        <v>25</v>
      </c>
      <c r="K20" s="978"/>
      <c r="L20" s="978"/>
      <c r="M20" s="978"/>
      <c r="N20" s="978"/>
      <c r="O20" s="2294">
        <v>45968</v>
      </c>
      <c r="P20" s="978">
        <v>27</v>
      </c>
      <c r="Q20" s="2294">
        <v>45969</v>
      </c>
      <c r="R20" s="1265" t="s">
        <v>273</v>
      </c>
      <c r="S20" s="1265"/>
      <c r="T20" s="1265"/>
      <c r="U20" s="1265" t="s">
        <v>16</v>
      </c>
      <c r="V20" s="1265" t="s">
        <v>16</v>
      </c>
      <c r="W20" s="978" t="s">
        <v>48</v>
      </c>
      <c r="X20" s="1265" t="s">
        <v>310</v>
      </c>
      <c r="Y20" s="1265"/>
      <c r="Z20" s="1265" t="s">
        <v>32</v>
      </c>
      <c r="AA20" s="1265" t="s">
        <v>260</v>
      </c>
      <c r="AB20" s="1265" t="s">
        <v>2943</v>
      </c>
      <c r="AC20" s="978" t="s">
        <v>4298</v>
      </c>
      <c r="AD20" s="2291"/>
      <c r="AE20" s="2283" t="e">
        <f>+COUNTIF([1]Feuil1!A:A,C20)</f>
        <v>#VALUE!</v>
      </c>
    </row>
    <row r="21" spans="1:31" ht="15" customHeight="1" thickBot="1">
      <c r="A21" s="1265" t="s">
        <v>25</v>
      </c>
      <c r="B21" s="1265" t="s">
        <v>25</v>
      </c>
      <c r="C21" s="1265" t="s">
        <v>2353</v>
      </c>
      <c r="D21" s="1265" t="s">
        <v>2354</v>
      </c>
      <c r="E21" s="1265" t="s">
        <v>2355</v>
      </c>
      <c r="F21" s="1265">
        <v>710005759</v>
      </c>
      <c r="G21" s="1265">
        <v>585192626</v>
      </c>
      <c r="H21" s="978">
        <v>5.8407</v>
      </c>
      <c r="I21" s="978">
        <v>-5.3713030000000002</v>
      </c>
      <c r="J21" s="1265" t="s">
        <v>25</v>
      </c>
      <c r="K21" s="978"/>
      <c r="L21" s="978"/>
      <c r="M21" s="978"/>
      <c r="N21" s="978"/>
      <c r="O21" s="2294">
        <v>45843</v>
      </c>
      <c r="P21" s="978">
        <v>153</v>
      </c>
      <c r="Q21" s="2294">
        <v>45843</v>
      </c>
      <c r="R21" s="1265" t="s">
        <v>273</v>
      </c>
      <c r="S21" s="1265"/>
      <c r="T21" s="1265"/>
      <c r="U21" s="1265" t="s">
        <v>16</v>
      </c>
      <c r="V21" s="1265" t="s">
        <v>16</v>
      </c>
      <c r="W21" s="978" t="s">
        <v>48</v>
      </c>
      <c r="X21" s="1265" t="s">
        <v>310</v>
      </c>
      <c r="Y21" s="1265"/>
      <c r="Z21" s="1265" t="s">
        <v>32</v>
      </c>
      <c r="AA21" s="978" t="s">
        <v>260</v>
      </c>
      <c r="AB21" s="1265" t="s">
        <v>2943</v>
      </c>
      <c r="AC21" s="978" t="s">
        <v>2769</v>
      </c>
      <c r="AD21" s="2291"/>
      <c r="AE21" s="2283" t="e">
        <f>+COUNTIF([1]Feuil1!A:A,C21)</f>
        <v>#VALUE!</v>
      </c>
    </row>
    <row r="22" spans="1:31" ht="15" customHeight="1" thickBot="1">
      <c r="A22" s="1265" t="s">
        <v>25</v>
      </c>
      <c r="B22" s="1265" t="s">
        <v>25</v>
      </c>
      <c r="C22" s="2298" t="s">
        <v>3924</v>
      </c>
      <c r="D22" s="2298" t="s">
        <v>3925</v>
      </c>
      <c r="E22" s="2298" t="s">
        <v>3926</v>
      </c>
      <c r="F22" s="2298">
        <v>503336181</v>
      </c>
      <c r="G22" s="2298">
        <v>556864776</v>
      </c>
      <c r="H22" s="978">
        <v>5.8141600000000002</v>
      </c>
      <c r="I22" s="978">
        <v>-5.3642799999999999</v>
      </c>
      <c r="J22" s="2298" t="s">
        <v>4283</v>
      </c>
      <c r="K22" s="978"/>
      <c r="L22" s="978"/>
      <c r="M22" s="978"/>
      <c r="N22" s="978"/>
      <c r="O22" s="2294">
        <v>45965</v>
      </c>
      <c r="P22" s="978">
        <v>29</v>
      </c>
      <c r="Q22" s="2294">
        <v>45967</v>
      </c>
      <c r="R22" s="1265" t="s">
        <v>273</v>
      </c>
      <c r="S22" s="1265"/>
      <c r="T22" s="1265"/>
      <c r="U22" s="1265" t="s">
        <v>16</v>
      </c>
      <c r="V22" s="1265" t="s">
        <v>16</v>
      </c>
      <c r="W22" s="978" t="s">
        <v>48</v>
      </c>
      <c r="X22" s="1265" t="s">
        <v>310</v>
      </c>
      <c r="Y22" s="1265"/>
      <c r="Z22" s="1265" t="s">
        <v>32</v>
      </c>
      <c r="AA22" s="1265" t="s">
        <v>260</v>
      </c>
      <c r="AB22" s="1265" t="s">
        <v>2943</v>
      </c>
      <c r="AC22" s="978" t="s">
        <v>4351</v>
      </c>
      <c r="AD22" s="2291"/>
      <c r="AE22" s="2283" t="e">
        <f>+COUNTIF([1]Feuil1!A:A,C22)</f>
        <v>#VALUE!</v>
      </c>
    </row>
    <row r="23" spans="1:31" ht="15" customHeight="1" thickBot="1">
      <c r="A23" s="1265" t="s">
        <v>25</v>
      </c>
      <c r="B23" s="1265" t="s">
        <v>25</v>
      </c>
      <c r="C23" s="2299" t="s">
        <v>4634</v>
      </c>
      <c r="D23" s="2299" t="s">
        <v>4635</v>
      </c>
      <c r="E23" s="2299" t="s">
        <v>3053</v>
      </c>
      <c r="F23" s="2299">
        <v>171728847</v>
      </c>
      <c r="G23" s="2299">
        <v>757650984</v>
      </c>
      <c r="H23" s="978">
        <v>5.8049200000000001</v>
      </c>
      <c r="I23" s="978">
        <v>-5.3633699999999997</v>
      </c>
      <c r="J23" s="2299" t="s">
        <v>25</v>
      </c>
      <c r="K23" s="978"/>
      <c r="L23" s="978"/>
      <c r="M23" s="978"/>
      <c r="N23" s="978"/>
      <c r="O23" s="2300">
        <v>46012</v>
      </c>
      <c r="P23" s="978"/>
      <c r="Q23" s="2300">
        <v>46015</v>
      </c>
      <c r="R23" s="1265" t="s">
        <v>273</v>
      </c>
      <c r="S23" s="1265"/>
      <c r="T23" s="1265"/>
      <c r="U23" s="1265" t="s">
        <v>16</v>
      </c>
      <c r="V23" s="1265" t="s">
        <v>16</v>
      </c>
      <c r="W23" s="978" t="s">
        <v>48</v>
      </c>
      <c r="X23" s="1265" t="s">
        <v>310</v>
      </c>
      <c r="Y23" s="1265"/>
      <c r="Z23" s="1265" t="s">
        <v>32</v>
      </c>
      <c r="AA23" s="978" t="s">
        <v>260</v>
      </c>
      <c r="AB23" s="978" t="s">
        <v>2943</v>
      </c>
      <c r="AC23" s="978" t="s">
        <v>4640</v>
      </c>
      <c r="AD23" s="1052"/>
      <c r="AE23" s="2283" t="e">
        <f>+COUNTIF([1]Feuil1!A:A,C23)</f>
        <v>#VALUE!</v>
      </c>
    </row>
    <row r="24" spans="1:31" ht="15" customHeight="1" thickBot="1">
      <c r="A24" s="1265" t="s">
        <v>25</v>
      </c>
      <c r="B24" s="1265" t="s">
        <v>25</v>
      </c>
      <c r="C24" s="2301" t="s">
        <v>4718</v>
      </c>
      <c r="D24" s="2301" t="s">
        <v>4719</v>
      </c>
      <c r="E24" s="2302" t="s">
        <v>4720</v>
      </c>
      <c r="F24" s="2301">
        <v>708560773</v>
      </c>
      <c r="G24" s="2301">
        <v>707472259</v>
      </c>
      <c r="H24" s="978"/>
      <c r="I24" s="978"/>
      <c r="J24" s="2301" t="s">
        <v>25</v>
      </c>
      <c r="K24" s="978"/>
      <c r="L24" s="978"/>
      <c r="M24" s="978"/>
      <c r="N24" s="978"/>
      <c r="O24" s="2303">
        <v>46021</v>
      </c>
      <c r="P24" s="978"/>
      <c r="Q24" s="2303">
        <v>46022</v>
      </c>
      <c r="R24" s="1265" t="s">
        <v>273</v>
      </c>
      <c r="S24" s="1265"/>
      <c r="T24" s="1265"/>
      <c r="U24" s="1265" t="s">
        <v>16</v>
      </c>
      <c r="V24" s="1265" t="s">
        <v>16</v>
      </c>
      <c r="W24" s="978" t="s">
        <v>48</v>
      </c>
      <c r="X24" s="1265" t="s">
        <v>310</v>
      </c>
      <c r="Y24" s="1265"/>
      <c r="Z24" s="1265" t="s">
        <v>32</v>
      </c>
      <c r="AA24" s="2304" t="s">
        <v>260</v>
      </c>
      <c r="AB24" s="2305" t="s">
        <v>2943</v>
      </c>
      <c r="AC24" s="2296" t="s">
        <v>4738</v>
      </c>
      <c r="AD24" s="1052"/>
      <c r="AE24" s="2283" t="e">
        <f>+COUNTIF([1]Feuil1!A:A,C24)</f>
        <v>#VALUE!</v>
      </c>
    </row>
    <row r="25" spans="1:31" ht="15" customHeight="1" thickBot="1">
      <c r="A25" s="1265" t="s">
        <v>25</v>
      </c>
      <c r="B25" s="1265" t="s">
        <v>25</v>
      </c>
      <c r="C25" s="1265" t="s">
        <v>1842</v>
      </c>
      <c r="D25" s="1265" t="s">
        <v>1843</v>
      </c>
      <c r="E25" s="1265" t="s">
        <v>110</v>
      </c>
      <c r="F25" s="1265">
        <v>777748899</v>
      </c>
      <c r="G25" s="1265">
        <v>546615163</v>
      </c>
      <c r="H25" s="978">
        <v>5.8386560000000003</v>
      </c>
      <c r="I25" s="978">
        <v>-5.3416810000000003</v>
      </c>
      <c r="J25" s="1265" t="s">
        <v>189</v>
      </c>
      <c r="K25" s="978" t="s">
        <v>274</v>
      </c>
      <c r="L25" s="978" t="s">
        <v>2801</v>
      </c>
      <c r="M25" s="978"/>
      <c r="N25" s="978"/>
      <c r="O25" s="2294">
        <v>45775</v>
      </c>
      <c r="P25" s="978">
        <v>220</v>
      </c>
      <c r="Q25" s="2294">
        <v>45776</v>
      </c>
      <c r="R25" s="978" t="s">
        <v>273</v>
      </c>
      <c r="S25" s="978"/>
      <c r="T25" s="978">
        <v>5</v>
      </c>
      <c r="U25" s="1265" t="s">
        <v>16</v>
      </c>
      <c r="V25" s="1265" t="s">
        <v>16</v>
      </c>
      <c r="W25" s="978" t="s">
        <v>48</v>
      </c>
      <c r="X25" s="978" t="s">
        <v>310</v>
      </c>
      <c r="Y25" s="978">
        <v>300</v>
      </c>
      <c r="Z25" s="1265" t="s">
        <v>32</v>
      </c>
      <c r="AA25" s="978" t="s">
        <v>260</v>
      </c>
      <c r="AB25" s="1265" t="s">
        <v>2943</v>
      </c>
      <c r="AC25" s="978" t="s">
        <v>2800</v>
      </c>
      <c r="AD25" s="2291"/>
      <c r="AE25" s="2283" t="e">
        <f>+COUNTIF([1]Feuil1!A:A,C25)</f>
        <v>#VALUE!</v>
      </c>
    </row>
    <row r="26" spans="1:31" ht="15" customHeight="1" thickBot="1">
      <c r="A26" s="1265" t="s">
        <v>25</v>
      </c>
      <c r="B26" s="1265" t="s">
        <v>25</v>
      </c>
      <c r="C26" s="1265" t="s">
        <v>1326</v>
      </c>
      <c r="D26" s="1265" t="s">
        <v>1327</v>
      </c>
      <c r="E26" s="1265" t="s">
        <v>1334</v>
      </c>
      <c r="F26" s="1265">
        <v>797000301</v>
      </c>
      <c r="G26" s="2297">
        <v>545000000</v>
      </c>
      <c r="H26" s="1265">
        <v>5.8291300000000001</v>
      </c>
      <c r="I26" s="978">
        <v>-5.3602109999999996</v>
      </c>
      <c r="J26" s="1265" t="s">
        <v>2612</v>
      </c>
      <c r="K26" s="1265" t="s">
        <v>274</v>
      </c>
      <c r="L26" s="1265" t="s">
        <v>2614</v>
      </c>
      <c r="M26" s="978"/>
      <c r="N26" s="978"/>
      <c r="O26" s="2294">
        <v>45736</v>
      </c>
      <c r="P26" s="978">
        <v>259</v>
      </c>
      <c r="Q26" s="2294">
        <v>45737</v>
      </c>
      <c r="R26" s="978" t="s">
        <v>273</v>
      </c>
      <c r="S26" s="978"/>
      <c r="T26" s="978"/>
      <c r="U26" s="1265" t="s">
        <v>16</v>
      </c>
      <c r="V26" s="1265" t="s">
        <v>16</v>
      </c>
      <c r="W26" s="978" t="s">
        <v>48</v>
      </c>
      <c r="X26" s="978" t="s">
        <v>310</v>
      </c>
      <c r="Y26" s="978">
        <v>200</v>
      </c>
      <c r="Z26" s="1265" t="s">
        <v>32</v>
      </c>
      <c r="AA26" s="1265" t="s">
        <v>260</v>
      </c>
      <c r="AB26" s="1265" t="s">
        <v>2943</v>
      </c>
      <c r="AC26" s="978" t="s">
        <v>2937</v>
      </c>
      <c r="AD26" s="2291"/>
      <c r="AE26" s="2283" t="e">
        <f>+COUNTIF([1]Feuil1!A:A,C26)</f>
        <v>#VALUE!</v>
      </c>
    </row>
    <row r="27" spans="1:31" ht="15" customHeight="1" thickBot="1">
      <c r="A27" s="978" t="s">
        <v>25</v>
      </c>
      <c r="B27" s="1265" t="s">
        <v>25</v>
      </c>
      <c r="C27" s="978" t="s">
        <v>472</v>
      </c>
      <c r="D27" s="978" t="s">
        <v>473</v>
      </c>
      <c r="E27" s="978" t="s">
        <v>110</v>
      </c>
      <c r="F27" s="1265">
        <v>748209186</v>
      </c>
      <c r="G27" s="2297">
        <v>708000000</v>
      </c>
      <c r="H27" s="978">
        <v>5.8454649999999999</v>
      </c>
      <c r="I27" s="978">
        <v>-5.3415660000000003</v>
      </c>
      <c r="J27" s="978" t="s">
        <v>189</v>
      </c>
      <c r="K27" s="978" t="s">
        <v>274</v>
      </c>
      <c r="L27" s="978" t="s">
        <v>2411</v>
      </c>
      <c r="M27" s="978"/>
      <c r="N27" s="978"/>
      <c r="O27" s="2295">
        <v>45698</v>
      </c>
      <c r="P27" s="978">
        <v>297</v>
      </c>
      <c r="Q27" s="2295">
        <v>45699</v>
      </c>
      <c r="R27" s="978" t="s">
        <v>273</v>
      </c>
      <c r="S27" s="978"/>
      <c r="T27" s="978"/>
      <c r="U27" s="978" t="s">
        <v>16</v>
      </c>
      <c r="V27" s="978" t="s">
        <v>16</v>
      </c>
      <c r="W27" s="978" t="s">
        <v>48</v>
      </c>
      <c r="X27" s="978" t="s">
        <v>310</v>
      </c>
      <c r="Y27" s="978"/>
      <c r="Z27" s="978" t="s">
        <v>32</v>
      </c>
      <c r="AA27" s="978" t="s">
        <v>260</v>
      </c>
      <c r="AB27" s="1265" t="s">
        <v>2943</v>
      </c>
      <c r="AC27" s="978" t="s">
        <v>2765</v>
      </c>
      <c r="AD27" s="2291"/>
      <c r="AE27" s="2283" t="e">
        <f>+COUNTIF([1]Feuil1!A:A,C27)</f>
        <v>#VALUE!</v>
      </c>
    </row>
    <row r="28" spans="1:31" ht="15" customHeight="1" thickBot="1">
      <c r="A28" s="1265" t="s">
        <v>25</v>
      </c>
      <c r="B28" s="1265" t="s">
        <v>25</v>
      </c>
      <c r="C28" s="1265" t="s">
        <v>3246</v>
      </c>
      <c r="D28" s="1265" t="s">
        <v>3247</v>
      </c>
      <c r="E28" s="1265" t="s">
        <v>3248</v>
      </c>
      <c r="F28" s="1265">
        <v>141001281</v>
      </c>
      <c r="G28" s="1265">
        <v>707910957</v>
      </c>
      <c r="H28" s="978">
        <v>5.8554700000000004</v>
      </c>
      <c r="I28" s="978">
        <v>-5.3491099999999996</v>
      </c>
      <c r="J28" s="978" t="s">
        <v>25</v>
      </c>
      <c r="K28" s="978"/>
      <c r="L28" s="978"/>
      <c r="M28" s="978"/>
      <c r="N28" s="978"/>
      <c r="O28" s="2294">
        <v>45926</v>
      </c>
      <c r="P28" s="978">
        <v>66</v>
      </c>
      <c r="Q28" s="2294">
        <v>45930</v>
      </c>
      <c r="R28" s="1265" t="s">
        <v>273</v>
      </c>
      <c r="S28" s="1265"/>
      <c r="T28" s="1265"/>
      <c r="U28" s="1265" t="s">
        <v>16</v>
      </c>
      <c r="V28" s="1265" t="s">
        <v>16</v>
      </c>
      <c r="W28" s="978" t="s">
        <v>48</v>
      </c>
      <c r="X28" s="1265" t="s">
        <v>310</v>
      </c>
      <c r="Y28" s="1265"/>
      <c r="Z28" s="1265" t="s">
        <v>32</v>
      </c>
      <c r="AA28" s="978" t="s">
        <v>260</v>
      </c>
      <c r="AB28" s="1265" t="s">
        <v>2943</v>
      </c>
      <c r="AC28" s="978" t="s">
        <v>4537</v>
      </c>
      <c r="AD28" s="2291"/>
      <c r="AE28" s="2283" t="e">
        <f>+COUNTIF([1]Feuil1!A:A,C28)</f>
        <v>#VALUE!</v>
      </c>
    </row>
    <row r="29" spans="1:31" ht="15" customHeight="1" thickBot="1">
      <c r="A29" s="1265" t="s">
        <v>25</v>
      </c>
      <c r="B29" s="1265" t="s">
        <v>25</v>
      </c>
      <c r="C29" s="1265" t="s">
        <v>1827</v>
      </c>
      <c r="D29" s="1265" t="s">
        <v>568</v>
      </c>
      <c r="E29" s="1265" t="s">
        <v>35</v>
      </c>
      <c r="F29" s="1265">
        <v>161329783</v>
      </c>
      <c r="G29" s="1265">
        <v>703634067</v>
      </c>
      <c r="H29" s="1265">
        <v>5.8380299999999998</v>
      </c>
      <c r="I29" s="978">
        <v>-5.8076999999999996</v>
      </c>
      <c r="J29" s="1265" t="s">
        <v>25</v>
      </c>
      <c r="K29" s="978"/>
      <c r="L29" s="978"/>
      <c r="M29" s="978"/>
      <c r="N29" s="978"/>
      <c r="O29" s="2294">
        <v>45772</v>
      </c>
      <c r="P29" s="978">
        <v>223</v>
      </c>
      <c r="Q29" s="2294">
        <v>45773</v>
      </c>
      <c r="R29" s="978" t="s">
        <v>273</v>
      </c>
      <c r="S29" s="978"/>
      <c r="T29" s="978"/>
      <c r="U29" s="1265" t="s">
        <v>16</v>
      </c>
      <c r="V29" s="1265" t="s">
        <v>16</v>
      </c>
      <c r="W29" s="978" t="s">
        <v>48</v>
      </c>
      <c r="X29" s="978" t="s">
        <v>310</v>
      </c>
      <c r="Y29" s="978"/>
      <c r="Z29" s="1265" t="s">
        <v>32</v>
      </c>
      <c r="AA29" s="978" t="s">
        <v>260</v>
      </c>
      <c r="AB29" s="1265" t="s">
        <v>2943</v>
      </c>
      <c r="AC29" s="978" t="s">
        <v>2765</v>
      </c>
      <c r="AD29" s="2291"/>
      <c r="AE29" s="2283" t="e">
        <f>+COUNTIF([1]Feuil1!A:A,C29)</f>
        <v>#VALUE!</v>
      </c>
    </row>
    <row r="30" spans="1:31" ht="15" customHeight="1" thickBot="1">
      <c r="A30" s="1265" t="s">
        <v>25</v>
      </c>
      <c r="B30" s="1265" t="s">
        <v>25</v>
      </c>
      <c r="C30" s="303" t="s">
        <v>4394</v>
      </c>
      <c r="D30" s="303" t="s">
        <v>4395</v>
      </c>
      <c r="E30" s="303" t="s">
        <v>4396</v>
      </c>
      <c r="F30" s="303">
        <v>748678549</v>
      </c>
      <c r="G30" s="303">
        <v>505915905</v>
      </c>
      <c r="H30" s="978">
        <v>5.804074</v>
      </c>
      <c r="I30" s="978">
        <v>-5.3637100000000002</v>
      </c>
      <c r="J30" s="303" t="s">
        <v>25</v>
      </c>
      <c r="K30" s="978"/>
      <c r="L30" s="978"/>
      <c r="M30" s="978"/>
      <c r="N30" s="978"/>
      <c r="O30" s="334">
        <v>45996</v>
      </c>
      <c r="P30" s="978"/>
      <c r="Q30" s="334">
        <v>45997</v>
      </c>
      <c r="R30" s="1265" t="s">
        <v>273</v>
      </c>
      <c r="S30" s="1265"/>
      <c r="T30" s="1265"/>
      <c r="U30" s="1265" t="s">
        <v>16</v>
      </c>
      <c r="V30" s="1265" t="s">
        <v>16</v>
      </c>
      <c r="W30" s="978" t="s">
        <v>48</v>
      </c>
      <c r="X30" s="1265" t="s">
        <v>310</v>
      </c>
      <c r="Y30" s="1265"/>
      <c r="Z30" s="1265" t="s">
        <v>32</v>
      </c>
      <c r="AA30" s="1265" t="s">
        <v>260</v>
      </c>
      <c r="AB30" s="978" t="s">
        <v>2943</v>
      </c>
      <c r="AC30" s="978" t="s">
        <v>4403</v>
      </c>
      <c r="AD30" s="1052"/>
      <c r="AE30" s="2283" t="e">
        <f>+COUNTIF([1]Feuil1!A:A,C30)</f>
        <v>#VALUE!</v>
      </c>
    </row>
    <row r="31" spans="1:31" ht="15" customHeight="1" thickBot="1">
      <c r="A31" s="1265" t="s">
        <v>25</v>
      </c>
      <c r="B31" s="1265" t="s">
        <v>25</v>
      </c>
      <c r="C31" s="1265" t="s">
        <v>2435</v>
      </c>
      <c r="D31" s="1265" t="s">
        <v>2436</v>
      </c>
      <c r="E31" s="1265" t="s">
        <v>2437</v>
      </c>
      <c r="F31" s="1265">
        <v>701609464</v>
      </c>
      <c r="G31" s="1265">
        <v>701609464</v>
      </c>
      <c r="H31" s="978">
        <v>5.8329599999999999</v>
      </c>
      <c r="I31" s="978">
        <v>-5.34931</v>
      </c>
      <c r="J31" s="1265" t="s">
        <v>25</v>
      </c>
      <c r="K31" s="978"/>
      <c r="L31" s="978"/>
      <c r="M31" s="978"/>
      <c r="N31" s="978"/>
      <c r="O31" s="2294">
        <v>45855</v>
      </c>
      <c r="P31" s="978">
        <v>140</v>
      </c>
      <c r="Q31" s="2294">
        <v>45856</v>
      </c>
      <c r="R31" s="1265" t="s">
        <v>273</v>
      </c>
      <c r="S31" s="1265"/>
      <c r="T31" s="1265"/>
      <c r="U31" s="1265" t="s">
        <v>16</v>
      </c>
      <c r="V31" s="1265" t="s">
        <v>16</v>
      </c>
      <c r="W31" s="978" t="s">
        <v>48</v>
      </c>
      <c r="X31" s="1265" t="s">
        <v>310</v>
      </c>
      <c r="Y31" s="1265"/>
      <c r="Z31" s="1265" t="s">
        <v>32</v>
      </c>
      <c r="AA31" s="978" t="s">
        <v>260</v>
      </c>
      <c r="AB31" s="1265" t="s">
        <v>2943</v>
      </c>
      <c r="AC31" s="978" t="s">
        <v>2477</v>
      </c>
      <c r="AD31" s="2291"/>
      <c r="AE31" s="2283" t="e">
        <f>+COUNTIF([1]Feuil1!A:A,C31)</f>
        <v>#VALUE!</v>
      </c>
    </row>
    <row r="32" spans="1:31" ht="15" customHeight="1" thickBot="1">
      <c r="A32" s="1265" t="s">
        <v>25</v>
      </c>
      <c r="B32" s="1265" t="s">
        <v>25</v>
      </c>
      <c r="C32" s="1265" t="s">
        <v>1725</v>
      </c>
      <c r="D32" s="1265" t="s">
        <v>1726</v>
      </c>
      <c r="E32" s="1265" t="s">
        <v>1727</v>
      </c>
      <c r="F32" s="1265">
        <v>103592036</v>
      </c>
      <c r="G32" s="2297">
        <v>104000000</v>
      </c>
      <c r="H32" s="1265">
        <v>5.8470190000000004</v>
      </c>
      <c r="I32" s="978">
        <v>-5.357253</v>
      </c>
      <c r="J32" s="1265" t="s">
        <v>25</v>
      </c>
      <c r="K32" s="978"/>
      <c r="L32" s="978"/>
      <c r="M32" s="978"/>
      <c r="N32" s="978"/>
      <c r="O32" s="2294">
        <v>45762</v>
      </c>
      <c r="P32" s="978">
        <v>233</v>
      </c>
      <c r="Q32" s="2294">
        <v>45763</v>
      </c>
      <c r="R32" s="978" t="s">
        <v>273</v>
      </c>
      <c r="S32" s="978"/>
      <c r="T32" s="978"/>
      <c r="U32" s="1265" t="s">
        <v>16</v>
      </c>
      <c r="V32" s="1265" t="s">
        <v>16</v>
      </c>
      <c r="W32" s="978" t="s">
        <v>48</v>
      </c>
      <c r="X32" s="978" t="s">
        <v>310</v>
      </c>
      <c r="Y32" s="978"/>
      <c r="Z32" s="1265" t="s">
        <v>32</v>
      </c>
      <c r="AA32" s="978" t="s">
        <v>260</v>
      </c>
      <c r="AB32" s="1265" t="s">
        <v>2943</v>
      </c>
      <c r="AC32" s="978" t="s">
        <v>2765</v>
      </c>
      <c r="AD32" s="2291"/>
      <c r="AE32" s="2283" t="e">
        <f>+COUNTIF([1]Feuil1!A:A,C32)</f>
        <v>#VALUE!</v>
      </c>
    </row>
    <row r="33" spans="1:31" ht="15" customHeight="1" thickBot="1">
      <c r="A33" s="1265" t="s">
        <v>25</v>
      </c>
      <c r="B33" s="1265" t="s">
        <v>25</v>
      </c>
      <c r="C33" s="1265" t="s">
        <v>2295</v>
      </c>
      <c r="D33" s="1265" t="s">
        <v>2296</v>
      </c>
      <c r="E33" s="1265" t="s">
        <v>2297</v>
      </c>
      <c r="F33" s="1265">
        <v>101657194</v>
      </c>
      <c r="G33" s="1265">
        <v>708000000</v>
      </c>
      <c r="H33" s="978">
        <v>5.8470000000000004</v>
      </c>
      <c r="I33" s="1265">
        <v>-5.3587899999999999</v>
      </c>
      <c r="J33" s="1265" t="s">
        <v>25</v>
      </c>
      <c r="K33" s="1265"/>
      <c r="L33" s="978"/>
      <c r="M33" s="978"/>
      <c r="N33" s="978"/>
      <c r="O33" s="2294">
        <v>45835</v>
      </c>
      <c r="P33" s="978">
        <v>160</v>
      </c>
      <c r="Q33" s="2294">
        <v>45836</v>
      </c>
      <c r="R33" s="978" t="s">
        <v>273</v>
      </c>
      <c r="S33" s="978"/>
      <c r="T33" s="978"/>
      <c r="U33" s="1265" t="s">
        <v>16</v>
      </c>
      <c r="V33" s="1265" t="s">
        <v>16</v>
      </c>
      <c r="W33" s="978" t="s">
        <v>48</v>
      </c>
      <c r="X33" s="978" t="s">
        <v>310</v>
      </c>
      <c r="Y33" s="978"/>
      <c r="Z33" s="1265" t="s">
        <v>32</v>
      </c>
      <c r="AA33" s="978" t="s">
        <v>260</v>
      </c>
      <c r="AB33" s="1265" t="s">
        <v>2943</v>
      </c>
      <c r="AC33" s="978" t="s">
        <v>2765</v>
      </c>
      <c r="AD33" s="2291"/>
      <c r="AE33" s="2283" t="e">
        <f>+COUNTIF([1]Feuil1!A:A,C33)</f>
        <v>#VALUE!</v>
      </c>
    </row>
    <row r="34" spans="1:31" ht="15" customHeight="1" thickBot="1">
      <c r="A34" s="1265" t="s">
        <v>25</v>
      </c>
      <c r="B34" s="1265" t="s">
        <v>25</v>
      </c>
      <c r="C34" s="1265" t="s">
        <v>3483</v>
      </c>
      <c r="D34" s="1265" t="s">
        <v>3484</v>
      </c>
      <c r="E34" s="1265" t="s">
        <v>89</v>
      </c>
      <c r="F34" s="1265">
        <v>103945831</v>
      </c>
      <c r="G34" s="1265">
        <v>707458798</v>
      </c>
      <c r="H34" s="978">
        <v>5.8410099999999998</v>
      </c>
      <c r="I34" s="978">
        <v>-5.3578299999999999</v>
      </c>
      <c r="J34" s="1265" t="s">
        <v>25</v>
      </c>
      <c r="K34" s="978"/>
      <c r="L34" s="978"/>
      <c r="M34" s="978"/>
      <c r="N34" s="978"/>
      <c r="O34" s="2294">
        <v>45940</v>
      </c>
      <c r="P34" s="978">
        <v>51</v>
      </c>
      <c r="Q34" s="2294">
        <v>45945</v>
      </c>
      <c r="R34" s="1265" t="s">
        <v>273</v>
      </c>
      <c r="S34" s="978"/>
      <c r="T34" s="978">
        <v>0</v>
      </c>
      <c r="U34" s="1265" t="s">
        <v>16</v>
      </c>
      <c r="V34" s="1265" t="s">
        <v>16</v>
      </c>
      <c r="W34" s="978" t="s">
        <v>48</v>
      </c>
      <c r="X34" s="1265" t="s">
        <v>310</v>
      </c>
      <c r="Y34" s="978"/>
      <c r="Z34" s="1265" t="s">
        <v>32</v>
      </c>
      <c r="AA34" s="978" t="s">
        <v>260</v>
      </c>
      <c r="AB34" s="978" t="s">
        <v>2943</v>
      </c>
      <c r="AC34" s="978" t="s">
        <v>3485</v>
      </c>
      <c r="AD34" s="2291"/>
      <c r="AE34" s="2283" t="e">
        <f>+COUNTIF([1]Feuil1!A:A,C34)</f>
        <v>#VALUE!</v>
      </c>
    </row>
    <row r="35" spans="1:31" ht="15" customHeight="1" thickBot="1">
      <c r="A35" s="1265" t="s">
        <v>25</v>
      </c>
      <c r="B35" s="1265" t="s">
        <v>25</v>
      </c>
      <c r="C35" s="1265" t="s">
        <v>1330</v>
      </c>
      <c r="D35" s="1265" t="s">
        <v>1331</v>
      </c>
      <c r="E35" s="1265" t="s">
        <v>1335</v>
      </c>
      <c r="F35" s="1265">
        <v>712227874</v>
      </c>
      <c r="G35" s="1265">
        <v>566500657</v>
      </c>
      <c r="H35" s="978">
        <v>5.8480400000000001</v>
      </c>
      <c r="I35" s="978">
        <v>-5.3175999999999997</v>
      </c>
      <c r="J35" s="1265" t="s">
        <v>25</v>
      </c>
      <c r="K35" s="978"/>
      <c r="L35" s="978"/>
      <c r="M35" s="978"/>
      <c r="N35" s="978"/>
      <c r="O35" s="2294">
        <v>45736</v>
      </c>
      <c r="P35" s="978">
        <v>259</v>
      </c>
      <c r="Q35" s="2294">
        <v>45737</v>
      </c>
      <c r="R35" s="978" t="s">
        <v>273</v>
      </c>
      <c r="S35" s="978"/>
      <c r="T35" s="978"/>
      <c r="U35" s="1265" t="s">
        <v>16</v>
      </c>
      <c r="V35" s="1265" t="s">
        <v>16</v>
      </c>
      <c r="W35" s="978" t="s">
        <v>48</v>
      </c>
      <c r="X35" s="978" t="s">
        <v>310</v>
      </c>
      <c r="Y35" s="978"/>
      <c r="Z35" s="1265" t="s">
        <v>32</v>
      </c>
      <c r="AA35" s="978" t="s">
        <v>260</v>
      </c>
      <c r="AB35" s="1265" t="s">
        <v>2943</v>
      </c>
      <c r="AC35" s="978" t="s">
        <v>4358</v>
      </c>
      <c r="AD35" s="2291"/>
      <c r="AE35" s="2283" t="e">
        <f>+COUNTIF([1]Feuil1!A:A,C35)</f>
        <v>#VALUE!</v>
      </c>
    </row>
    <row r="36" spans="1:31" ht="15" customHeight="1" thickBot="1">
      <c r="A36" s="978" t="s">
        <v>25</v>
      </c>
      <c r="B36" s="1265" t="s">
        <v>25</v>
      </c>
      <c r="C36" s="978" t="s">
        <v>101</v>
      </c>
      <c r="D36" s="978" t="s">
        <v>102</v>
      </c>
      <c r="E36" s="978" t="s">
        <v>84</v>
      </c>
      <c r="F36" s="1265">
        <v>505724328</v>
      </c>
      <c r="G36" s="1265">
        <v>101261223</v>
      </c>
      <c r="H36" s="978">
        <v>5.8313540000000001</v>
      </c>
      <c r="I36" s="978">
        <v>-5.3621749999999997</v>
      </c>
      <c r="J36" s="1265" t="s">
        <v>2612</v>
      </c>
      <c r="K36" s="1265" t="s">
        <v>274</v>
      </c>
      <c r="L36" s="1265" t="s">
        <v>2613</v>
      </c>
      <c r="M36" s="978"/>
      <c r="N36" s="978"/>
      <c r="O36" s="2295">
        <v>45686</v>
      </c>
      <c r="P36" s="978">
        <v>309</v>
      </c>
      <c r="Q36" s="2295">
        <v>45687</v>
      </c>
      <c r="R36" s="978" t="s">
        <v>273</v>
      </c>
      <c r="S36" s="978"/>
      <c r="T36" s="978">
        <v>0</v>
      </c>
      <c r="U36" s="978" t="s">
        <v>16</v>
      </c>
      <c r="V36" s="978" t="s">
        <v>16</v>
      </c>
      <c r="W36" s="978" t="s">
        <v>48</v>
      </c>
      <c r="X36" s="978" t="s">
        <v>310</v>
      </c>
      <c r="Y36" s="1265">
        <v>100</v>
      </c>
      <c r="Z36" s="978" t="s">
        <v>32</v>
      </c>
      <c r="AA36" s="1265" t="s">
        <v>260</v>
      </c>
      <c r="AB36" s="1265" t="s">
        <v>2943</v>
      </c>
      <c r="AC36" s="978" t="s">
        <v>2936</v>
      </c>
      <c r="AD36" s="2291"/>
      <c r="AE36" s="2283" t="e">
        <f>+COUNTIF([1]Feuil1!A:A,C36)</f>
        <v>#VALUE!</v>
      </c>
    </row>
    <row r="37" spans="1:31" ht="15" customHeight="1" thickBot="1">
      <c r="A37" s="1265" t="s">
        <v>25</v>
      </c>
      <c r="B37" s="1265" t="s">
        <v>25</v>
      </c>
      <c r="C37" s="1265" t="s">
        <v>2983</v>
      </c>
      <c r="D37" s="1265" t="s">
        <v>1774</v>
      </c>
      <c r="E37" s="1265" t="s">
        <v>2984</v>
      </c>
      <c r="F37" s="1265">
        <v>708828482</v>
      </c>
      <c r="G37" s="2297">
        <v>709000000</v>
      </c>
      <c r="H37" s="978">
        <v>5.84293</v>
      </c>
      <c r="I37" s="978">
        <v>-5.3368900000000004</v>
      </c>
      <c r="J37" s="1265" t="s">
        <v>189</v>
      </c>
      <c r="K37" s="978" t="s">
        <v>274</v>
      </c>
      <c r="L37" s="978" t="s">
        <v>715</v>
      </c>
      <c r="M37" s="978"/>
      <c r="N37" s="978"/>
      <c r="O37" s="2294">
        <v>45903</v>
      </c>
      <c r="P37" s="978">
        <v>87</v>
      </c>
      <c r="Q37" s="2294">
        <v>45909</v>
      </c>
      <c r="R37" s="1265" t="s">
        <v>273</v>
      </c>
      <c r="S37" s="1265"/>
      <c r="T37" s="1265"/>
      <c r="U37" s="1265" t="s">
        <v>16</v>
      </c>
      <c r="V37" s="1265" t="s">
        <v>16</v>
      </c>
      <c r="W37" s="978" t="s">
        <v>48</v>
      </c>
      <c r="X37" s="1265" t="s">
        <v>310</v>
      </c>
      <c r="Y37" s="1265"/>
      <c r="Z37" s="1265" t="s">
        <v>32</v>
      </c>
      <c r="AA37" s="1265" t="s">
        <v>260</v>
      </c>
      <c r="AB37" s="1265" t="s">
        <v>2943</v>
      </c>
      <c r="AC37" s="978" t="s">
        <v>3220</v>
      </c>
      <c r="AD37" s="2291"/>
      <c r="AE37" s="2283" t="e">
        <f>+COUNTIF([1]Feuil1!A:A,C37)</f>
        <v>#VALUE!</v>
      </c>
    </row>
    <row r="38" spans="1:31" ht="15" customHeight="1" thickBot="1">
      <c r="A38" s="1265" t="s">
        <v>25</v>
      </c>
      <c r="B38" s="1265" t="s">
        <v>25</v>
      </c>
      <c r="C38" s="1265" t="s">
        <v>1767</v>
      </c>
      <c r="D38" s="978" t="s">
        <v>1768</v>
      </c>
      <c r="E38" s="1265" t="s">
        <v>402</v>
      </c>
      <c r="F38" s="1265">
        <v>102456012</v>
      </c>
      <c r="G38" s="1265">
        <v>749559474</v>
      </c>
      <c r="H38" s="978">
        <v>5.8467450000000003</v>
      </c>
      <c r="I38" s="978">
        <v>-5.3630409999999999</v>
      </c>
      <c r="J38" s="1265" t="s">
        <v>25</v>
      </c>
      <c r="K38" s="978"/>
      <c r="L38" s="978"/>
      <c r="M38" s="978"/>
      <c r="N38" s="978"/>
      <c r="O38" s="2294">
        <v>45765</v>
      </c>
      <c r="P38" s="978">
        <v>227</v>
      </c>
      <c r="Q38" s="2294">
        <v>45769</v>
      </c>
      <c r="R38" s="978" t="s">
        <v>273</v>
      </c>
      <c r="S38" s="978"/>
      <c r="T38" s="978"/>
      <c r="U38" s="1265" t="s">
        <v>16</v>
      </c>
      <c r="V38" s="1265" t="s">
        <v>16</v>
      </c>
      <c r="W38" s="978" t="s">
        <v>48</v>
      </c>
      <c r="X38" s="978" t="s">
        <v>310</v>
      </c>
      <c r="Y38" s="978"/>
      <c r="Z38" s="1265" t="s">
        <v>32</v>
      </c>
      <c r="AA38" s="978" t="s">
        <v>260</v>
      </c>
      <c r="AB38" s="1265" t="s">
        <v>2943</v>
      </c>
      <c r="AC38" s="978" t="s">
        <v>2765</v>
      </c>
      <c r="AD38" s="2291"/>
      <c r="AE38" s="2283" t="e">
        <f>+COUNTIF([1]Feuil1!A:A,C38)</f>
        <v>#VALUE!</v>
      </c>
    </row>
    <row r="39" spans="1:31" ht="15" customHeight="1" thickBot="1">
      <c r="A39" s="1265" t="s">
        <v>25</v>
      </c>
      <c r="B39" s="1265" t="s">
        <v>25</v>
      </c>
      <c r="C39" s="303" t="s">
        <v>4567</v>
      </c>
      <c r="D39" s="303" t="s">
        <v>4568</v>
      </c>
      <c r="E39" s="303" t="s">
        <v>4569</v>
      </c>
      <c r="F39" s="303">
        <v>506761097</v>
      </c>
      <c r="G39" s="303">
        <v>704802096</v>
      </c>
      <c r="H39" s="978"/>
      <c r="I39" s="978"/>
      <c r="J39" s="303" t="s">
        <v>25</v>
      </c>
      <c r="K39" s="978"/>
      <c r="L39" s="978"/>
      <c r="M39" s="978"/>
      <c r="N39" s="978"/>
      <c r="O39" s="334">
        <v>46008</v>
      </c>
      <c r="P39" s="978"/>
      <c r="Q39" s="334">
        <v>46010</v>
      </c>
      <c r="R39" s="1265" t="s">
        <v>273</v>
      </c>
      <c r="S39" s="1265"/>
      <c r="T39" s="1265"/>
      <c r="U39" s="1265" t="s">
        <v>16</v>
      </c>
      <c r="V39" s="1265" t="s">
        <v>16</v>
      </c>
      <c r="W39" s="978" t="s">
        <v>48</v>
      </c>
      <c r="X39" s="1265" t="s">
        <v>310</v>
      </c>
      <c r="Y39" s="1265"/>
      <c r="Z39" s="1265" t="s">
        <v>32</v>
      </c>
      <c r="AA39" s="978" t="s">
        <v>260</v>
      </c>
      <c r="AB39" s="978" t="s">
        <v>2943</v>
      </c>
      <c r="AC39" s="978" t="s">
        <v>4583</v>
      </c>
      <c r="AD39" s="1052"/>
      <c r="AE39" s="2283" t="e">
        <f>+COUNTIF([1]Feuil1!A:A,C39)</f>
        <v>#VALUE!</v>
      </c>
    </row>
    <row r="40" spans="1:31" ht="15" customHeight="1" thickBot="1">
      <c r="A40" s="1265" t="s">
        <v>25</v>
      </c>
      <c r="B40" s="1265" t="s">
        <v>25</v>
      </c>
      <c r="C40" s="1265" t="s">
        <v>2589</v>
      </c>
      <c r="D40" s="1265" t="s">
        <v>2590</v>
      </c>
      <c r="E40" s="1265" t="s">
        <v>110</v>
      </c>
      <c r="F40" s="1265">
        <v>709429000</v>
      </c>
      <c r="G40" s="1265">
        <v>506000000</v>
      </c>
      <c r="H40" s="978">
        <v>5.8423990000000003</v>
      </c>
      <c r="I40" s="978">
        <v>-5.3403650000000003</v>
      </c>
      <c r="J40" s="1265" t="s">
        <v>189</v>
      </c>
      <c r="K40" s="978" t="s">
        <v>274</v>
      </c>
      <c r="L40" s="978" t="s">
        <v>2598</v>
      </c>
      <c r="M40" s="978"/>
      <c r="N40" s="978"/>
      <c r="O40" s="2294">
        <v>45868</v>
      </c>
      <c r="P40" s="978">
        <v>127</v>
      </c>
      <c r="Q40" s="2294">
        <v>45869</v>
      </c>
      <c r="R40" s="978" t="s">
        <v>273</v>
      </c>
      <c r="S40" s="978"/>
      <c r="T40" s="978">
        <v>1</v>
      </c>
      <c r="U40" s="978" t="s">
        <v>16</v>
      </c>
      <c r="V40" s="978" t="s">
        <v>16</v>
      </c>
      <c r="W40" s="978" t="s">
        <v>48</v>
      </c>
      <c r="X40" s="978" t="s">
        <v>310</v>
      </c>
      <c r="Y40" s="978">
        <v>150</v>
      </c>
      <c r="Z40" s="978" t="s">
        <v>32</v>
      </c>
      <c r="AA40" s="978" t="s">
        <v>260</v>
      </c>
      <c r="AB40" s="1265" t="s">
        <v>2943</v>
      </c>
      <c r="AC40" s="978" t="s">
        <v>2770</v>
      </c>
      <c r="AD40" s="2291"/>
      <c r="AE40" s="2283"/>
    </row>
    <row r="41" spans="1:31" ht="15" customHeight="1" thickBot="1">
      <c r="A41" s="1265" t="s">
        <v>25</v>
      </c>
      <c r="B41" s="1265" t="s">
        <v>25</v>
      </c>
      <c r="C41" s="2308" t="s">
        <v>4842</v>
      </c>
      <c r="D41" s="2308" t="s">
        <v>4843</v>
      </c>
      <c r="E41" s="2308" t="s">
        <v>4844</v>
      </c>
      <c r="F41" s="2308">
        <v>142099087</v>
      </c>
      <c r="G41" s="2308">
        <v>748753025</v>
      </c>
      <c r="H41" s="978">
        <v>5.8136799999999997</v>
      </c>
      <c r="I41" s="978">
        <v>-5.3532999999999999</v>
      </c>
      <c r="J41" s="2308" t="s">
        <v>25</v>
      </c>
      <c r="K41" s="978"/>
      <c r="L41" s="978"/>
      <c r="M41" s="978"/>
      <c r="N41" s="978"/>
      <c r="O41" s="2309">
        <v>46036</v>
      </c>
      <c r="P41" s="978"/>
      <c r="Q41" s="2309">
        <v>46037</v>
      </c>
      <c r="R41" s="1265" t="s">
        <v>273</v>
      </c>
      <c r="S41" s="1265"/>
      <c r="T41" s="1265"/>
      <c r="U41" s="1265" t="s">
        <v>16</v>
      </c>
      <c r="V41" s="1265" t="s">
        <v>16</v>
      </c>
      <c r="W41" s="978" t="s">
        <v>48</v>
      </c>
      <c r="X41" s="1265" t="s">
        <v>310</v>
      </c>
      <c r="Y41" s="1265"/>
      <c r="Z41" s="1265" t="s">
        <v>32</v>
      </c>
      <c r="AA41" s="978" t="s">
        <v>260</v>
      </c>
      <c r="AB41" s="978" t="s">
        <v>2943</v>
      </c>
      <c r="AC41" s="978" t="s">
        <v>4851</v>
      </c>
      <c r="AD41" s="1052"/>
      <c r="AE41" s="2283"/>
    </row>
    <row r="42" spans="1:31" ht="15" customHeight="1" thickBot="1">
      <c r="A42" s="1265" t="s">
        <v>25</v>
      </c>
      <c r="B42" s="1265" t="s">
        <v>25</v>
      </c>
      <c r="C42" s="1265" t="s">
        <v>1498</v>
      </c>
      <c r="D42" s="1265" t="s">
        <v>1499</v>
      </c>
      <c r="E42" s="1265" t="s">
        <v>46</v>
      </c>
      <c r="F42" s="1265">
        <v>709798121</v>
      </c>
      <c r="G42" s="1265">
        <v>104448221</v>
      </c>
      <c r="H42" s="978">
        <v>5.8506299999999998</v>
      </c>
      <c r="I42" s="978">
        <v>-5.3568300000000004</v>
      </c>
      <c r="J42" s="1265" t="s">
        <v>25</v>
      </c>
      <c r="K42" s="978"/>
      <c r="L42" s="978"/>
      <c r="M42" s="978"/>
      <c r="N42" s="978"/>
      <c r="O42" s="2294">
        <v>45748</v>
      </c>
      <c r="P42" s="978">
        <v>247</v>
      </c>
      <c r="Q42" s="2294">
        <v>45749</v>
      </c>
      <c r="R42" s="978" t="s">
        <v>273</v>
      </c>
      <c r="S42" s="978"/>
      <c r="T42" s="978"/>
      <c r="U42" s="1265" t="s">
        <v>16</v>
      </c>
      <c r="V42" s="1265" t="s">
        <v>16</v>
      </c>
      <c r="W42" s="978" t="s">
        <v>48</v>
      </c>
      <c r="X42" s="978" t="s">
        <v>310</v>
      </c>
      <c r="Y42" s="978"/>
      <c r="Z42" s="1265" t="s">
        <v>32</v>
      </c>
      <c r="AA42" s="978" t="s">
        <v>260</v>
      </c>
      <c r="AB42" s="1265" t="s">
        <v>2943</v>
      </c>
      <c r="AC42" s="978" t="s">
        <v>2765</v>
      </c>
      <c r="AD42" s="2291"/>
      <c r="AE42" s="2283"/>
    </row>
    <row r="43" spans="1:31" ht="15" customHeight="1" thickBot="1">
      <c r="A43" s="1265" t="s">
        <v>25</v>
      </c>
      <c r="B43" s="1265" t="s">
        <v>25</v>
      </c>
      <c r="C43" s="791" t="s">
        <v>5074</v>
      </c>
      <c r="D43" s="791" t="s">
        <v>5075</v>
      </c>
      <c r="E43" s="2312" t="s">
        <v>5076</v>
      </c>
      <c r="F43" s="791">
        <v>506730980</v>
      </c>
      <c r="G43" s="791">
        <v>757121501</v>
      </c>
      <c r="H43" s="978">
        <v>5.8148200000000001</v>
      </c>
      <c r="I43" s="978">
        <v>-5.3581399999999997</v>
      </c>
      <c r="J43" s="791" t="s">
        <v>4283</v>
      </c>
      <c r="K43" s="978"/>
      <c r="L43" s="978" t="s">
        <v>4283</v>
      </c>
      <c r="M43" s="978"/>
      <c r="N43" s="978"/>
      <c r="O43" s="2313">
        <v>46065</v>
      </c>
      <c r="P43" s="978"/>
      <c r="Q43" s="2313">
        <v>46066</v>
      </c>
      <c r="R43" s="1265" t="s">
        <v>273</v>
      </c>
      <c r="S43" s="1265"/>
      <c r="T43" s="1265"/>
      <c r="U43" s="1265" t="s">
        <v>16</v>
      </c>
      <c r="V43" s="1265" t="s">
        <v>16</v>
      </c>
      <c r="W43" s="978" t="s">
        <v>48</v>
      </c>
      <c r="X43" s="1265" t="s">
        <v>310</v>
      </c>
      <c r="Y43" s="1265"/>
      <c r="Z43" s="1265" t="s">
        <v>32</v>
      </c>
      <c r="AA43" s="978" t="s">
        <v>260</v>
      </c>
      <c r="AB43" s="978" t="s">
        <v>2943</v>
      </c>
      <c r="AC43" s="978" t="s">
        <v>5081</v>
      </c>
      <c r="AD43" s="1052"/>
      <c r="AE43" s="1051"/>
    </row>
    <row r="44" spans="1:31" ht="15" customHeight="1" thickBot="1">
      <c r="A44" s="1265" t="s">
        <v>25</v>
      </c>
      <c r="B44" s="1265" t="s">
        <v>25</v>
      </c>
      <c r="C44" s="2301" t="s">
        <v>4807</v>
      </c>
      <c r="D44" s="2301" t="s">
        <v>1175</v>
      </c>
      <c r="E44" s="2301" t="s">
        <v>4808</v>
      </c>
      <c r="F44" s="2301">
        <v>707489669</v>
      </c>
      <c r="G44" s="2301">
        <v>707489669</v>
      </c>
      <c r="H44" s="978">
        <v>5.8537100000000004</v>
      </c>
      <c r="I44" s="978">
        <v>-5.3546399999999998</v>
      </c>
      <c r="J44" s="2301" t="s">
        <v>25</v>
      </c>
      <c r="K44" s="978"/>
      <c r="L44" s="978"/>
      <c r="M44" s="978"/>
      <c r="N44" s="978"/>
      <c r="O44" s="2303">
        <v>46030</v>
      </c>
      <c r="P44" s="978"/>
      <c r="Q44" s="2303">
        <v>46032</v>
      </c>
      <c r="R44" s="1265" t="s">
        <v>273</v>
      </c>
      <c r="S44" s="1265"/>
      <c r="T44" s="1265"/>
      <c r="U44" s="1265" t="s">
        <v>16</v>
      </c>
      <c r="V44" s="1265" t="s">
        <v>16</v>
      </c>
      <c r="W44" s="978" t="s">
        <v>48</v>
      </c>
      <c r="X44" s="1265" t="s">
        <v>310</v>
      </c>
      <c r="Y44" s="1265"/>
      <c r="Z44" s="1265" t="s">
        <v>32</v>
      </c>
      <c r="AA44" s="978" t="s">
        <v>260</v>
      </c>
      <c r="AB44" s="978" t="s">
        <v>2978</v>
      </c>
      <c r="AC44" s="978" t="s">
        <v>4813</v>
      </c>
      <c r="AD44" s="1052"/>
      <c r="AE44" s="2283" t="e">
        <f>+COUNTIF([1]Feuil1!A:A,C44)</f>
        <v>#VALUE!</v>
      </c>
    </row>
    <row r="45" spans="1:31" ht="15" customHeight="1" thickBot="1">
      <c r="A45" s="1265" t="s">
        <v>25</v>
      </c>
      <c r="B45" s="1265" t="s">
        <v>25</v>
      </c>
      <c r="C45" s="1265" t="s">
        <v>2941</v>
      </c>
      <c r="D45" s="1265" t="s">
        <v>2942</v>
      </c>
      <c r="E45" s="1265" t="s">
        <v>402</v>
      </c>
      <c r="F45" s="1265">
        <v>596932580</v>
      </c>
      <c r="G45" s="2297">
        <v>597000000</v>
      </c>
      <c r="H45" s="978">
        <v>5.8432000000000004</v>
      </c>
      <c r="I45" s="978">
        <v>-5.3662599999999996</v>
      </c>
      <c r="J45" s="1265" t="s">
        <v>36</v>
      </c>
      <c r="K45" s="978" t="s">
        <v>190</v>
      </c>
      <c r="L45" s="978" t="s">
        <v>544</v>
      </c>
      <c r="M45" s="978"/>
      <c r="N45" s="978"/>
      <c r="O45" s="2294">
        <v>45902</v>
      </c>
      <c r="P45" s="978">
        <v>93</v>
      </c>
      <c r="Q45" s="2294">
        <v>45903</v>
      </c>
      <c r="R45" s="1265" t="s">
        <v>4347</v>
      </c>
      <c r="S45" s="1265"/>
      <c r="T45" s="1265"/>
      <c r="U45" s="1265" t="s">
        <v>16</v>
      </c>
      <c r="V45" s="1265" t="s">
        <v>16</v>
      </c>
      <c r="W45" s="978" t="s">
        <v>48</v>
      </c>
      <c r="X45" s="1265" t="s">
        <v>310</v>
      </c>
      <c r="Y45" s="1265"/>
      <c r="Z45" s="1265" t="s">
        <v>32</v>
      </c>
      <c r="AA45" s="1265" t="s">
        <v>260</v>
      </c>
      <c r="AB45" s="1265" t="s">
        <v>2978</v>
      </c>
      <c r="AC45" s="978" t="s">
        <v>2944</v>
      </c>
      <c r="AD45" s="2291"/>
      <c r="AE45" s="2283" t="e">
        <f>+COUNTIF([1]Feuil1!A:A,C45)</f>
        <v>#VALUE!</v>
      </c>
    </row>
    <row r="46" spans="1:31" ht="15" customHeight="1" thickBot="1">
      <c r="A46" s="1265" t="s">
        <v>25</v>
      </c>
      <c r="B46" s="1265" t="s">
        <v>25</v>
      </c>
      <c r="C46" s="1265" t="s">
        <v>3115</v>
      </c>
      <c r="D46" s="1265" t="s">
        <v>3116</v>
      </c>
      <c r="E46" s="1265" t="s">
        <v>110</v>
      </c>
      <c r="F46" s="1265">
        <v>504290463</v>
      </c>
      <c r="G46" s="2297">
        <v>709000000</v>
      </c>
      <c r="H46" s="978"/>
      <c r="I46" s="978"/>
      <c r="J46" s="1265" t="s">
        <v>189</v>
      </c>
      <c r="K46" s="978" t="s">
        <v>274</v>
      </c>
      <c r="L46" s="978" t="s">
        <v>539</v>
      </c>
      <c r="M46" s="978"/>
      <c r="N46" s="978"/>
      <c r="O46" s="2294">
        <v>45919</v>
      </c>
      <c r="P46" s="978">
        <v>76</v>
      </c>
      <c r="Q46" s="2294">
        <v>45920</v>
      </c>
      <c r="R46" s="1265" t="s">
        <v>4347</v>
      </c>
      <c r="S46" s="1265"/>
      <c r="T46" s="1265"/>
      <c r="U46" s="1265" t="s">
        <v>16</v>
      </c>
      <c r="V46" s="1265" t="s">
        <v>16</v>
      </c>
      <c r="W46" s="978" t="s">
        <v>48</v>
      </c>
      <c r="X46" s="1265" t="s">
        <v>310</v>
      </c>
      <c r="Y46" s="1265"/>
      <c r="Z46" s="1265" t="s">
        <v>32</v>
      </c>
      <c r="AA46" s="1265" t="s">
        <v>260</v>
      </c>
      <c r="AB46" s="1265" t="s">
        <v>2978</v>
      </c>
      <c r="AC46" s="978" t="s">
        <v>3122</v>
      </c>
      <c r="AD46" s="2291"/>
      <c r="AE46" s="2283" t="e">
        <f>+COUNTIF([1]Feuil1!A:A,C46)</f>
        <v>#VALUE!</v>
      </c>
    </row>
    <row r="47" spans="1:31" ht="15" customHeight="1" thickBot="1">
      <c r="A47" s="978" t="s">
        <v>25</v>
      </c>
      <c r="B47" s="978" t="s">
        <v>25</v>
      </c>
      <c r="C47" s="1265" t="s">
        <v>2875</v>
      </c>
      <c r="D47" s="1265" t="s">
        <v>2876</v>
      </c>
      <c r="E47" s="1265" t="s">
        <v>2877</v>
      </c>
      <c r="F47" s="1265">
        <v>101788255</v>
      </c>
      <c r="G47" s="1265">
        <v>768018358</v>
      </c>
      <c r="H47" s="978">
        <v>5.8418400000000004</v>
      </c>
      <c r="I47" s="978">
        <v>-5.3486500000000001</v>
      </c>
      <c r="J47" s="1265" t="s">
        <v>189</v>
      </c>
      <c r="K47" s="978" t="s">
        <v>190</v>
      </c>
      <c r="L47" s="978" t="s">
        <v>1089</v>
      </c>
      <c r="M47" s="978"/>
      <c r="N47" s="978"/>
      <c r="O47" s="2294">
        <v>45895</v>
      </c>
      <c r="P47" s="978">
        <v>100</v>
      </c>
      <c r="Q47" s="2294">
        <v>45896</v>
      </c>
      <c r="R47" s="1265" t="s">
        <v>273</v>
      </c>
      <c r="S47" s="978"/>
      <c r="T47" s="978"/>
      <c r="U47" s="1265" t="s">
        <v>16</v>
      </c>
      <c r="V47" s="1265" t="s">
        <v>16</v>
      </c>
      <c r="W47" s="978" t="s">
        <v>48</v>
      </c>
      <c r="X47" s="1265" t="s">
        <v>310</v>
      </c>
      <c r="Y47" s="978"/>
      <c r="Z47" s="1265" t="s">
        <v>32</v>
      </c>
      <c r="AA47" s="1265" t="s">
        <v>260</v>
      </c>
      <c r="AB47" s="1265" t="s">
        <v>2978</v>
      </c>
      <c r="AC47" s="978" t="s">
        <v>2908</v>
      </c>
      <c r="AD47" s="2291"/>
      <c r="AE47" s="2283" t="e">
        <f>+COUNTIF([1]Feuil1!A:A,C47)</f>
        <v>#VALUE!</v>
      </c>
    </row>
    <row r="48" spans="1:31" ht="15" customHeight="1" thickBot="1">
      <c r="A48" s="1265" t="s">
        <v>25</v>
      </c>
      <c r="B48" s="1265" t="s">
        <v>25</v>
      </c>
      <c r="C48" s="2298" t="s">
        <v>4310</v>
      </c>
      <c r="D48" s="2298" t="s">
        <v>4311</v>
      </c>
      <c r="E48" s="2298" t="s">
        <v>89</v>
      </c>
      <c r="F48" s="2298">
        <v>172506882</v>
      </c>
      <c r="G48" s="2298">
        <v>707104515</v>
      </c>
      <c r="H48" s="978">
        <v>5.8340899999999998</v>
      </c>
      <c r="I48" s="978">
        <v>-5.3552499999999998</v>
      </c>
      <c r="J48" s="2298" t="s">
        <v>36</v>
      </c>
      <c r="K48" s="978" t="s">
        <v>274</v>
      </c>
      <c r="L48" s="978" t="s">
        <v>1030</v>
      </c>
      <c r="M48" s="978"/>
      <c r="N48" s="978"/>
      <c r="O48" s="2307">
        <v>45992</v>
      </c>
      <c r="P48" s="978">
        <v>2</v>
      </c>
      <c r="Q48" s="2307">
        <v>45994</v>
      </c>
      <c r="R48" s="1265" t="s">
        <v>4347</v>
      </c>
      <c r="S48" s="1265"/>
      <c r="T48" s="1265">
        <v>0</v>
      </c>
      <c r="U48" s="1265" t="s">
        <v>16</v>
      </c>
      <c r="V48" s="1265" t="s">
        <v>16</v>
      </c>
      <c r="W48" s="978" t="s">
        <v>48</v>
      </c>
      <c r="X48" s="1265" t="s">
        <v>310</v>
      </c>
      <c r="Y48" s="1265"/>
      <c r="Z48" s="1265" t="s">
        <v>32</v>
      </c>
      <c r="AA48" s="978" t="s">
        <v>260</v>
      </c>
      <c r="AB48" s="978" t="s">
        <v>2978</v>
      </c>
      <c r="AC48" s="978" t="s">
        <v>4353</v>
      </c>
      <c r="AD48" s="2291"/>
      <c r="AE48" s="2283" t="e">
        <f>+COUNTIF([1]Feuil1!A:A,C48)</f>
        <v>#VALUE!</v>
      </c>
    </row>
    <row r="49" spans="1:31" ht="15" customHeight="1" thickBot="1">
      <c r="A49" s="1265" t="s">
        <v>25</v>
      </c>
      <c r="B49" s="1265" t="s">
        <v>25</v>
      </c>
      <c r="C49" s="2298" t="s">
        <v>4335</v>
      </c>
      <c r="D49" s="2298" t="s">
        <v>4336</v>
      </c>
      <c r="E49" s="2298" t="s">
        <v>4337</v>
      </c>
      <c r="F49" s="2298">
        <v>564666059</v>
      </c>
      <c r="G49" s="2298">
        <v>799000098</v>
      </c>
      <c r="H49" s="978">
        <v>5.8408800000000003</v>
      </c>
      <c r="I49" s="978">
        <v>-5.3584100000000001</v>
      </c>
      <c r="J49" s="2298" t="s">
        <v>36</v>
      </c>
      <c r="K49" s="978" t="s">
        <v>190</v>
      </c>
      <c r="L49" s="978" t="s">
        <v>474</v>
      </c>
      <c r="M49" s="978"/>
      <c r="N49" s="978"/>
      <c r="O49" s="2307">
        <v>45988</v>
      </c>
      <c r="P49" s="978"/>
      <c r="Q49" s="2307">
        <v>45995</v>
      </c>
      <c r="R49" s="1265" t="s">
        <v>4347</v>
      </c>
      <c r="S49" s="1265"/>
      <c r="T49" s="1265"/>
      <c r="U49" s="1265" t="s">
        <v>16</v>
      </c>
      <c r="V49" s="1265" t="s">
        <v>16</v>
      </c>
      <c r="W49" s="978" t="s">
        <v>48</v>
      </c>
      <c r="X49" s="1265" t="s">
        <v>310</v>
      </c>
      <c r="Y49" s="1265"/>
      <c r="Z49" s="1265" t="s">
        <v>32</v>
      </c>
      <c r="AA49" s="1265" t="s">
        <v>260</v>
      </c>
      <c r="AB49" s="978" t="s">
        <v>2978</v>
      </c>
      <c r="AC49" s="978" t="s">
        <v>4362</v>
      </c>
      <c r="AD49" s="2291"/>
      <c r="AE49" s="2283" t="e">
        <f>+COUNTIF([1]Feuil1!A:A,C49)</f>
        <v>#VALUE!</v>
      </c>
    </row>
    <row r="50" spans="1:31" ht="15" customHeight="1" thickBot="1">
      <c r="A50" s="1265" t="s">
        <v>25</v>
      </c>
      <c r="B50" s="1265" t="s">
        <v>25</v>
      </c>
      <c r="C50" s="1265" t="s">
        <v>1079</v>
      </c>
      <c r="D50" s="1265" t="s">
        <v>1080</v>
      </c>
      <c r="E50" s="1265" t="s">
        <v>1081</v>
      </c>
      <c r="F50" s="1265">
        <v>141097979</v>
      </c>
      <c r="G50" s="1265">
        <v>749527420</v>
      </c>
      <c r="H50" s="1265">
        <v>5.838908</v>
      </c>
      <c r="I50" s="978">
        <v>-5.3644829999999999</v>
      </c>
      <c r="J50" s="978" t="s">
        <v>36</v>
      </c>
      <c r="K50" s="978" t="s">
        <v>203</v>
      </c>
      <c r="L50" s="978" t="s">
        <v>645</v>
      </c>
      <c r="M50" s="978"/>
      <c r="N50" s="978"/>
      <c r="O50" s="2294">
        <v>45727</v>
      </c>
      <c r="P50" s="978">
        <v>268</v>
      </c>
      <c r="Q50" s="2294">
        <v>45728</v>
      </c>
      <c r="R50" s="1265" t="s">
        <v>2641</v>
      </c>
      <c r="S50" s="978"/>
      <c r="T50" s="978">
        <v>1</v>
      </c>
      <c r="U50" s="1265" t="s">
        <v>16</v>
      </c>
      <c r="V50" s="1265" t="s">
        <v>16</v>
      </c>
      <c r="W50" s="978" t="s">
        <v>48</v>
      </c>
      <c r="X50" s="978" t="s">
        <v>310</v>
      </c>
      <c r="Y50" s="978">
        <v>200</v>
      </c>
      <c r="Z50" s="1265" t="s">
        <v>32</v>
      </c>
      <c r="AA50" s="978" t="s">
        <v>260</v>
      </c>
      <c r="AB50" s="978" t="s">
        <v>1017</v>
      </c>
      <c r="AC50" s="1265" t="s">
        <v>1274</v>
      </c>
      <c r="AD50" s="2291"/>
      <c r="AE50" s="2283" t="e">
        <f>+COUNTIF([1]Feuil1!A:A,C50)</f>
        <v>#VALUE!</v>
      </c>
    </row>
    <row r="51" spans="1:31" ht="15" customHeight="1" thickBot="1">
      <c r="A51" s="1265" t="s">
        <v>25</v>
      </c>
      <c r="B51" s="1265" t="s">
        <v>25</v>
      </c>
      <c r="C51" s="1265" t="s">
        <v>1386</v>
      </c>
      <c r="D51" s="1265" t="s">
        <v>1387</v>
      </c>
      <c r="E51" s="1265" t="s">
        <v>375</v>
      </c>
      <c r="F51" s="1265">
        <v>140551616</v>
      </c>
      <c r="G51" s="2297">
        <v>710000000</v>
      </c>
      <c r="H51" s="978">
        <v>5.8410599999999997</v>
      </c>
      <c r="I51" s="978">
        <v>-5.3708400000000003</v>
      </c>
      <c r="J51" s="1265" t="s">
        <v>25</v>
      </c>
      <c r="K51" s="978"/>
      <c r="L51" s="978"/>
      <c r="M51" s="978"/>
      <c r="N51" s="978"/>
      <c r="O51" s="2294">
        <v>45741</v>
      </c>
      <c r="P51" s="978">
        <v>255</v>
      </c>
      <c r="Q51" s="2294">
        <v>45741</v>
      </c>
      <c r="R51" s="978" t="s">
        <v>273</v>
      </c>
      <c r="S51" s="978"/>
      <c r="T51" s="978"/>
      <c r="U51" s="1265" t="s">
        <v>16</v>
      </c>
      <c r="V51" s="1265" t="s">
        <v>16</v>
      </c>
      <c r="W51" s="978" t="s">
        <v>48</v>
      </c>
      <c r="X51" s="978" t="s">
        <v>310</v>
      </c>
      <c r="Y51" s="978"/>
      <c r="Z51" s="1265" t="s">
        <v>32</v>
      </c>
      <c r="AA51" s="978" t="s">
        <v>260</v>
      </c>
      <c r="AB51" s="1265" t="s">
        <v>1017</v>
      </c>
      <c r="AC51" s="978" t="s">
        <v>4220</v>
      </c>
      <c r="AD51" s="2291"/>
      <c r="AE51" s="2283" t="e">
        <f>+COUNTIF([1]Feuil1!A:A,C51)</f>
        <v>#VALUE!</v>
      </c>
    </row>
    <row r="52" spans="1:31" ht="15" customHeight="1" thickBot="1">
      <c r="A52" s="1265" t="s">
        <v>25</v>
      </c>
      <c r="B52" s="1265" t="s">
        <v>25</v>
      </c>
      <c r="C52" s="303" t="s">
        <v>4399</v>
      </c>
      <c r="D52" s="303" t="s">
        <v>4400</v>
      </c>
      <c r="E52" s="303" t="s">
        <v>4401</v>
      </c>
      <c r="F52" s="303">
        <v>141653441</v>
      </c>
      <c r="G52" s="303">
        <v>759550893</v>
      </c>
      <c r="H52" s="978">
        <v>5.8553810000000004</v>
      </c>
      <c r="I52" s="978">
        <v>-5.3467370000000001</v>
      </c>
      <c r="J52" s="303" t="s">
        <v>189</v>
      </c>
      <c r="K52" s="978" t="s">
        <v>274</v>
      </c>
      <c r="L52" s="978" t="s">
        <v>3667</v>
      </c>
      <c r="M52" s="978" t="s">
        <v>4407</v>
      </c>
      <c r="N52" s="978">
        <v>2150049966</v>
      </c>
      <c r="O52" s="334">
        <v>45996</v>
      </c>
      <c r="P52" s="978"/>
      <c r="Q52" s="334">
        <v>45997</v>
      </c>
      <c r="R52" s="1265" t="s">
        <v>2641</v>
      </c>
      <c r="S52" s="1265"/>
      <c r="T52" s="1265">
        <v>3</v>
      </c>
      <c r="U52" s="1265" t="s">
        <v>16</v>
      </c>
      <c r="V52" s="1265" t="s">
        <v>16</v>
      </c>
      <c r="W52" s="978" t="s">
        <v>48</v>
      </c>
      <c r="X52" s="1265" t="s">
        <v>310</v>
      </c>
      <c r="Y52" s="1265">
        <v>300</v>
      </c>
      <c r="Z52" s="1265" t="s">
        <v>32</v>
      </c>
      <c r="AA52" s="1265" t="s">
        <v>260</v>
      </c>
      <c r="AB52" s="978" t="s">
        <v>1017</v>
      </c>
      <c r="AC52" s="978" t="s">
        <v>4402</v>
      </c>
      <c r="AD52" s="1052"/>
      <c r="AE52" s="2283" t="e">
        <f>+COUNTIF([1]Feuil1!A:A,C52)</f>
        <v>#VALUE!</v>
      </c>
    </row>
    <row r="53" spans="1:31" ht="15" customHeight="1" thickBot="1">
      <c r="A53" s="1265" t="s">
        <v>25</v>
      </c>
      <c r="B53" s="1265" t="s">
        <v>25</v>
      </c>
      <c r="C53" s="2310" t="s">
        <v>4800</v>
      </c>
      <c r="D53" s="2310" t="s">
        <v>4802</v>
      </c>
      <c r="E53" s="2310" t="s">
        <v>3053</v>
      </c>
      <c r="F53" s="2310">
        <v>504200988</v>
      </c>
      <c r="G53" s="2310">
        <v>504200988</v>
      </c>
      <c r="H53" s="978"/>
      <c r="I53" s="978"/>
      <c r="J53" s="2302" t="s">
        <v>25</v>
      </c>
      <c r="K53" s="978"/>
      <c r="L53" s="978"/>
      <c r="M53" s="978"/>
      <c r="N53" s="978"/>
      <c r="O53" s="2295">
        <v>45952</v>
      </c>
      <c r="P53" s="978"/>
      <c r="Q53" s="2306">
        <v>46031</v>
      </c>
      <c r="R53" s="1265" t="s">
        <v>2768</v>
      </c>
      <c r="S53" s="1265"/>
      <c r="T53" s="1265"/>
      <c r="U53" s="1265" t="s">
        <v>16</v>
      </c>
      <c r="V53" s="1265" t="s">
        <v>16</v>
      </c>
      <c r="W53" s="978" t="s">
        <v>48</v>
      </c>
      <c r="X53" s="1265" t="s">
        <v>310</v>
      </c>
      <c r="Y53" s="1265"/>
      <c r="Z53" s="1265" t="s">
        <v>32</v>
      </c>
      <c r="AA53" s="978" t="s">
        <v>260</v>
      </c>
      <c r="AB53" s="978" t="s">
        <v>1017</v>
      </c>
      <c r="AC53" s="2296" t="s">
        <v>4824</v>
      </c>
      <c r="AD53" s="1052"/>
      <c r="AE53" s="2283"/>
    </row>
    <row r="54" spans="1:31" ht="15" customHeight="1" thickBot="1">
      <c r="A54" s="1265" t="s">
        <v>25</v>
      </c>
      <c r="B54" s="1265" t="s">
        <v>25</v>
      </c>
      <c r="C54" s="1265" t="s">
        <v>1105</v>
      </c>
      <c r="D54" s="1265" t="s">
        <v>1106</v>
      </c>
      <c r="E54" s="1265" t="s">
        <v>1107</v>
      </c>
      <c r="F54" s="1265">
        <v>748842674</v>
      </c>
      <c r="G54" s="1265">
        <v>748842674</v>
      </c>
      <c r="H54" s="1265"/>
      <c r="I54" s="978"/>
      <c r="J54" s="978" t="s">
        <v>36</v>
      </c>
      <c r="K54" s="978" t="s">
        <v>203</v>
      </c>
      <c r="L54" s="978" t="s">
        <v>1368</v>
      </c>
      <c r="M54" s="978"/>
      <c r="N54" s="978"/>
      <c r="O54" s="2294">
        <v>45727</v>
      </c>
      <c r="P54" s="978">
        <v>268</v>
      </c>
      <c r="Q54" s="2294">
        <v>45728</v>
      </c>
      <c r="R54" s="1265" t="s">
        <v>2641</v>
      </c>
      <c r="S54" s="978"/>
      <c r="T54" s="978"/>
      <c r="U54" s="1265" t="s">
        <v>16</v>
      </c>
      <c r="V54" s="1265" t="s">
        <v>16</v>
      </c>
      <c r="W54" s="978" t="s">
        <v>48</v>
      </c>
      <c r="X54" s="978" t="s">
        <v>310</v>
      </c>
      <c r="Y54" s="978"/>
      <c r="Z54" s="1265" t="s">
        <v>32</v>
      </c>
      <c r="AA54" s="978" t="s">
        <v>260</v>
      </c>
      <c r="AB54" s="1265" t="s">
        <v>3043</v>
      </c>
      <c r="AC54" s="978" t="s">
        <v>2309</v>
      </c>
      <c r="AD54" s="2291"/>
      <c r="AE54" s="2283" t="e">
        <f>+COUNTIF([1]Feuil1!A:A,C54)</f>
        <v>#VALUE!</v>
      </c>
    </row>
    <row r="55" spans="1:31" ht="15" customHeight="1" thickBot="1">
      <c r="A55" s="1265" t="s">
        <v>25</v>
      </c>
      <c r="B55" s="1265" t="s">
        <v>25</v>
      </c>
      <c r="C55" s="1265" t="s">
        <v>2312</v>
      </c>
      <c r="D55" s="1265" t="s">
        <v>2313</v>
      </c>
      <c r="E55" s="1265" t="s">
        <v>25</v>
      </c>
      <c r="F55" s="1265" t="s">
        <v>2767</v>
      </c>
      <c r="G55" s="1265">
        <v>708489833</v>
      </c>
      <c r="H55" s="978"/>
      <c r="I55" s="978"/>
      <c r="J55" s="1265" t="s">
        <v>25</v>
      </c>
      <c r="K55" s="978"/>
      <c r="L55" s="978"/>
      <c r="M55" s="978"/>
      <c r="N55" s="978"/>
      <c r="O55" s="2294">
        <v>45682</v>
      </c>
      <c r="P55" s="978">
        <v>159</v>
      </c>
      <c r="Q55" s="2294">
        <v>45837</v>
      </c>
      <c r="R55" s="1265" t="s">
        <v>2768</v>
      </c>
      <c r="S55" s="978"/>
      <c r="T55" s="978"/>
      <c r="U55" s="1265" t="s">
        <v>16</v>
      </c>
      <c r="V55" s="1265" t="s">
        <v>16</v>
      </c>
      <c r="W55" s="978" t="s">
        <v>48</v>
      </c>
      <c r="X55" s="978" t="s">
        <v>310</v>
      </c>
      <c r="Y55" s="978"/>
      <c r="Z55" s="978" t="s">
        <v>32</v>
      </c>
      <c r="AA55" s="1265" t="s">
        <v>260</v>
      </c>
      <c r="AB55" s="1265" t="s">
        <v>3043</v>
      </c>
      <c r="AC55" s="978" t="s">
        <v>2314</v>
      </c>
      <c r="AD55" s="2291"/>
      <c r="AE55" s="2283" t="e">
        <f>+COUNTIF([1]Feuil1!A:A,C55)</f>
        <v>#VALUE!</v>
      </c>
    </row>
    <row r="56" spans="1:31" ht="15" customHeight="1" thickBot="1">
      <c r="A56" s="1265" t="s">
        <v>25</v>
      </c>
      <c r="B56" s="1265" t="s">
        <v>25</v>
      </c>
      <c r="C56" s="1265" t="s">
        <v>3212</v>
      </c>
      <c r="D56" s="1265" t="s">
        <v>3213</v>
      </c>
      <c r="E56" s="1265" t="s">
        <v>3053</v>
      </c>
      <c r="F56" s="1265">
        <v>153135908</v>
      </c>
      <c r="G56" s="1265">
        <v>153135908</v>
      </c>
      <c r="H56" s="978"/>
      <c r="I56" s="978"/>
      <c r="J56" s="1265" t="s">
        <v>25</v>
      </c>
      <c r="K56" s="978"/>
      <c r="L56" s="978"/>
      <c r="M56" s="978"/>
      <c r="N56" s="978"/>
      <c r="O56" s="2294">
        <v>45923</v>
      </c>
      <c r="P56" s="978">
        <v>69</v>
      </c>
      <c r="Q56" s="2294">
        <v>45927</v>
      </c>
      <c r="R56" s="1265" t="s">
        <v>2768</v>
      </c>
      <c r="S56" s="1265"/>
      <c r="T56" s="1265"/>
      <c r="U56" s="1265" t="s">
        <v>16</v>
      </c>
      <c r="V56" s="1265" t="s">
        <v>16</v>
      </c>
      <c r="W56" s="978" t="s">
        <v>48</v>
      </c>
      <c r="X56" s="1265" t="s">
        <v>310</v>
      </c>
      <c r="Y56" s="1265"/>
      <c r="Z56" s="1265" t="s">
        <v>32</v>
      </c>
      <c r="AA56" s="978" t="s">
        <v>260</v>
      </c>
      <c r="AB56" s="1265" t="s">
        <v>3043</v>
      </c>
      <c r="AC56" s="978" t="s">
        <v>4349</v>
      </c>
      <c r="AD56" s="2291"/>
      <c r="AE56" s="2283" t="e">
        <f>+COUNTIF([1]Feuil1!A:A,C56)</f>
        <v>#VALUE!</v>
      </c>
    </row>
    <row r="57" spans="1:31" ht="15" customHeight="1" thickBot="1">
      <c r="A57" s="1265" t="s">
        <v>25</v>
      </c>
      <c r="B57" s="1265" t="s">
        <v>25</v>
      </c>
      <c r="C57" s="1265" t="s">
        <v>3445</v>
      </c>
      <c r="D57" s="1265" t="s">
        <v>3446</v>
      </c>
      <c r="E57" s="1265" t="s">
        <v>1701</v>
      </c>
      <c r="F57" s="1265">
        <v>153490179</v>
      </c>
      <c r="G57" s="1265">
        <v>705215427</v>
      </c>
      <c r="H57" s="978"/>
      <c r="I57" s="978"/>
      <c r="J57" s="1265" t="s">
        <v>25</v>
      </c>
      <c r="K57" s="978"/>
      <c r="L57" s="978"/>
      <c r="M57" s="978"/>
      <c r="N57" s="978"/>
      <c r="O57" s="2294">
        <v>45941</v>
      </c>
      <c r="P57" s="978">
        <v>53</v>
      </c>
      <c r="Q57" s="2294">
        <v>45943</v>
      </c>
      <c r="R57" s="1265" t="s">
        <v>2768</v>
      </c>
      <c r="S57" s="978"/>
      <c r="T57" s="978">
        <v>0</v>
      </c>
      <c r="U57" s="1265" t="s">
        <v>16</v>
      </c>
      <c r="V57" s="1265" t="s">
        <v>16</v>
      </c>
      <c r="W57" s="978" t="s">
        <v>48</v>
      </c>
      <c r="X57" s="1265" t="s">
        <v>310</v>
      </c>
      <c r="Y57" s="978"/>
      <c r="Z57" s="1265" t="s">
        <v>32</v>
      </c>
      <c r="AA57" s="978" t="s">
        <v>260</v>
      </c>
      <c r="AB57" s="978" t="s">
        <v>3043</v>
      </c>
      <c r="AC57" s="978" t="s">
        <v>3466</v>
      </c>
      <c r="AD57" s="2291"/>
      <c r="AE57" s="2283" t="e">
        <f>+COUNTIF([1]Feuil1!A:A,C57)</f>
        <v>#VALUE!</v>
      </c>
    </row>
    <row r="58" spans="1:31" ht="15" customHeight="1" thickBot="1">
      <c r="A58" s="1265" t="s">
        <v>25</v>
      </c>
      <c r="B58" s="1265" t="s">
        <v>25</v>
      </c>
      <c r="C58" s="2298" t="s">
        <v>4184</v>
      </c>
      <c r="D58" s="2298" t="s">
        <v>4185</v>
      </c>
      <c r="E58" s="2298" t="s">
        <v>4186</v>
      </c>
      <c r="F58" s="2298">
        <v>101226300</v>
      </c>
      <c r="G58" s="2298">
        <v>708423445</v>
      </c>
      <c r="H58" s="978"/>
      <c r="I58" s="978"/>
      <c r="J58" s="2298" t="s">
        <v>25</v>
      </c>
      <c r="K58" s="978"/>
      <c r="L58" s="978"/>
      <c r="M58" s="978"/>
      <c r="N58" s="978"/>
      <c r="O58" s="2307">
        <v>45983</v>
      </c>
      <c r="P58" s="978">
        <v>11</v>
      </c>
      <c r="Q58" s="2307">
        <v>45985</v>
      </c>
      <c r="R58" s="1265" t="s">
        <v>2768</v>
      </c>
      <c r="S58" s="1265"/>
      <c r="T58" s="1265">
        <v>0</v>
      </c>
      <c r="U58" s="1265" t="s">
        <v>16</v>
      </c>
      <c r="V58" s="1265" t="s">
        <v>16</v>
      </c>
      <c r="W58" s="978" t="s">
        <v>48</v>
      </c>
      <c r="X58" s="1265" t="s">
        <v>310</v>
      </c>
      <c r="Y58" s="1265"/>
      <c r="Z58" s="1265" t="s">
        <v>32</v>
      </c>
      <c r="AA58" s="1265" t="s">
        <v>260</v>
      </c>
      <c r="AB58" s="1265" t="s">
        <v>3043</v>
      </c>
      <c r="AC58" s="978" t="s">
        <v>4187</v>
      </c>
      <c r="AD58" s="2291"/>
      <c r="AE58" s="2283" t="e">
        <f>+COUNTIF([1]Feuil1!A:A,C58)</f>
        <v>#VALUE!</v>
      </c>
    </row>
    <row r="59" spans="1:31" ht="15" customHeight="1" thickBot="1">
      <c r="A59" s="1265" t="s">
        <v>25</v>
      </c>
      <c r="B59" s="1265" t="s">
        <v>25</v>
      </c>
      <c r="C59" s="1265" t="s">
        <v>2540</v>
      </c>
      <c r="D59" s="1265" t="s">
        <v>1016</v>
      </c>
      <c r="E59" s="1265" t="s">
        <v>434</v>
      </c>
      <c r="F59" s="1265">
        <v>150867208</v>
      </c>
      <c r="G59" s="1265">
        <v>709469224</v>
      </c>
      <c r="H59" s="978">
        <v>5.8437219999999996</v>
      </c>
      <c r="I59" s="978">
        <v>-5.3558380000000003</v>
      </c>
      <c r="J59" s="978" t="s">
        <v>189</v>
      </c>
      <c r="K59" s="978" t="s">
        <v>203</v>
      </c>
      <c r="L59" s="978" t="s">
        <v>541</v>
      </c>
      <c r="M59" s="978"/>
      <c r="N59" s="978"/>
      <c r="O59" s="2294">
        <v>45706</v>
      </c>
      <c r="P59" s="978">
        <v>272</v>
      </c>
      <c r="Q59" s="2294">
        <v>45724</v>
      </c>
      <c r="R59" s="1265" t="s">
        <v>2641</v>
      </c>
      <c r="S59" s="978"/>
      <c r="T59" s="978">
        <v>1</v>
      </c>
      <c r="U59" s="1265" t="s">
        <v>16</v>
      </c>
      <c r="V59" s="1265" t="s">
        <v>16</v>
      </c>
      <c r="W59" s="978" t="s">
        <v>48</v>
      </c>
      <c r="X59" s="1265" t="s">
        <v>310</v>
      </c>
      <c r="Y59" s="978">
        <v>200</v>
      </c>
      <c r="Z59" s="1265" t="s">
        <v>32</v>
      </c>
      <c r="AA59" s="978" t="s">
        <v>260</v>
      </c>
      <c r="AB59" s="1265" t="s">
        <v>2956</v>
      </c>
      <c r="AC59" s="1265" t="s">
        <v>2766</v>
      </c>
      <c r="AD59" s="2291"/>
      <c r="AE59" s="2283" t="e">
        <f>+COUNTIF([1]Feuil1!A:A,C59)</f>
        <v>#VALUE!</v>
      </c>
    </row>
    <row r="60" spans="1:31" ht="15" customHeight="1">
      <c r="A60" s="1265" t="s">
        <v>25</v>
      </c>
      <c r="B60" s="1265" t="s">
        <v>25</v>
      </c>
      <c r="C60" s="2302" t="s">
        <v>4794</v>
      </c>
      <c r="D60" s="2302" t="s">
        <v>4795</v>
      </c>
      <c r="E60" s="2302" t="s">
        <v>4796</v>
      </c>
      <c r="F60" s="2302">
        <v>708685583</v>
      </c>
      <c r="G60" s="2302">
        <v>708685583</v>
      </c>
      <c r="H60" s="978">
        <v>5.8496499999999996</v>
      </c>
      <c r="I60" s="978">
        <v>-5.3644999999999996</v>
      </c>
      <c r="J60" s="2302" t="s">
        <v>25</v>
      </c>
      <c r="K60" s="978"/>
      <c r="L60" s="978"/>
      <c r="M60" s="978"/>
      <c r="N60" s="978"/>
      <c r="O60" s="2306">
        <v>46030</v>
      </c>
      <c r="P60" s="978"/>
      <c r="Q60" s="2306">
        <v>46031</v>
      </c>
      <c r="R60" s="1265" t="s">
        <v>273</v>
      </c>
      <c r="S60" s="1265"/>
      <c r="T60" s="1265"/>
      <c r="U60" s="1265" t="s">
        <v>16</v>
      </c>
      <c r="V60" s="1265" t="s">
        <v>16</v>
      </c>
      <c r="W60" s="978" t="s">
        <v>48</v>
      </c>
      <c r="X60" s="1265" t="s">
        <v>310</v>
      </c>
      <c r="Y60" s="1265"/>
      <c r="Z60" s="1265" t="s">
        <v>32</v>
      </c>
      <c r="AA60" s="978" t="s">
        <v>260</v>
      </c>
      <c r="AB60" s="978" t="s">
        <v>16</v>
      </c>
      <c r="AC60" s="978" t="s">
        <v>4806</v>
      </c>
      <c r="AE60" s="2279" t="e">
        <f>+COUNTIF([1]Feuil1!A:A,C60)</f>
        <v>#VALUE!</v>
      </c>
    </row>
    <row r="61" spans="1:31" ht="15" customHeight="1">
      <c r="A61" s="1265" t="s">
        <v>25</v>
      </c>
      <c r="B61" s="1265" t="s">
        <v>25</v>
      </c>
      <c r="C61" s="791" t="s">
        <v>5077</v>
      </c>
      <c r="D61" s="791" t="s">
        <v>5078</v>
      </c>
      <c r="E61" s="2312" t="s">
        <v>5079</v>
      </c>
      <c r="F61" s="791">
        <v>141919196</v>
      </c>
      <c r="G61" s="791">
        <v>545834066</v>
      </c>
      <c r="H61" s="978">
        <v>5.8456200000000003</v>
      </c>
      <c r="I61" s="978">
        <v>-5.36165</v>
      </c>
      <c r="J61" s="791" t="s">
        <v>36</v>
      </c>
      <c r="K61" s="978" t="s">
        <v>190</v>
      </c>
      <c r="L61" s="978" t="s">
        <v>3128</v>
      </c>
      <c r="M61" s="978"/>
      <c r="N61" s="978"/>
      <c r="O61" s="2313">
        <v>46065</v>
      </c>
      <c r="P61" s="978"/>
      <c r="Q61" s="2313">
        <v>46066</v>
      </c>
      <c r="R61" s="1265" t="s">
        <v>2641</v>
      </c>
      <c r="S61" s="1265"/>
      <c r="T61" s="1265">
        <v>2</v>
      </c>
      <c r="U61" s="1265" t="s">
        <v>16</v>
      </c>
      <c r="V61" s="1265" t="s">
        <v>16</v>
      </c>
      <c r="W61" s="2295">
        <v>46070</v>
      </c>
      <c r="X61" s="1265" t="s">
        <v>310</v>
      </c>
      <c r="Y61" s="1265">
        <v>350</v>
      </c>
      <c r="Z61" s="1265" t="s">
        <v>32</v>
      </c>
      <c r="AA61" s="978" t="s">
        <v>5064</v>
      </c>
      <c r="AB61" s="978" t="s">
        <v>16</v>
      </c>
      <c r="AC61" s="978" t="s">
        <v>5082</v>
      </c>
    </row>
    <row r="62" spans="1:31" ht="15" customHeight="1">
      <c r="A62" s="1265" t="s">
        <v>25</v>
      </c>
      <c r="B62" s="1265" t="s">
        <v>25</v>
      </c>
      <c r="C62" s="2320" t="s">
        <v>5085</v>
      </c>
      <c r="D62" s="2320" t="s">
        <v>5086</v>
      </c>
      <c r="E62" s="2320" t="s">
        <v>41</v>
      </c>
      <c r="F62" s="2320">
        <v>555454698</v>
      </c>
      <c r="G62" s="2320">
        <v>767523849</v>
      </c>
      <c r="H62" s="978">
        <v>5.84802</v>
      </c>
      <c r="I62" s="978">
        <v>-5.35487</v>
      </c>
      <c r="J62" s="978" t="s">
        <v>189</v>
      </c>
      <c r="K62" s="978" t="s">
        <v>198</v>
      </c>
      <c r="L62" s="978" t="s">
        <v>258</v>
      </c>
      <c r="M62" s="978" t="s">
        <v>5099</v>
      </c>
      <c r="N62" s="978">
        <v>2150046732</v>
      </c>
      <c r="O62" s="2321">
        <v>46064</v>
      </c>
      <c r="P62" s="978"/>
      <c r="Q62" s="2321">
        <v>46067</v>
      </c>
      <c r="R62" s="2317" t="s">
        <v>2641</v>
      </c>
      <c r="S62" s="2317"/>
      <c r="T62" s="2317">
        <v>2</v>
      </c>
      <c r="U62" s="2317" t="s">
        <v>16</v>
      </c>
      <c r="V62" s="2317" t="s">
        <v>16</v>
      </c>
      <c r="W62" s="2318">
        <v>46069</v>
      </c>
      <c r="X62" s="2317" t="s">
        <v>310</v>
      </c>
      <c r="Y62" s="2317">
        <v>350</v>
      </c>
      <c r="Z62" s="2317" t="s">
        <v>32</v>
      </c>
      <c r="AA62" s="2317" t="s">
        <v>5064</v>
      </c>
      <c r="AB62" s="2317" t="s">
        <v>16</v>
      </c>
      <c r="AC62" s="2319" t="s">
        <v>5095</v>
      </c>
    </row>
    <row r="63" spans="1:31" ht="15" customHeight="1">
      <c r="A63" s="1265" t="s">
        <v>25</v>
      </c>
      <c r="B63" s="1265" t="s">
        <v>25</v>
      </c>
      <c r="C63" s="2320" t="s">
        <v>5087</v>
      </c>
      <c r="D63" s="2320" t="s">
        <v>5088</v>
      </c>
      <c r="E63" s="2320" t="s">
        <v>5089</v>
      </c>
      <c r="F63" s="2320">
        <v>777069676</v>
      </c>
      <c r="G63" s="2320">
        <v>556276315</v>
      </c>
      <c r="H63" s="978"/>
      <c r="I63" s="978"/>
      <c r="J63" s="978"/>
      <c r="K63" s="978"/>
      <c r="L63" s="978"/>
      <c r="M63" s="978"/>
      <c r="N63" s="978"/>
      <c r="O63" s="2321">
        <v>46064</v>
      </c>
      <c r="P63" s="978"/>
      <c r="Q63" s="2321">
        <v>46067</v>
      </c>
      <c r="R63" s="2317" t="s">
        <v>2768</v>
      </c>
      <c r="S63" s="2317"/>
      <c r="T63" s="2317">
        <v>0</v>
      </c>
      <c r="U63" s="2317" t="s">
        <v>16</v>
      </c>
      <c r="V63" s="2317" t="s">
        <v>16</v>
      </c>
      <c r="W63" s="2318" t="s">
        <v>48</v>
      </c>
      <c r="X63" s="2317" t="s">
        <v>310</v>
      </c>
      <c r="Y63" s="2317"/>
      <c r="Z63" s="2317" t="s">
        <v>32</v>
      </c>
      <c r="AA63" s="2317" t="s">
        <v>260</v>
      </c>
      <c r="AB63" s="2317" t="s">
        <v>3043</v>
      </c>
      <c r="AC63" s="2319" t="s">
        <v>5098</v>
      </c>
    </row>
    <row r="64" spans="1:31" ht="15" customHeight="1">
      <c r="A64" s="1265" t="s">
        <v>25</v>
      </c>
      <c r="B64" s="1265" t="s">
        <v>25</v>
      </c>
      <c r="C64" s="2320" t="s">
        <v>5090</v>
      </c>
      <c r="D64" s="2320" t="s">
        <v>5091</v>
      </c>
      <c r="E64" s="2320" t="s">
        <v>5092</v>
      </c>
      <c r="F64" s="2320">
        <v>789542844</v>
      </c>
      <c r="G64" s="2320">
        <v>789542844</v>
      </c>
      <c r="H64" s="978">
        <v>5.8310599999999999</v>
      </c>
      <c r="I64" s="978">
        <v>-5.35466</v>
      </c>
      <c r="J64" s="978" t="s">
        <v>36</v>
      </c>
      <c r="K64" s="978" t="s">
        <v>274</v>
      </c>
      <c r="L64" s="978" t="s">
        <v>3169</v>
      </c>
      <c r="M64" s="978" t="s">
        <v>5100</v>
      </c>
      <c r="N64" s="978">
        <v>2150046731</v>
      </c>
      <c r="O64" s="2321">
        <v>46066</v>
      </c>
      <c r="P64" s="978"/>
      <c r="Q64" s="2321">
        <v>46067</v>
      </c>
      <c r="R64" s="2317" t="s">
        <v>2641</v>
      </c>
      <c r="S64" s="2317"/>
      <c r="T64" s="2317">
        <v>2</v>
      </c>
      <c r="U64" s="2317" t="s">
        <v>16</v>
      </c>
      <c r="V64" s="2317" t="s">
        <v>16</v>
      </c>
      <c r="W64" s="2318">
        <v>46069</v>
      </c>
      <c r="X64" s="2317" t="s">
        <v>310</v>
      </c>
      <c r="Y64" s="2317">
        <v>350</v>
      </c>
      <c r="Z64" s="2317" t="s">
        <v>32</v>
      </c>
      <c r="AA64" s="2317" t="s">
        <v>5064</v>
      </c>
      <c r="AB64" s="2317" t="s">
        <v>16</v>
      </c>
      <c r="AC64" s="2319" t="s">
        <v>5096</v>
      </c>
    </row>
    <row r="65" spans="1:29" ht="15" customHeight="1">
      <c r="A65" s="1265" t="s">
        <v>25</v>
      </c>
      <c r="B65" s="1265" t="s">
        <v>25</v>
      </c>
      <c r="C65" s="2320" t="s">
        <v>5093</v>
      </c>
      <c r="D65" s="2320" t="s">
        <v>5094</v>
      </c>
      <c r="E65" s="2320" t="s">
        <v>1417</v>
      </c>
      <c r="F65" s="2320">
        <v>708462517</v>
      </c>
      <c r="G65" s="2320">
        <v>708462517</v>
      </c>
      <c r="H65" s="978"/>
      <c r="I65" s="978"/>
      <c r="J65" s="978"/>
      <c r="K65" s="978"/>
      <c r="L65" s="978"/>
      <c r="M65" s="978"/>
      <c r="N65" s="978"/>
      <c r="O65" s="2321">
        <v>46066</v>
      </c>
      <c r="P65" s="978"/>
      <c r="Q65" s="2321">
        <v>46067</v>
      </c>
      <c r="R65" s="2317" t="s">
        <v>2768</v>
      </c>
      <c r="S65" s="2317"/>
      <c r="T65" s="2317">
        <v>0</v>
      </c>
      <c r="U65" s="2317" t="s">
        <v>16</v>
      </c>
      <c r="V65" s="2317" t="s">
        <v>16</v>
      </c>
      <c r="W65" s="2318" t="s">
        <v>48</v>
      </c>
      <c r="X65" s="2317" t="s">
        <v>310</v>
      </c>
      <c r="Y65" s="2317"/>
      <c r="Z65" s="2317" t="s">
        <v>32</v>
      </c>
      <c r="AA65" s="2317" t="s">
        <v>260</v>
      </c>
      <c r="AB65" s="2317" t="s">
        <v>1017</v>
      </c>
      <c r="AC65" s="2317" t="s">
        <v>5097</v>
      </c>
    </row>
    <row r="70" spans="1:29" ht="15" customHeight="1">
      <c r="C70" s="2280"/>
    </row>
    <row r="71" spans="1:29" ht="15" customHeight="1">
      <c r="C71" s="2281"/>
    </row>
    <row r="72" spans="1:29" ht="15" customHeight="1">
      <c r="C72" s="2281"/>
    </row>
    <row r="73" spans="1:29" ht="15" customHeight="1">
      <c r="C73" s="2281"/>
    </row>
    <row r="74" spans="1:29" ht="15" customHeight="1">
      <c r="C74" s="2281"/>
    </row>
    <row r="75" spans="1:29" ht="15" customHeight="1">
      <c r="C75" s="2281"/>
    </row>
    <row r="76" spans="1:29" ht="15" customHeight="1">
      <c r="C76" s="2280"/>
    </row>
    <row r="77" spans="1:29" ht="15" customHeight="1">
      <c r="C77" s="2281"/>
    </row>
    <row r="78" spans="1:29" ht="15" customHeight="1">
      <c r="C78" s="2281"/>
    </row>
    <row r="80" spans="1:29" ht="15" customHeight="1">
      <c r="AC80" s="2314"/>
    </row>
    <row r="81" spans="29:29" ht="15" customHeight="1">
      <c r="AC81" s="2314"/>
    </row>
  </sheetData>
  <autoFilter ref="A1:AE65" xr:uid="{00000000-0001-0000-0000-000000000000}"/>
  <phoneticPr fontId="12" type="noConversion"/>
  <conditionalFormatting sqref="C1:C61 C63:C1048576">
    <cfRule type="duplicateValues" dxfId="1043" priority="1392"/>
  </conditionalFormatting>
  <conditionalFormatting sqref="C57">
    <cfRule type="duplicateValues" dxfId="1042" priority="3"/>
  </conditionalFormatting>
  <conditionalFormatting sqref="C58:C61 C1:C56 C63:C1048576">
    <cfRule type="duplicateValues" dxfId="1041" priority="1256"/>
    <cfRule type="duplicateValues" dxfId="1040" priority="1257"/>
    <cfRule type="duplicateValues" dxfId="1039" priority="1258"/>
    <cfRule type="duplicateValues" dxfId="1038" priority="1265"/>
    <cfRule type="duplicateValues" dxfId="1037" priority="1266"/>
    <cfRule type="duplicateValues" dxfId="1036" priority="1271"/>
  </conditionalFormatting>
  <conditionalFormatting sqref="C58:C61 C63:C1048576">
    <cfRule type="duplicateValues" dxfId="1035" priority="1253"/>
  </conditionalFormatting>
  <conditionalFormatting sqref="D1">
    <cfRule type="duplicateValues" dxfId="1034" priority="115"/>
    <cfRule type="duplicateValues" dxfId="1033" priority="117"/>
  </conditionalFormatting>
  <conditionalFormatting sqref="D3:D8">
    <cfRule type="duplicateValues" dxfId="1032" priority="702"/>
    <cfRule type="duplicateValues" dxfId="1031" priority="703"/>
    <cfRule type="duplicateValues" dxfId="1030" priority="704"/>
    <cfRule type="duplicateValues" dxfId="1029" priority="705"/>
    <cfRule type="duplicateValues" dxfId="1028" priority="706"/>
    <cfRule type="duplicateValues" dxfId="1027" priority="707"/>
    <cfRule type="duplicateValues" dxfId="1026" priority="708"/>
    <cfRule type="duplicateValues" dxfId="1025" priority="709"/>
    <cfRule type="duplicateValues" dxfId="1024" priority="710"/>
    <cfRule type="duplicateValues" dxfId="1023" priority="711"/>
  </conditionalFormatting>
  <conditionalFormatting sqref="D58:D1048576 D38:D41 D21:D22 D54:D56 D1:D13">
    <cfRule type="duplicateValues" dxfId="1022" priority="1346"/>
  </conditionalFormatting>
  <conditionalFormatting sqref="D58:D1048576 D38:D41 D21:D22 D54:D56 D1:D15">
    <cfRule type="duplicateValues" dxfId="1021" priority="1352"/>
  </conditionalFormatting>
  <conditionalFormatting sqref="D58:D1048576 D38:D41 D54:D56 D1:D22">
    <cfRule type="duplicateValues" dxfId="1020" priority="1306"/>
    <cfRule type="duplicateValues" dxfId="1019" priority="1307"/>
  </conditionalFormatting>
  <conditionalFormatting sqref="D58:D1048576 D38:D41 D54:D56 D1:D24">
    <cfRule type="duplicateValues" dxfId="1018" priority="1316"/>
  </conditionalFormatting>
  <conditionalFormatting sqref="D58:D1048576 D38:D41 D54:D56 D1:D26">
    <cfRule type="duplicateValues" dxfId="1017" priority="1321"/>
  </conditionalFormatting>
  <conditionalFormatting sqref="D58:D1048576 D38:D41 D54:D56 D1:D29">
    <cfRule type="duplicateValues" dxfId="1016" priority="1326"/>
  </conditionalFormatting>
  <conditionalFormatting sqref="D58:D1048576 D38:D41 D54:D56 D1:D30">
    <cfRule type="duplicateValues" dxfId="1015" priority="1331"/>
    <cfRule type="duplicateValues" dxfId="1014" priority="1332"/>
  </conditionalFormatting>
  <conditionalFormatting sqref="D58:D1048576 D38:D41 D54:D56 D1:D31">
    <cfRule type="duplicateValues" dxfId="1013" priority="1341"/>
  </conditionalFormatting>
  <conditionalFormatting sqref="D58:D1048576 D53:D56 D1:D49">
    <cfRule type="duplicateValues" dxfId="1012" priority="1302"/>
  </conditionalFormatting>
  <conditionalFormatting sqref="D58:D1048576 D54:D56 D1:D13">
    <cfRule type="duplicateValues" dxfId="1011" priority="1274"/>
    <cfRule type="duplicateValues" dxfId="1010" priority="1275"/>
    <cfRule type="duplicateValues" dxfId="1009" priority="1276"/>
  </conditionalFormatting>
  <conditionalFormatting sqref="D58:D1048576 D54:D56 D1:D41">
    <cfRule type="duplicateValues" dxfId="1008" priority="1286"/>
  </conditionalFormatting>
  <conditionalFormatting sqref="D58:D1048576 D54:D56 D1:D44">
    <cfRule type="duplicateValues" dxfId="1007" priority="1291"/>
    <cfRule type="duplicateValues" dxfId="1006" priority="1290"/>
  </conditionalFormatting>
  <conditionalFormatting sqref="D58:D1048576 D54:D56 D1:D45">
    <cfRule type="duplicateValues" dxfId="1005" priority="1298"/>
  </conditionalFormatting>
  <conditionalFormatting sqref="D58:D1048576 D54:D56">
    <cfRule type="duplicateValues" dxfId="1004" priority="1358"/>
    <cfRule type="duplicateValues" dxfId="1003" priority="1359"/>
    <cfRule type="duplicateValues" dxfId="1002" priority="1360"/>
    <cfRule type="duplicateValues" dxfId="1001" priority="1361"/>
    <cfRule type="duplicateValues" dxfId="1000" priority="1362"/>
    <cfRule type="duplicateValues" dxfId="999" priority="1364"/>
    <cfRule type="duplicateValues" dxfId="998" priority="1365"/>
    <cfRule type="duplicateValues" dxfId="997" priority="1366"/>
    <cfRule type="duplicateValues" dxfId="996" priority="1367"/>
    <cfRule type="duplicateValues" dxfId="995" priority="1368"/>
    <cfRule type="duplicateValues" dxfId="994" priority="136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F1028"/>
  <sheetViews>
    <sheetView zoomScale="80" zoomScaleNormal="80" zoomScaleSheetLayoutView="50" workbookViewId="0">
      <pane ySplit="1" topLeftCell="A1010" activePane="bottomLeft" state="frozen"/>
      <selection pane="bottomLeft" activeCell="AC1028" sqref="A1027:AC1028"/>
    </sheetView>
  </sheetViews>
  <sheetFormatPr baseColWidth="10" defaultColWidth="11.5546875" defaultRowHeight="15" customHeight="1"/>
  <cols>
    <col min="1" max="1" width="6.6640625" style="594" customWidth="1"/>
    <col min="2" max="2" width="7.88671875" style="594" customWidth="1"/>
    <col min="3" max="3" width="22.5546875" style="594" customWidth="1"/>
    <col min="4" max="5" width="35.109375" style="594" customWidth="1"/>
    <col min="6" max="6" width="16.109375" style="594" customWidth="1"/>
    <col min="7" max="7" width="13.6640625" style="594" customWidth="1"/>
    <col min="8" max="8" width="11.6640625" style="594" customWidth="1"/>
    <col min="9" max="9" width="13.6640625" style="594" customWidth="1"/>
    <col min="10" max="11" width="11.5546875" style="594" customWidth="1"/>
    <col min="12" max="12" width="20.88671875" style="594" customWidth="1"/>
    <col min="13" max="13" width="23.33203125" style="594" customWidth="1"/>
    <col min="14" max="14" width="15.109375" style="594" customWidth="1"/>
    <col min="15" max="15" width="14.109375" style="594" customWidth="1"/>
    <col min="16" max="16" width="5.5546875" style="594" customWidth="1"/>
    <col min="17" max="17" width="14.6640625" style="594" customWidth="1"/>
    <col min="18" max="18" width="18.77734375" style="594" customWidth="1"/>
    <col min="19" max="19" width="5.77734375" style="594" customWidth="1"/>
    <col min="20" max="20" width="5.109375" style="594" customWidth="1"/>
    <col min="21" max="21" width="14.44140625" style="594" customWidth="1"/>
    <col min="22" max="22" width="18.88671875" style="594" customWidth="1"/>
    <col min="23" max="23" width="7.5546875" style="594" customWidth="1"/>
    <col min="24" max="24" width="10.21875" style="594" customWidth="1"/>
    <col min="25" max="25" width="13" style="594" customWidth="1"/>
    <col min="26" max="26" width="8.5546875" style="594" customWidth="1"/>
    <col min="27" max="27" width="16.5546875" style="594" customWidth="1"/>
    <col min="28" max="28" width="12.44140625" style="594" customWidth="1"/>
    <col min="29" max="29" width="175.33203125" style="594" customWidth="1"/>
    <col min="30" max="30" width="29.33203125" style="594" customWidth="1"/>
    <col min="31" max="31" width="31.5546875" style="594" customWidth="1"/>
    <col min="32" max="16384" width="11.5546875" style="594"/>
  </cols>
  <sheetData>
    <row r="1" spans="1:29" s="593" customFormat="1" ht="15" customHeight="1">
      <c r="A1" s="244" t="s">
        <v>890</v>
      </c>
      <c r="B1" s="244" t="s">
        <v>1110</v>
      </c>
      <c r="C1" s="244" t="s">
        <v>0</v>
      </c>
      <c r="D1" s="244" t="s">
        <v>178</v>
      </c>
      <c r="E1" s="244" t="s">
        <v>179</v>
      </c>
      <c r="F1" s="244" t="s">
        <v>2</v>
      </c>
      <c r="G1" s="244" t="s">
        <v>3</v>
      </c>
      <c r="H1" s="244" t="s">
        <v>4</v>
      </c>
      <c r="I1" s="244" t="s">
        <v>5</v>
      </c>
      <c r="J1" s="244" t="s">
        <v>6</v>
      </c>
      <c r="K1" s="244" t="s">
        <v>7</v>
      </c>
      <c r="L1" s="244" t="s">
        <v>8</v>
      </c>
      <c r="M1" s="244" t="s">
        <v>9</v>
      </c>
      <c r="N1" s="244" t="s">
        <v>180</v>
      </c>
      <c r="O1" s="244" t="s">
        <v>11</v>
      </c>
      <c r="P1" s="244" t="s">
        <v>12</v>
      </c>
      <c r="Q1" s="244" t="s">
        <v>181</v>
      </c>
      <c r="R1" s="244" t="s">
        <v>182</v>
      </c>
      <c r="S1" s="244" t="s">
        <v>14</v>
      </c>
      <c r="T1" s="244" t="s">
        <v>15</v>
      </c>
      <c r="U1" s="244" t="s">
        <v>183</v>
      </c>
      <c r="V1" s="244" t="s">
        <v>18</v>
      </c>
      <c r="W1" s="244" t="s">
        <v>184</v>
      </c>
      <c r="X1" s="244" t="s">
        <v>20</v>
      </c>
      <c r="Y1" s="244" t="s">
        <v>185</v>
      </c>
      <c r="Z1" s="245"/>
      <c r="AA1" s="245"/>
      <c r="AB1" s="245"/>
      <c r="AC1" s="245"/>
    </row>
    <row r="2" spans="1:29" ht="15" hidden="1" customHeight="1">
      <c r="A2" s="1647" t="s">
        <v>25</v>
      </c>
      <c r="B2" s="1647" t="s">
        <v>25</v>
      </c>
      <c r="C2" s="1648" t="s">
        <v>4709</v>
      </c>
      <c r="D2" s="1648" t="s">
        <v>4710</v>
      </c>
      <c r="E2" s="1649" t="s">
        <v>4711</v>
      </c>
      <c r="F2" s="1648">
        <v>708231239</v>
      </c>
      <c r="G2" s="1648">
        <v>103060072</v>
      </c>
      <c r="H2" s="1650">
        <v>5.8533799999999996</v>
      </c>
      <c r="I2" s="1650">
        <v>-5.3532200000000003</v>
      </c>
      <c r="J2" s="1648" t="s">
        <v>189</v>
      </c>
      <c r="K2" s="1650" t="s">
        <v>198</v>
      </c>
      <c r="L2" s="1650" t="s">
        <v>1210</v>
      </c>
      <c r="M2" s="1651" t="s">
        <v>4739</v>
      </c>
      <c r="N2" s="1650">
        <v>2150031681</v>
      </c>
      <c r="O2" s="1652">
        <v>46021</v>
      </c>
      <c r="P2" s="1650"/>
      <c r="Q2" s="1652">
        <v>46022</v>
      </c>
      <c r="R2" s="1647" t="s">
        <v>2641</v>
      </c>
      <c r="S2" s="1647"/>
      <c r="T2" s="1647">
        <v>0</v>
      </c>
      <c r="U2" s="1653">
        <v>45662</v>
      </c>
      <c r="V2" s="1647" t="s">
        <v>310</v>
      </c>
      <c r="W2" s="1647">
        <v>300</v>
      </c>
      <c r="X2" s="1647" t="s">
        <v>32</v>
      </c>
      <c r="Y2" s="1654"/>
      <c r="Z2" s="1655"/>
      <c r="AA2" s="1655" t="s">
        <v>532</v>
      </c>
      <c r="AB2" s="1655" t="s">
        <v>16</v>
      </c>
      <c r="AC2" s="1655" t="s">
        <v>194</v>
      </c>
    </row>
    <row r="3" spans="1:29" ht="15" hidden="1" customHeight="1">
      <c r="A3" s="1387" t="s">
        <v>25</v>
      </c>
      <c r="B3" s="1387" t="s">
        <v>25</v>
      </c>
      <c r="C3" s="1388" t="s">
        <v>4660</v>
      </c>
      <c r="D3" s="1388" t="s">
        <v>4661</v>
      </c>
      <c r="E3" s="1388" t="s">
        <v>295</v>
      </c>
      <c r="F3" s="1388">
        <v>171713003</v>
      </c>
      <c r="G3" s="1388">
        <v>707191692</v>
      </c>
      <c r="H3" s="1389">
        <v>5.8369900000000001</v>
      </c>
      <c r="I3" s="1389">
        <v>-5.3557300000000003</v>
      </c>
      <c r="J3" s="1388" t="s">
        <v>189</v>
      </c>
      <c r="K3" s="1389" t="s">
        <v>190</v>
      </c>
      <c r="L3" s="1389" t="s">
        <v>2256</v>
      </c>
      <c r="M3" s="1390" t="s">
        <v>4692</v>
      </c>
      <c r="N3" s="1390">
        <v>2150031695</v>
      </c>
      <c r="O3" s="1391">
        <v>46011</v>
      </c>
      <c r="P3" s="1389"/>
      <c r="Q3" s="1391">
        <v>46018</v>
      </c>
      <c r="R3" s="1389" t="s">
        <v>2641</v>
      </c>
      <c r="S3" s="1389"/>
      <c r="T3" s="1389">
        <v>3</v>
      </c>
      <c r="U3" s="1392">
        <v>45662</v>
      </c>
      <c r="V3" s="1387" t="s">
        <v>310</v>
      </c>
      <c r="W3" s="1389">
        <v>350</v>
      </c>
      <c r="X3" s="1387" t="s">
        <v>32</v>
      </c>
      <c r="Y3" s="1393"/>
      <c r="Z3" s="1394"/>
      <c r="AA3" s="1394" t="s">
        <v>532</v>
      </c>
      <c r="AB3" s="1394" t="s">
        <v>16</v>
      </c>
      <c r="AC3" s="1394" t="s">
        <v>738</v>
      </c>
    </row>
    <row r="4" spans="1:29" ht="15" customHeight="1">
      <c r="A4" s="1067" t="s">
        <v>25</v>
      </c>
      <c r="B4" s="1067" t="s">
        <v>25</v>
      </c>
      <c r="C4" s="222" t="s">
        <v>4651</v>
      </c>
      <c r="D4" s="222" t="s">
        <v>3574</v>
      </c>
      <c r="E4" s="222" t="s">
        <v>3326</v>
      </c>
      <c r="F4" s="222">
        <v>708386649</v>
      </c>
      <c r="G4" s="222">
        <v>555199169</v>
      </c>
      <c r="H4" s="223">
        <v>5.8110900000000001</v>
      </c>
      <c r="I4" s="223">
        <v>-5.3671899999999999</v>
      </c>
      <c r="J4" s="222" t="s">
        <v>2612</v>
      </c>
      <c r="K4" s="223" t="s">
        <v>203</v>
      </c>
      <c r="L4" s="223" t="s">
        <v>3577</v>
      </c>
      <c r="M4" s="1067" t="s">
        <v>4741</v>
      </c>
      <c r="N4" s="223">
        <v>2150049719</v>
      </c>
      <c r="O4" s="225">
        <v>46017</v>
      </c>
      <c r="P4" s="223"/>
      <c r="Q4" s="225">
        <v>46018</v>
      </c>
      <c r="R4" s="223" t="s">
        <v>2641</v>
      </c>
      <c r="S4" s="223"/>
      <c r="T4" s="223">
        <v>1</v>
      </c>
      <c r="U4" s="1207">
        <v>45662</v>
      </c>
      <c r="V4" s="1067" t="s">
        <v>310</v>
      </c>
      <c r="W4" s="223">
        <v>200</v>
      </c>
      <c r="X4" s="1067" t="s">
        <v>32</v>
      </c>
      <c r="Y4" s="1067"/>
      <c r="Z4" s="246"/>
      <c r="AA4" s="246" t="s">
        <v>532</v>
      </c>
      <c r="AB4" s="246" t="s">
        <v>16</v>
      </c>
      <c r="AC4" s="252" t="s">
        <v>739</v>
      </c>
    </row>
    <row r="5" spans="1:29" ht="15" customHeight="1">
      <c r="A5" s="1067" t="s">
        <v>25</v>
      </c>
      <c r="B5" s="1067" t="s">
        <v>25</v>
      </c>
      <c r="C5" s="222" t="s">
        <v>4664</v>
      </c>
      <c r="D5" s="222" t="s">
        <v>4665</v>
      </c>
      <c r="E5" s="222" t="s">
        <v>3273</v>
      </c>
      <c r="F5" s="222">
        <v>779486351</v>
      </c>
      <c r="G5" s="222">
        <v>555623683</v>
      </c>
      <c r="H5" s="223">
        <v>5.8188899999999997</v>
      </c>
      <c r="I5" s="223">
        <v>-5.3638899999999996</v>
      </c>
      <c r="J5" s="222" t="s">
        <v>2612</v>
      </c>
      <c r="K5" s="223" t="s">
        <v>198</v>
      </c>
      <c r="L5" s="223" t="s">
        <v>4698</v>
      </c>
      <c r="M5" s="1067" t="s">
        <v>4740</v>
      </c>
      <c r="N5" s="223">
        <v>2150049731</v>
      </c>
      <c r="O5" s="225">
        <v>46011</v>
      </c>
      <c r="P5" s="223"/>
      <c r="Q5" s="225">
        <v>46018</v>
      </c>
      <c r="R5" s="223" t="s">
        <v>2641</v>
      </c>
      <c r="S5" s="223"/>
      <c r="T5" s="223">
        <v>1</v>
      </c>
      <c r="U5" s="1207">
        <v>45662</v>
      </c>
      <c r="V5" s="1067" t="s">
        <v>310</v>
      </c>
      <c r="W5" s="223">
        <v>250</v>
      </c>
      <c r="X5" s="1067" t="s">
        <v>32</v>
      </c>
      <c r="Y5" s="1067"/>
      <c r="Z5" s="246"/>
      <c r="AA5" s="246" t="s">
        <v>532</v>
      </c>
      <c r="AB5" s="246" t="s">
        <v>16</v>
      </c>
      <c r="AC5" s="246" t="s">
        <v>515</v>
      </c>
    </row>
    <row r="6" spans="1:29" s="595" customFormat="1" ht="15" hidden="1" customHeight="1">
      <c r="A6" s="1655" t="s">
        <v>25</v>
      </c>
      <c r="B6" s="1655" t="s">
        <v>25</v>
      </c>
      <c r="C6" s="1656" t="s">
        <v>186</v>
      </c>
      <c r="D6" s="1656" t="s">
        <v>187</v>
      </c>
      <c r="E6" s="1656" t="s">
        <v>188</v>
      </c>
      <c r="F6" s="1656">
        <v>101428866</v>
      </c>
      <c r="G6" s="1656">
        <v>101428866</v>
      </c>
      <c r="H6" s="1655">
        <v>5.8387710000000004</v>
      </c>
      <c r="I6" s="1655">
        <v>-5.3528820000000001</v>
      </c>
      <c r="J6" s="1657" t="s">
        <v>189</v>
      </c>
      <c r="K6" s="1655" t="s">
        <v>190</v>
      </c>
      <c r="L6" s="1655" t="s">
        <v>514</v>
      </c>
      <c r="M6" s="1655" t="s">
        <v>191</v>
      </c>
      <c r="N6" s="1655">
        <v>2150011879</v>
      </c>
      <c r="O6" s="1658">
        <v>45679</v>
      </c>
      <c r="P6" s="1659">
        <f t="shared" ref="P6:P37" ca="1" si="0">TODAY()-Q6</f>
        <v>388</v>
      </c>
      <c r="Q6" s="1658">
        <v>45681</v>
      </c>
      <c r="R6" s="1655" t="s">
        <v>192</v>
      </c>
      <c r="S6" s="1655"/>
      <c r="T6" s="1655"/>
      <c r="U6" s="1660">
        <v>45685</v>
      </c>
      <c r="V6" s="1655" t="s">
        <v>31</v>
      </c>
      <c r="W6" s="1655">
        <v>150</v>
      </c>
      <c r="X6" s="1655" t="s">
        <v>32</v>
      </c>
      <c r="Y6" s="1655" t="s">
        <v>193</v>
      </c>
      <c r="Z6" s="1661"/>
      <c r="AA6" s="1661" t="s">
        <v>532</v>
      </c>
      <c r="AB6" s="1661" t="s">
        <v>16</v>
      </c>
      <c r="AC6" s="1662" t="s">
        <v>747</v>
      </c>
    </row>
    <row r="7" spans="1:29" s="595" customFormat="1" ht="15" hidden="1" customHeight="1">
      <c r="A7" s="246" t="s">
        <v>25</v>
      </c>
      <c r="B7" s="246" t="s">
        <v>25</v>
      </c>
      <c r="C7" s="247" t="s">
        <v>195</v>
      </c>
      <c r="D7" s="247" t="s">
        <v>196</v>
      </c>
      <c r="E7" s="247" t="s">
        <v>197</v>
      </c>
      <c r="F7" s="247">
        <v>777174083</v>
      </c>
      <c r="G7" s="247">
        <v>777174083</v>
      </c>
      <c r="H7" s="246"/>
      <c r="I7" s="246"/>
      <c r="J7" s="248" t="s">
        <v>189</v>
      </c>
      <c r="K7" s="246" t="s">
        <v>198</v>
      </c>
      <c r="L7" s="246" t="s">
        <v>282</v>
      </c>
      <c r="M7" s="246" t="s">
        <v>199</v>
      </c>
      <c r="N7" s="246">
        <v>2150011958</v>
      </c>
      <c r="O7" s="249">
        <v>45681</v>
      </c>
      <c r="P7" s="250">
        <f t="shared" ca="1" si="0"/>
        <v>386</v>
      </c>
      <c r="Q7" s="249">
        <v>45683</v>
      </c>
      <c r="R7" s="246" t="s">
        <v>192</v>
      </c>
      <c r="S7" s="246"/>
      <c r="T7" s="246"/>
      <c r="U7" s="251">
        <v>45686</v>
      </c>
      <c r="V7" s="246" t="s">
        <v>31</v>
      </c>
      <c r="W7" s="246">
        <v>150</v>
      </c>
      <c r="X7" s="246" t="s">
        <v>32</v>
      </c>
      <c r="Y7" s="246" t="s">
        <v>193</v>
      </c>
      <c r="Z7" s="67"/>
      <c r="AA7" s="67" t="s">
        <v>532</v>
      </c>
      <c r="AB7" s="67" t="s">
        <v>16</v>
      </c>
      <c r="AC7" s="255" t="s">
        <v>740</v>
      </c>
    </row>
    <row r="8" spans="1:29" s="595" customFormat="1" ht="15" hidden="1" customHeight="1">
      <c r="A8" s="246" t="s">
        <v>25</v>
      </c>
      <c r="B8" s="246" t="s">
        <v>25</v>
      </c>
      <c r="C8" s="247" t="s">
        <v>205</v>
      </c>
      <c r="D8" s="247" t="s">
        <v>206</v>
      </c>
      <c r="E8" s="247" t="s">
        <v>207</v>
      </c>
      <c r="F8" s="247">
        <v>574437208</v>
      </c>
      <c r="G8" s="247">
        <v>574437208</v>
      </c>
      <c r="H8" s="246"/>
      <c r="I8" s="246"/>
      <c r="J8" s="248" t="s">
        <v>189</v>
      </c>
      <c r="K8" s="246" t="s">
        <v>190</v>
      </c>
      <c r="L8" s="246" t="s">
        <v>514</v>
      </c>
      <c r="M8" s="246" t="s">
        <v>208</v>
      </c>
      <c r="N8" s="246">
        <v>2150011957</v>
      </c>
      <c r="O8" s="249">
        <v>45681</v>
      </c>
      <c r="P8" s="250">
        <f t="shared" ca="1" si="0"/>
        <v>386</v>
      </c>
      <c r="Q8" s="249">
        <v>45683</v>
      </c>
      <c r="R8" s="246" t="s">
        <v>192</v>
      </c>
      <c r="S8" s="246"/>
      <c r="T8" s="246"/>
      <c r="U8" s="251">
        <v>45686</v>
      </c>
      <c r="V8" s="246" t="s">
        <v>31</v>
      </c>
      <c r="W8" s="246">
        <v>150</v>
      </c>
      <c r="X8" s="246" t="s">
        <v>32</v>
      </c>
      <c r="Y8" s="246" t="s">
        <v>193</v>
      </c>
      <c r="Z8" s="67"/>
      <c r="AA8" s="67" t="s">
        <v>532</v>
      </c>
      <c r="AB8" s="67" t="s">
        <v>16</v>
      </c>
      <c r="AC8" s="255" t="s">
        <v>741</v>
      </c>
    </row>
    <row r="9" spans="1:29" s="595" customFormat="1" ht="15" hidden="1" customHeight="1">
      <c r="A9" s="246" t="s">
        <v>25</v>
      </c>
      <c r="B9" s="246" t="s">
        <v>25</v>
      </c>
      <c r="C9" s="246" t="s">
        <v>200</v>
      </c>
      <c r="D9" s="246" t="s">
        <v>201</v>
      </c>
      <c r="E9" s="246" t="s">
        <v>202</v>
      </c>
      <c r="F9" s="246">
        <v>757750137</v>
      </c>
      <c r="G9" s="246">
        <v>172622109</v>
      </c>
      <c r="H9" s="246"/>
      <c r="I9" s="246"/>
      <c r="J9" s="246" t="s">
        <v>189</v>
      </c>
      <c r="K9" s="246" t="s">
        <v>203</v>
      </c>
      <c r="L9" s="246" t="s">
        <v>514</v>
      </c>
      <c r="M9" s="246" t="s">
        <v>204</v>
      </c>
      <c r="N9" s="246">
        <v>2150011955</v>
      </c>
      <c r="O9" s="251">
        <v>45684</v>
      </c>
      <c r="P9" s="250">
        <f t="shared" ca="1" si="0"/>
        <v>382</v>
      </c>
      <c r="Q9" s="251">
        <v>45687</v>
      </c>
      <c r="R9" s="246" t="s">
        <v>192</v>
      </c>
      <c r="S9" s="246"/>
      <c r="T9" s="246">
        <v>1</v>
      </c>
      <c r="U9" s="251">
        <v>45686</v>
      </c>
      <c r="V9" s="246" t="s">
        <v>31</v>
      </c>
      <c r="W9" s="246">
        <v>100</v>
      </c>
      <c r="X9" s="246" t="s">
        <v>32</v>
      </c>
      <c r="Y9" s="246" t="s">
        <v>193</v>
      </c>
      <c r="Z9" s="67"/>
      <c r="AA9" s="67" t="s">
        <v>532</v>
      </c>
      <c r="AB9" s="67" t="s">
        <v>16</v>
      </c>
      <c r="AC9" s="255" t="s">
        <v>748</v>
      </c>
    </row>
    <row r="10" spans="1:29" s="595" customFormat="1" ht="15" hidden="1" customHeight="1">
      <c r="A10" s="246" t="s">
        <v>25</v>
      </c>
      <c r="B10" s="246" t="s">
        <v>25</v>
      </c>
      <c r="C10" s="67" t="s">
        <v>216</v>
      </c>
      <c r="D10" s="67" t="s">
        <v>217</v>
      </c>
      <c r="E10" s="253" t="s">
        <v>218</v>
      </c>
      <c r="F10" s="67">
        <v>708817633</v>
      </c>
      <c r="G10" s="67">
        <v>708817633</v>
      </c>
      <c r="H10" s="67">
        <v>5.8443639999999997</v>
      </c>
      <c r="I10" s="67">
        <v>-5.3459849999999998</v>
      </c>
      <c r="J10" s="67" t="s">
        <v>189</v>
      </c>
      <c r="K10" s="67" t="s">
        <v>27</v>
      </c>
      <c r="L10" s="67" t="s">
        <v>263</v>
      </c>
      <c r="M10" s="67" t="s">
        <v>219</v>
      </c>
      <c r="N10" s="67">
        <v>2150011948</v>
      </c>
      <c r="O10" s="254">
        <v>45684</v>
      </c>
      <c r="P10" s="250">
        <f t="shared" ca="1" si="0"/>
        <v>383</v>
      </c>
      <c r="Q10" s="254">
        <v>45686</v>
      </c>
      <c r="R10" s="67" t="s">
        <v>30</v>
      </c>
      <c r="S10" s="67"/>
      <c r="T10" s="67"/>
      <c r="U10" s="254">
        <v>45688</v>
      </c>
      <c r="V10" s="67" t="s">
        <v>31</v>
      </c>
      <c r="W10" s="67">
        <v>100</v>
      </c>
      <c r="X10" s="67" t="s">
        <v>32</v>
      </c>
      <c r="Y10" s="67" t="s">
        <v>193</v>
      </c>
      <c r="Z10" s="67"/>
      <c r="AA10" s="67" t="s">
        <v>532</v>
      </c>
      <c r="AB10" s="67" t="s">
        <v>16</v>
      </c>
      <c r="AC10" s="255" t="s">
        <v>749</v>
      </c>
    </row>
    <row r="11" spans="1:29" s="595" customFormat="1" ht="15" hidden="1" customHeight="1">
      <c r="A11" s="246" t="s">
        <v>25</v>
      </c>
      <c r="B11" s="246" t="s">
        <v>25</v>
      </c>
      <c r="C11" s="67" t="s">
        <v>220</v>
      </c>
      <c r="D11" s="67" t="s">
        <v>221</v>
      </c>
      <c r="E11" s="67" t="s">
        <v>222</v>
      </c>
      <c r="F11" s="67">
        <v>768817081</v>
      </c>
      <c r="G11" s="67">
        <v>554593244</v>
      </c>
      <c r="H11" s="67">
        <v>5.8401500000000004</v>
      </c>
      <c r="I11" s="67">
        <v>-5.3586960000000001</v>
      </c>
      <c r="J11" s="67" t="s">
        <v>36</v>
      </c>
      <c r="K11" s="67" t="s">
        <v>190</v>
      </c>
      <c r="L11" s="67" t="s">
        <v>746</v>
      </c>
      <c r="M11" s="67" t="s">
        <v>224</v>
      </c>
      <c r="N11" s="67">
        <v>2150011946</v>
      </c>
      <c r="O11" s="254">
        <v>45684</v>
      </c>
      <c r="P11" s="250">
        <f t="shared" ca="1" si="0"/>
        <v>383</v>
      </c>
      <c r="Q11" s="254">
        <v>45686</v>
      </c>
      <c r="R11" s="67" t="s">
        <v>30</v>
      </c>
      <c r="S11" s="67"/>
      <c r="T11" s="67"/>
      <c r="U11" s="254">
        <v>45688</v>
      </c>
      <c r="V11" s="67" t="s">
        <v>31</v>
      </c>
      <c r="W11" s="67">
        <v>150</v>
      </c>
      <c r="X11" s="67" t="s">
        <v>32</v>
      </c>
      <c r="Y11" s="67" t="s">
        <v>193</v>
      </c>
      <c r="Z11" s="67"/>
      <c r="AA11" s="67" t="s">
        <v>532</v>
      </c>
      <c r="AB11" s="67" t="s">
        <v>16</v>
      </c>
      <c r="AC11" s="255" t="s">
        <v>743</v>
      </c>
    </row>
    <row r="12" spans="1:29" s="595" customFormat="1" ht="15" hidden="1" customHeight="1">
      <c r="A12" s="246" t="s">
        <v>25</v>
      </c>
      <c r="B12" s="246" t="s">
        <v>25</v>
      </c>
      <c r="C12" s="67" t="s">
        <v>229</v>
      </c>
      <c r="D12" s="67" t="s">
        <v>230</v>
      </c>
      <c r="E12" s="67" t="s">
        <v>231</v>
      </c>
      <c r="F12" s="67">
        <v>151969649</v>
      </c>
      <c r="G12" s="67">
        <v>757279518</v>
      </c>
      <c r="H12" s="67">
        <v>5.8330109999999999</v>
      </c>
      <c r="I12" s="67">
        <v>-5.359674</v>
      </c>
      <c r="J12" s="67" t="s">
        <v>36</v>
      </c>
      <c r="K12" s="67" t="s">
        <v>60</v>
      </c>
      <c r="L12" s="67" t="s">
        <v>742</v>
      </c>
      <c r="M12" s="256" t="s">
        <v>232</v>
      </c>
      <c r="N12" s="256">
        <v>2150011953</v>
      </c>
      <c r="O12" s="254">
        <v>45684</v>
      </c>
      <c r="P12" s="250">
        <f t="shared" ca="1" si="0"/>
        <v>383</v>
      </c>
      <c r="Q12" s="258">
        <v>45686</v>
      </c>
      <c r="R12" s="67" t="s">
        <v>30</v>
      </c>
      <c r="S12" s="67"/>
      <c r="T12" s="67"/>
      <c r="U12" s="254">
        <v>45688</v>
      </c>
      <c r="V12" s="67" t="s">
        <v>31</v>
      </c>
      <c r="W12" s="67">
        <v>100</v>
      </c>
      <c r="X12" s="67" t="s">
        <v>32</v>
      </c>
      <c r="Y12" s="67" t="s">
        <v>193</v>
      </c>
      <c r="Z12" s="67"/>
      <c r="AA12" s="67" t="s">
        <v>532</v>
      </c>
      <c r="AB12" s="67" t="s">
        <v>16</v>
      </c>
      <c r="AC12" s="255" t="s">
        <v>750</v>
      </c>
    </row>
    <row r="13" spans="1:29" ht="15" hidden="1" customHeight="1">
      <c r="A13" s="246" t="s">
        <v>25</v>
      </c>
      <c r="B13" s="246" t="s">
        <v>25</v>
      </c>
      <c r="C13" s="67" t="s">
        <v>209</v>
      </c>
      <c r="D13" s="67" t="s">
        <v>210</v>
      </c>
      <c r="E13" s="67" t="s">
        <v>25</v>
      </c>
      <c r="F13" s="67">
        <v>749622612</v>
      </c>
      <c r="G13" s="67">
        <v>584134457</v>
      </c>
      <c r="H13" s="67">
        <v>5.8330039999999999</v>
      </c>
      <c r="I13" s="67">
        <v>-5.3554399999999998</v>
      </c>
      <c r="J13" s="67" t="s">
        <v>36</v>
      </c>
      <c r="K13" s="67" t="s">
        <v>198</v>
      </c>
      <c r="L13" s="67" t="s">
        <v>211</v>
      </c>
      <c r="M13" s="67" t="s">
        <v>212</v>
      </c>
      <c r="N13" s="67">
        <v>2150011950</v>
      </c>
      <c r="O13" s="254">
        <v>45684</v>
      </c>
      <c r="P13" s="250">
        <f t="shared" ca="1" si="0"/>
        <v>383</v>
      </c>
      <c r="Q13" s="254">
        <v>45686</v>
      </c>
      <c r="R13" s="67" t="s">
        <v>30</v>
      </c>
      <c r="S13" s="67"/>
      <c r="T13" s="67"/>
      <c r="U13" s="254">
        <v>45688</v>
      </c>
      <c r="V13" s="67" t="s">
        <v>31</v>
      </c>
      <c r="W13" s="67">
        <v>80</v>
      </c>
      <c r="X13" s="67" t="s">
        <v>32</v>
      </c>
      <c r="Y13" s="67" t="s">
        <v>193</v>
      </c>
      <c r="Z13" s="246"/>
      <c r="AA13" s="246" t="s">
        <v>532</v>
      </c>
      <c r="AB13" s="246" t="s">
        <v>16</v>
      </c>
      <c r="AC13" s="252" t="s">
        <v>744</v>
      </c>
    </row>
    <row r="14" spans="1:29" ht="15" hidden="1" customHeight="1">
      <c r="A14" s="246" t="s">
        <v>25</v>
      </c>
      <c r="B14" s="246" t="s">
        <v>25</v>
      </c>
      <c r="C14" s="67" t="s">
        <v>225</v>
      </c>
      <c r="D14" s="67" t="s">
        <v>68</v>
      </c>
      <c r="E14" s="67" t="s">
        <v>226</v>
      </c>
      <c r="F14" s="67">
        <v>707093011</v>
      </c>
      <c r="G14" s="67">
        <v>151437581</v>
      </c>
      <c r="H14" s="67">
        <v>5.8420820000000004</v>
      </c>
      <c r="I14" s="67">
        <v>-5.3523719999999999</v>
      </c>
      <c r="J14" s="67" t="s">
        <v>42</v>
      </c>
      <c r="K14" s="67" t="s">
        <v>203</v>
      </c>
      <c r="L14" s="67" t="s">
        <v>69</v>
      </c>
      <c r="M14" s="67" t="s">
        <v>227</v>
      </c>
      <c r="N14" s="67">
        <v>2150011947</v>
      </c>
      <c r="O14" s="254">
        <v>45684</v>
      </c>
      <c r="P14" s="250">
        <f t="shared" ca="1" si="0"/>
        <v>383</v>
      </c>
      <c r="Q14" s="254">
        <v>45686</v>
      </c>
      <c r="R14" s="67" t="s">
        <v>30</v>
      </c>
      <c r="S14" s="67"/>
      <c r="T14" s="67"/>
      <c r="U14" s="254">
        <v>45688</v>
      </c>
      <c r="V14" s="67" t="s">
        <v>31</v>
      </c>
      <c r="W14" s="67">
        <v>150</v>
      </c>
      <c r="X14" s="67" t="s">
        <v>32</v>
      </c>
      <c r="Y14" s="67" t="s">
        <v>228</v>
      </c>
      <c r="Z14" s="246"/>
      <c r="AA14" s="246" t="s">
        <v>532</v>
      </c>
      <c r="AB14" s="246" t="s">
        <v>16</v>
      </c>
      <c r="AC14" s="252" t="s">
        <v>745</v>
      </c>
    </row>
    <row r="15" spans="1:29" s="596" customFormat="1" ht="15" hidden="1" customHeight="1">
      <c r="A15" s="246" t="s">
        <v>25</v>
      </c>
      <c r="B15" s="246" t="s">
        <v>25</v>
      </c>
      <c r="C15" s="67" t="s">
        <v>213</v>
      </c>
      <c r="D15" s="67" t="s">
        <v>214</v>
      </c>
      <c r="E15" s="67" t="s">
        <v>97</v>
      </c>
      <c r="F15" s="67">
        <v>799527072</v>
      </c>
      <c r="G15" s="67">
        <v>150800705</v>
      </c>
      <c r="H15" s="67">
        <v>5.841812</v>
      </c>
      <c r="I15" s="67">
        <v>-5.3524719999999997</v>
      </c>
      <c r="J15" s="67" t="s">
        <v>42</v>
      </c>
      <c r="K15" s="67" t="s">
        <v>203</v>
      </c>
      <c r="L15" s="67" t="s">
        <v>69</v>
      </c>
      <c r="M15" s="67" t="s">
        <v>215</v>
      </c>
      <c r="N15" s="67">
        <v>2150011945</v>
      </c>
      <c r="O15" s="67" t="s">
        <v>75</v>
      </c>
      <c r="P15" s="250">
        <f t="shared" ca="1" si="0"/>
        <v>383</v>
      </c>
      <c r="Q15" s="258">
        <v>45686</v>
      </c>
      <c r="R15" s="67" t="s">
        <v>30</v>
      </c>
      <c r="S15" s="67"/>
      <c r="T15" s="67"/>
      <c r="U15" s="254">
        <v>45688</v>
      </c>
      <c r="V15" s="67" t="s">
        <v>31</v>
      </c>
      <c r="W15" s="67">
        <v>150</v>
      </c>
      <c r="X15" s="67" t="s">
        <v>32</v>
      </c>
      <c r="Y15" s="67" t="s">
        <v>193</v>
      </c>
      <c r="Z15" s="261"/>
      <c r="AA15" s="246" t="s">
        <v>532</v>
      </c>
      <c r="AB15" s="246" t="s">
        <v>16</v>
      </c>
      <c r="AC15" s="246" t="s">
        <v>751</v>
      </c>
    </row>
    <row r="16" spans="1:29" ht="15" hidden="1" customHeight="1">
      <c r="A16" s="246" t="s">
        <v>25</v>
      </c>
      <c r="B16" s="246" t="s">
        <v>25</v>
      </c>
      <c r="C16" s="256" t="s">
        <v>233</v>
      </c>
      <c r="D16" s="256" t="s">
        <v>234</v>
      </c>
      <c r="E16" s="256" t="s">
        <v>235</v>
      </c>
      <c r="F16" s="256">
        <v>708790805</v>
      </c>
      <c r="G16" s="256">
        <v>708790805</v>
      </c>
      <c r="H16" s="67">
        <v>5.8465379999999998</v>
      </c>
      <c r="I16" s="67">
        <v>-5.3535599999999999</v>
      </c>
      <c r="J16" s="67" t="s">
        <v>189</v>
      </c>
      <c r="K16" s="67" t="s">
        <v>203</v>
      </c>
      <c r="L16" s="67" t="s">
        <v>236</v>
      </c>
      <c r="M16" s="67" t="s">
        <v>237</v>
      </c>
      <c r="N16" s="67">
        <v>2150011954</v>
      </c>
      <c r="O16" s="257">
        <v>45686</v>
      </c>
      <c r="P16" s="250">
        <f t="shared" ca="1" si="0"/>
        <v>382</v>
      </c>
      <c r="Q16" s="257">
        <v>45687</v>
      </c>
      <c r="R16" s="67" t="s">
        <v>30</v>
      </c>
      <c r="S16" s="67"/>
      <c r="T16" s="67"/>
      <c r="U16" s="254">
        <v>45688</v>
      </c>
      <c r="V16" s="67" t="s">
        <v>31</v>
      </c>
      <c r="W16" s="67">
        <v>60</v>
      </c>
      <c r="X16" s="67" t="s">
        <v>32</v>
      </c>
      <c r="Y16" s="67" t="s">
        <v>193</v>
      </c>
      <c r="Z16" s="246"/>
      <c r="AA16" s="246" t="s">
        <v>532</v>
      </c>
      <c r="AB16" s="246" t="s">
        <v>16</v>
      </c>
      <c r="AC16" s="252" t="s">
        <v>752</v>
      </c>
    </row>
    <row r="17" spans="1:29" s="596" customFormat="1" ht="15" hidden="1" customHeight="1">
      <c r="A17" s="246" t="s">
        <v>25</v>
      </c>
      <c r="B17" s="246" t="s">
        <v>25</v>
      </c>
      <c r="C17" s="246" t="s">
        <v>242</v>
      </c>
      <c r="D17" s="198" t="s">
        <v>243</v>
      </c>
      <c r="E17" s="246" t="s">
        <v>25</v>
      </c>
      <c r="F17" s="246">
        <v>747002534</v>
      </c>
      <c r="G17" s="246">
        <v>102727564</v>
      </c>
      <c r="H17" s="246">
        <v>5.8328749999999996</v>
      </c>
      <c r="I17" s="246">
        <v>-5.3553189999999997</v>
      </c>
      <c r="J17" s="246" t="s">
        <v>36</v>
      </c>
      <c r="K17" s="246" t="s">
        <v>274</v>
      </c>
      <c r="L17" s="246" t="s">
        <v>517</v>
      </c>
      <c r="M17" s="246" t="s">
        <v>244</v>
      </c>
      <c r="N17" s="246">
        <v>2150011952</v>
      </c>
      <c r="O17" s="251">
        <v>45684</v>
      </c>
      <c r="P17" s="250">
        <f t="shared" ca="1" si="0"/>
        <v>383</v>
      </c>
      <c r="Q17" s="251">
        <v>45686</v>
      </c>
      <c r="R17" s="246" t="s">
        <v>30</v>
      </c>
      <c r="S17" s="246"/>
      <c r="T17" s="246"/>
      <c r="U17" s="251">
        <v>45689</v>
      </c>
      <c r="V17" s="246" t="s">
        <v>31</v>
      </c>
      <c r="W17" s="246"/>
      <c r="X17" s="246" t="s">
        <v>32</v>
      </c>
      <c r="Y17" s="246" t="s">
        <v>245</v>
      </c>
      <c r="Z17" s="261"/>
      <c r="AA17" s="246" t="s">
        <v>532</v>
      </c>
      <c r="AB17" s="246" t="s">
        <v>16</v>
      </c>
      <c r="AC17" s="252" t="s">
        <v>753</v>
      </c>
    </row>
    <row r="18" spans="1:29" s="599" customFormat="1" ht="15" hidden="1" customHeight="1">
      <c r="A18" s="246" t="s">
        <v>25</v>
      </c>
      <c r="B18" s="246" t="s">
        <v>25</v>
      </c>
      <c r="C18" s="263" t="s">
        <v>238</v>
      </c>
      <c r="D18" s="264" t="s">
        <v>239</v>
      </c>
      <c r="E18" s="264" t="s">
        <v>240</v>
      </c>
      <c r="F18" s="264">
        <v>787518729</v>
      </c>
      <c r="G18" s="264">
        <v>153295811</v>
      </c>
      <c r="H18" s="264">
        <v>5.8328449999999998</v>
      </c>
      <c r="I18" s="264">
        <v>-5.3557750000000004</v>
      </c>
      <c r="J18" s="264" t="s">
        <v>36</v>
      </c>
      <c r="K18" s="264" t="s">
        <v>198</v>
      </c>
      <c r="L18" s="264" t="s">
        <v>517</v>
      </c>
      <c r="M18" s="264" t="s">
        <v>241</v>
      </c>
      <c r="N18" s="264">
        <v>2150011951</v>
      </c>
      <c r="O18" s="265">
        <v>45684</v>
      </c>
      <c r="P18" s="250">
        <f t="shared" ca="1" si="0"/>
        <v>383</v>
      </c>
      <c r="Q18" s="265">
        <v>45686</v>
      </c>
      <c r="R18" s="264" t="s">
        <v>30</v>
      </c>
      <c r="S18" s="264"/>
      <c r="T18" s="264"/>
      <c r="U18" s="265">
        <v>45689</v>
      </c>
      <c r="V18" s="264" t="s">
        <v>31</v>
      </c>
      <c r="W18" s="264">
        <v>100</v>
      </c>
      <c r="X18" s="264" t="s">
        <v>32</v>
      </c>
      <c r="Y18" s="264" t="s">
        <v>193</v>
      </c>
      <c r="Z18" s="267"/>
      <c r="AA18" s="267" t="s">
        <v>532</v>
      </c>
      <c r="AB18" s="267" t="s">
        <v>16</v>
      </c>
      <c r="AC18" s="267" t="s">
        <v>754</v>
      </c>
    </row>
    <row r="19" spans="1:29" s="599" customFormat="1" ht="15" hidden="1" customHeight="1">
      <c r="A19" s="246" t="s">
        <v>25</v>
      </c>
      <c r="B19" s="246" t="s">
        <v>25</v>
      </c>
      <c r="C19" s="259" t="s">
        <v>246</v>
      </c>
      <c r="D19" s="259" t="s">
        <v>247</v>
      </c>
      <c r="E19" s="259" t="s">
        <v>248</v>
      </c>
      <c r="F19" s="259">
        <v>141702285</v>
      </c>
      <c r="G19" s="259">
        <v>707642704</v>
      </c>
      <c r="H19" s="259"/>
      <c r="I19" s="259"/>
      <c r="J19" s="246" t="s">
        <v>25</v>
      </c>
      <c r="K19" s="260" t="s">
        <v>249</v>
      </c>
      <c r="L19" s="246" t="s">
        <v>283</v>
      </c>
      <c r="M19" s="246" t="s">
        <v>250</v>
      </c>
      <c r="N19" s="246">
        <v>2150011886</v>
      </c>
      <c r="O19" s="260">
        <v>45686</v>
      </c>
      <c r="P19" s="250">
        <f t="shared" ca="1" si="0"/>
        <v>382</v>
      </c>
      <c r="Q19" s="260">
        <v>45687</v>
      </c>
      <c r="R19" s="246" t="s">
        <v>30</v>
      </c>
      <c r="S19" s="246"/>
      <c r="T19" s="246"/>
      <c r="U19" s="251">
        <v>45689</v>
      </c>
      <c r="V19" s="246" t="s">
        <v>31</v>
      </c>
      <c r="W19" s="246"/>
      <c r="X19" s="246" t="s">
        <v>32</v>
      </c>
      <c r="Y19" s="261" t="s">
        <v>193</v>
      </c>
      <c r="Z19" s="267"/>
      <c r="AA19" s="267" t="s">
        <v>532</v>
      </c>
      <c r="AB19" s="267" t="s">
        <v>16</v>
      </c>
      <c r="AC19" s="267" t="s">
        <v>755</v>
      </c>
    </row>
    <row r="20" spans="1:29" s="599" customFormat="1" ht="15" hidden="1" customHeight="1">
      <c r="A20" s="246" t="s">
        <v>25</v>
      </c>
      <c r="B20" s="246" t="s">
        <v>25</v>
      </c>
      <c r="C20" s="259" t="s">
        <v>251</v>
      </c>
      <c r="D20" s="262" t="s">
        <v>252</v>
      </c>
      <c r="E20" s="259" t="s">
        <v>84</v>
      </c>
      <c r="F20" s="259">
        <v>142084023</v>
      </c>
      <c r="G20" s="259">
        <v>555873548</v>
      </c>
      <c r="H20" s="259">
        <v>5.8363490000000002</v>
      </c>
      <c r="I20" s="259">
        <v>-5.3656699999999997</v>
      </c>
      <c r="J20" s="246" t="s">
        <v>36</v>
      </c>
      <c r="K20" s="260" t="s">
        <v>203</v>
      </c>
      <c r="L20" s="246" t="s">
        <v>518</v>
      </c>
      <c r="M20" s="247" t="s">
        <v>253</v>
      </c>
      <c r="N20" s="247">
        <v>2150011885</v>
      </c>
      <c r="O20" s="260">
        <v>45686</v>
      </c>
      <c r="P20" s="250">
        <f t="shared" ca="1" si="0"/>
        <v>382</v>
      </c>
      <c r="Q20" s="260">
        <v>45687</v>
      </c>
      <c r="R20" s="246" t="s">
        <v>30</v>
      </c>
      <c r="S20" s="246"/>
      <c r="T20" s="246"/>
      <c r="U20" s="251">
        <v>45689</v>
      </c>
      <c r="V20" s="246" t="s">
        <v>31</v>
      </c>
      <c r="W20" s="246">
        <v>60</v>
      </c>
      <c r="X20" s="246" t="s">
        <v>32</v>
      </c>
      <c r="Y20" s="246" t="s">
        <v>193</v>
      </c>
      <c r="Z20" s="267"/>
      <c r="AA20" s="267" t="s">
        <v>532</v>
      </c>
      <c r="AB20" s="267" t="s">
        <v>16</v>
      </c>
      <c r="AC20" s="268" t="s">
        <v>756</v>
      </c>
    </row>
    <row r="21" spans="1:29" s="599" customFormat="1" ht="15" hidden="1" customHeight="1">
      <c r="A21" s="246" t="s">
        <v>25</v>
      </c>
      <c r="B21" s="246" t="s">
        <v>25</v>
      </c>
      <c r="C21" s="259" t="s">
        <v>254</v>
      </c>
      <c r="D21" s="259" t="s">
        <v>255</v>
      </c>
      <c r="E21" s="259" t="s">
        <v>256</v>
      </c>
      <c r="F21" s="259">
        <v>143950899</v>
      </c>
      <c r="G21" s="259">
        <v>778477870</v>
      </c>
      <c r="H21" s="246"/>
      <c r="I21" s="246"/>
      <c r="J21" s="246" t="s">
        <v>189</v>
      </c>
      <c r="K21" s="246" t="s">
        <v>198</v>
      </c>
      <c r="L21" s="246" t="s">
        <v>516</v>
      </c>
      <c r="M21" s="247" t="s">
        <v>257</v>
      </c>
      <c r="N21" s="247">
        <v>2150011941</v>
      </c>
      <c r="O21" s="260">
        <v>45687</v>
      </c>
      <c r="P21" s="250">
        <f t="shared" ca="1" si="0"/>
        <v>380</v>
      </c>
      <c r="Q21" s="260">
        <v>45689</v>
      </c>
      <c r="R21" s="246" t="s">
        <v>30</v>
      </c>
      <c r="S21" s="246"/>
      <c r="T21" s="246"/>
      <c r="U21" s="251">
        <v>45689</v>
      </c>
      <c r="V21" s="246" t="s">
        <v>31</v>
      </c>
      <c r="W21" s="246"/>
      <c r="X21" s="246" t="s">
        <v>32</v>
      </c>
      <c r="Y21" s="261" t="s">
        <v>193</v>
      </c>
      <c r="Z21" s="267"/>
      <c r="AA21" s="267" t="s">
        <v>532</v>
      </c>
      <c r="AB21" s="267" t="s">
        <v>16</v>
      </c>
      <c r="AC21" s="267" t="s">
        <v>757</v>
      </c>
    </row>
    <row r="22" spans="1:29" s="600" customFormat="1" ht="15" hidden="1" customHeight="1">
      <c r="A22" s="246" t="s">
        <v>25</v>
      </c>
      <c r="B22" s="246" t="s">
        <v>25</v>
      </c>
      <c r="C22" s="267" t="s">
        <v>57</v>
      </c>
      <c r="D22" s="267" t="s">
        <v>58</v>
      </c>
      <c r="E22" s="267" t="s">
        <v>59</v>
      </c>
      <c r="F22" s="267">
        <v>544539266</v>
      </c>
      <c r="G22" s="267">
        <v>102584578</v>
      </c>
      <c r="H22" s="267">
        <v>5.8471770000000003</v>
      </c>
      <c r="I22" s="267">
        <v>-5.352023</v>
      </c>
      <c r="J22" s="267" t="s">
        <v>42</v>
      </c>
      <c r="K22" s="267" t="s">
        <v>198</v>
      </c>
      <c r="L22" s="267" t="s">
        <v>61</v>
      </c>
      <c r="M22" s="267" t="s">
        <v>62</v>
      </c>
      <c r="N22" s="267">
        <v>2150011943</v>
      </c>
      <c r="O22" s="269">
        <v>45681</v>
      </c>
      <c r="P22" s="250">
        <f t="shared" ca="1" si="0"/>
        <v>386</v>
      </c>
      <c r="Q22" s="269">
        <v>45683</v>
      </c>
      <c r="R22" s="267" t="s">
        <v>30</v>
      </c>
      <c r="S22" s="267"/>
      <c r="T22" s="267"/>
      <c r="U22" s="270">
        <v>45691</v>
      </c>
      <c r="V22" s="267" t="s">
        <v>31</v>
      </c>
      <c r="W22" s="267">
        <v>100</v>
      </c>
      <c r="X22" s="267" t="s">
        <v>32</v>
      </c>
      <c r="Y22" s="271" t="s">
        <v>193</v>
      </c>
      <c r="Z22" s="271"/>
      <c r="AA22" s="267" t="s">
        <v>532</v>
      </c>
      <c r="AB22" s="267" t="s">
        <v>16</v>
      </c>
      <c r="AC22" s="268" t="s">
        <v>758</v>
      </c>
    </row>
    <row r="23" spans="1:29" s="601" customFormat="1" ht="15" hidden="1" customHeight="1">
      <c r="A23" s="246" t="s">
        <v>25</v>
      </c>
      <c r="B23" s="246" t="s">
        <v>25</v>
      </c>
      <c r="C23" s="266" t="s">
        <v>33</v>
      </c>
      <c r="D23" s="266" t="s">
        <v>34</v>
      </c>
      <c r="E23" s="266" t="s">
        <v>35</v>
      </c>
      <c r="F23" s="266">
        <v>545867925</v>
      </c>
      <c r="G23" s="266">
        <v>544894170</v>
      </c>
      <c r="H23" s="267">
        <v>5.8394370000000002</v>
      </c>
      <c r="I23" s="267">
        <v>-5.3580759999999996</v>
      </c>
      <c r="J23" s="267" t="s">
        <v>36</v>
      </c>
      <c r="K23" s="267" t="s">
        <v>190</v>
      </c>
      <c r="L23" s="267" t="s">
        <v>37</v>
      </c>
      <c r="M23" s="266" t="s">
        <v>38</v>
      </c>
      <c r="N23" s="266">
        <v>2150011887</v>
      </c>
      <c r="O23" s="269">
        <v>45686</v>
      </c>
      <c r="P23" s="250">
        <f t="shared" ca="1" si="0"/>
        <v>382</v>
      </c>
      <c r="Q23" s="269">
        <v>45687</v>
      </c>
      <c r="R23" s="267" t="s">
        <v>30</v>
      </c>
      <c r="S23" s="267">
        <v>0</v>
      </c>
      <c r="T23" s="267">
        <v>0</v>
      </c>
      <c r="U23" s="270">
        <v>45691</v>
      </c>
      <c r="V23" s="267" t="s">
        <v>31</v>
      </c>
      <c r="W23" s="267">
        <v>50</v>
      </c>
      <c r="X23" s="267" t="s">
        <v>32</v>
      </c>
      <c r="Y23" s="271" t="s">
        <v>193</v>
      </c>
      <c r="Z23" s="280"/>
      <c r="AA23" s="276" t="s">
        <v>532</v>
      </c>
      <c r="AB23" s="276" t="s">
        <v>16</v>
      </c>
      <c r="AC23" s="276" t="s">
        <v>759</v>
      </c>
    </row>
    <row r="24" spans="1:29" s="601" customFormat="1" ht="15" hidden="1" customHeight="1">
      <c r="A24" s="246" t="s">
        <v>25</v>
      </c>
      <c r="B24" s="246" t="s">
        <v>25</v>
      </c>
      <c r="C24" s="266" t="s">
        <v>23</v>
      </c>
      <c r="D24" s="266" t="s">
        <v>24</v>
      </c>
      <c r="E24" s="266" t="s">
        <v>25</v>
      </c>
      <c r="F24" s="266">
        <v>103606184</v>
      </c>
      <c r="G24" s="266">
        <v>506632366</v>
      </c>
      <c r="H24" s="266">
        <v>5.842816</v>
      </c>
      <c r="I24" s="266">
        <v>-3.3453849999999998</v>
      </c>
      <c r="J24" s="267" t="s">
        <v>26</v>
      </c>
      <c r="K24" s="269" t="s">
        <v>274</v>
      </c>
      <c r="L24" s="267" t="s">
        <v>28</v>
      </c>
      <c r="M24" s="266" t="s">
        <v>29</v>
      </c>
      <c r="N24" s="266">
        <v>2150011891</v>
      </c>
      <c r="O24" s="269">
        <v>45686</v>
      </c>
      <c r="P24" s="250">
        <f t="shared" ca="1" si="0"/>
        <v>382</v>
      </c>
      <c r="Q24" s="269">
        <v>45687</v>
      </c>
      <c r="R24" s="267" t="s">
        <v>30</v>
      </c>
      <c r="S24" s="267"/>
      <c r="T24" s="267">
        <v>0</v>
      </c>
      <c r="U24" s="270">
        <v>45691</v>
      </c>
      <c r="V24" s="267" t="s">
        <v>31</v>
      </c>
      <c r="W24" s="267">
        <v>80</v>
      </c>
      <c r="X24" s="267" t="s">
        <v>32</v>
      </c>
      <c r="Y24" s="271" t="s">
        <v>193</v>
      </c>
      <c r="Z24" s="280"/>
      <c r="AA24" s="276" t="s">
        <v>532</v>
      </c>
      <c r="AB24" s="276" t="s">
        <v>16</v>
      </c>
      <c r="AC24" s="276" t="s">
        <v>760</v>
      </c>
    </row>
    <row r="25" spans="1:29" s="601" customFormat="1" ht="15" hidden="1" customHeight="1">
      <c r="A25" s="246" t="s">
        <v>25</v>
      </c>
      <c r="B25" s="246" t="s">
        <v>25</v>
      </c>
      <c r="C25" s="266" t="s">
        <v>128</v>
      </c>
      <c r="D25" s="266" t="s">
        <v>129</v>
      </c>
      <c r="E25" s="266" t="s">
        <v>130</v>
      </c>
      <c r="F25" s="266">
        <v>504068750</v>
      </c>
      <c r="G25" s="266">
        <v>787229006</v>
      </c>
      <c r="H25" s="267"/>
      <c r="I25" s="267"/>
      <c r="J25" s="267" t="s">
        <v>189</v>
      </c>
      <c r="K25" s="267" t="s">
        <v>274</v>
      </c>
      <c r="L25" s="267" t="s">
        <v>263</v>
      </c>
      <c r="M25" s="268" t="s">
        <v>272</v>
      </c>
      <c r="N25" s="268">
        <v>2150011893</v>
      </c>
      <c r="O25" s="269">
        <v>45687</v>
      </c>
      <c r="P25" s="250">
        <f t="shared" ca="1" si="0"/>
        <v>380</v>
      </c>
      <c r="Q25" s="269">
        <v>45689</v>
      </c>
      <c r="R25" s="267" t="s">
        <v>30</v>
      </c>
      <c r="S25" s="267"/>
      <c r="T25" s="267"/>
      <c r="U25" s="270">
        <v>45691</v>
      </c>
      <c r="V25" s="267" t="s">
        <v>31</v>
      </c>
      <c r="W25" s="267">
        <v>50</v>
      </c>
      <c r="X25" s="267" t="s">
        <v>32</v>
      </c>
      <c r="Y25" s="271" t="s">
        <v>193</v>
      </c>
      <c r="Z25" s="280"/>
      <c r="AA25" s="276" t="s">
        <v>532</v>
      </c>
      <c r="AB25" s="276" t="s">
        <v>16</v>
      </c>
      <c r="AC25" s="276" t="s">
        <v>761</v>
      </c>
    </row>
    <row r="26" spans="1:29" s="601" customFormat="1" ht="15" hidden="1" customHeight="1">
      <c r="A26" s="246" t="s">
        <v>25</v>
      </c>
      <c r="B26" s="246" t="s">
        <v>25</v>
      </c>
      <c r="C26" s="266" t="s">
        <v>49</v>
      </c>
      <c r="D26" s="266" t="s">
        <v>50</v>
      </c>
      <c r="E26" s="266" t="s">
        <v>51</v>
      </c>
      <c r="F26" s="266">
        <v>140782929</v>
      </c>
      <c r="G26" s="266">
        <v>140782929</v>
      </c>
      <c r="H26" s="267"/>
      <c r="I26" s="267"/>
      <c r="J26" s="272" t="s">
        <v>36</v>
      </c>
      <c r="K26" s="267" t="s">
        <v>190</v>
      </c>
      <c r="L26" s="267" t="s">
        <v>259</v>
      </c>
      <c r="M26" s="266" t="s">
        <v>52</v>
      </c>
      <c r="N26" s="266">
        <v>2150011890</v>
      </c>
      <c r="O26" s="269">
        <v>45689</v>
      </c>
      <c r="P26" s="250">
        <f t="shared" ca="1" si="0"/>
        <v>380</v>
      </c>
      <c r="Q26" s="269">
        <v>45689</v>
      </c>
      <c r="R26" s="267" t="s">
        <v>30</v>
      </c>
      <c r="S26" s="267"/>
      <c r="T26" s="267"/>
      <c r="U26" s="270">
        <v>45691</v>
      </c>
      <c r="V26" s="267" t="s">
        <v>31</v>
      </c>
      <c r="W26" s="267"/>
      <c r="X26" s="267" t="s">
        <v>32</v>
      </c>
      <c r="Y26" s="271" t="s">
        <v>193</v>
      </c>
      <c r="Z26" s="280"/>
      <c r="AA26" s="276" t="s">
        <v>532</v>
      </c>
      <c r="AB26" s="276" t="s">
        <v>16</v>
      </c>
      <c r="AC26" s="274" t="s">
        <v>763</v>
      </c>
    </row>
    <row r="27" spans="1:29" s="601" customFormat="1" ht="15" hidden="1" customHeight="1">
      <c r="A27" s="246" t="s">
        <v>25</v>
      </c>
      <c r="B27" s="246" t="s">
        <v>25</v>
      </c>
      <c r="C27" s="273" t="s">
        <v>103</v>
      </c>
      <c r="D27" s="273" t="s">
        <v>104</v>
      </c>
      <c r="E27" s="273" t="s">
        <v>35</v>
      </c>
      <c r="F27" s="273">
        <v>506710930</v>
      </c>
      <c r="G27" s="273">
        <v>503790569</v>
      </c>
      <c r="H27" s="273">
        <v>5.8356669999999999</v>
      </c>
      <c r="I27" s="273">
        <v>-5.3591610000000003</v>
      </c>
      <c r="J27" s="275" t="s">
        <v>36</v>
      </c>
      <c r="K27" s="278" t="s">
        <v>198</v>
      </c>
      <c r="L27" s="276" t="s">
        <v>277</v>
      </c>
      <c r="M27" s="277" t="s">
        <v>271</v>
      </c>
      <c r="N27" s="277">
        <v>2150011883</v>
      </c>
      <c r="O27" s="278">
        <v>45686</v>
      </c>
      <c r="P27" s="250">
        <f t="shared" ca="1" si="0"/>
        <v>382</v>
      </c>
      <c r="Q27" s="278">
        <v>45687</v>
      </c>
      <c r="R27" s="276" t="s">
        <v>30</v>
      </c>
      <c r="S27" s="276"/>
      <c r="T27" s="276"/>
      <c r="U27" s="279">
        <v>45692</v>
      </c>
      <c r="V27" s="276" t="s">
        <v>31</v>
      </c>
      <c r="W27" s="276">
        <v>100</v>
      </c>
      <c r="X27" s="276" t="s">
        <v>32</v>
      </c>
      <c r="Y27" s="277" t="s">
        <v>193</v>
      </c>
      <c r="Z27" s="280"/>
      <c r="AA27" s="276" t="s">
        <v>532</v>
      </c>
      <c r="AB27" s="276" t="s">
        <v>16</v>
      </c>
      <c r="AC27" s="276" t="s">
        <v>762</v>
      </c>
    </row>
    <row r="28" spans="1:29" s="601" customFormat="1" ht="15" hidden="1" customHeight="1">
      <c r="A28" s="246" t="s">
        <v>25</v>
      </c>
      <c r="B28" s="246" t="s">
        <v>25</v>
      </c>
      <c r="C28" s="273" t="s">
        <v>95</v>
      </c>
      <c r="D28" s="273" t="s">
        <v>96</v>
      </c>
      <c r="E28" s="273" t="s">
        <v>97</v>
      </c>
      <c r="F28" s="273">
        <v>779182234</v>
      </c>
      <c r="G28" s="273">
        <v>779182234</v>
      </c>
      <c r="H28" s="273">
        <v>5.8415650000000001</v>
      </c>
      <c r="I28" s="273">
        <v>-5.3534940000000004</v>
      </c>
      <c r="J28" s="276" t="s">
        <v>42</v>
      </c>
      <c r="K28" s="278" t="s">
        <v>203</v>
      </c>
      <c r="L28" s="276" t="s">
        <v>281</v>
      </c>
      <c r="M28" s="490" t="s">
        <v>1371</v>
      </c>
      <c r="N28" s="490">
        <v>2150011892</v>
      </c>
      <c r="O28" s="278">
        <v>45686</v>
      </c>
      <c r="P28" s="250">
        <f t="shared" ca="1" si="0"/>
        <v>382</v>
      </c>
      <c r="Q28" s="278">
        <v>45687</v>
      </c>
      <c r="R28" s="276" t="s">
        <v>30</v>
      </c>
      <c r="S28" s="276"/>
      <c r="T28" s="276">
        <v>0</v>
      </c>
      <c r="U28" s="279">
        <v>45692</v>
      </c>
      <c r="V28" s="276" t="s">
        <v>31</v>
      </c>
      <c r="W28" s="276">
        <v>100</v>
      </c>
      <c r="X28" s="276" t="s">
        <v>32</v>
      </c>
      <c r="Y28" s="277" t="s">
        <v>193</v>
      </c>
      <c r="Z28" s="280"/>
      <c r="AA28" s="276" t="s">
        <v>532</v>
      </c>
      <c r="AB28" s="276" t="s">
        <v>16</v>
      </c>
      <c r="AC28" s="274" t="s">
        <v>764</v>
      </c>
    </row>
    <row r="29" spans="1:29" s="601" customFormat="1" ht="15" hidden="1" customHeight="1">
      <c r="A29" s="246" t="s">
        <v>25</v>
      </c>
      <c r="B29" s="246" t="s">
        <v>25</v>
      </c>
      <c r="C29" s="273" t="s">
        <v>173</v>
      </c>
      <c r="D29" s="273" t="s">
        <v>174</v>
      </c>
      <c r="E29" s="273" t="s">
        <v>175</v>
      </c>
      <c r="F29" s="273">
        <v>768700010</v>
      </c>
      <c r="G29" s="273">
        <v>150303040</v>
      </c>
      <c r="H29" s="274">
        <v>5.8399359999999998</v>
      </c>
      <c r="I29" s="274">
        <v>-5.3599230000000002</v>
      </c>
      <c r="J29" s="275" t="s">
        <v>36</v>
      </c>
      <c r="K29" s="276" t="s">
        <v>190</v>
      </c>
      <c r="L29" s="276" t="s">
        <v>259</v>
      </c>
      <c r="M29" s="277" t="s">
        <v>265</v>
      </c>
      <c r="N29" s="277">
        <v>2150011894</v>
      </c>
      <c r="O29" s="278">
        <v>45689</v>
      </c>
      <c r="P29" s="250">
        <f t="shared" ca="1" si="0"/>
        <v>378</v>
      </c>
      <c r="Q29" s="278">
        <v>45691</v>
      </c>
      <c r="R29" s="276" t="s">
        <v>30</v>
      </c>
      <c r="S29" s="274"/>
      <c r="T29" s="274"/>
      <c r="U29" s="279">
        <v>45692</v>
      </c>
      <c r="V29" s="276" t="s">
        <v>31</v>
      </c>
      <c r="W29" s="274">
        <v>150</v>
      </c>
      <c r="X29" s="276" t="s">
        <v>32</v>
      </c>
      <c r="Y29" s="277" t="s">
        <v>343</v>
      </c>
      <c r="Z29" s="280"/>
      <c r="AA29" s="276" t="s">
        <v>532</v>
      </c>
      <c r="AB29" s="276" t="s">
        <v>16</v>
      </c>
      <c r="AC29" s="276" t="s">
        <v>771</v>
      </c>
    </row>
    <row r="30" spans="1:29" s="602" customFormat="1" ht="15" hidden="1" customHeight="1">
      <c r="A30" s="246" t="s">
        <v>25</v>
      </c>
      <c r="B30" s="246" t="s">
        <v>25</v>
      </c>
      <c r="C30" s="273" t="s">
        <v>161</v>
      </c>
      <c r="D30" s="273" t="s">
        <v>162</v>
      </c>
      <c r="E30" s="273" t="s">
        <v>163</v>
      </c>
      <c r="F30" s="273">
        <v>748723737</v>
      </c>
      <c r="G30" s="273">
        <v>748723737</v>
      </c>
      <c r="H30" s="276">
        <v>5.8399359999999998</v>
      </c>
      <c r="I30" s="276">
        <v>-5.3599230000000002</v>
      </c>
      <c r="J30" s="275" t="s">
        <v>36</v>
      </c>
      <c r="K30" s="276" t="s">
        <v>190</v>
      </c>
      <c r="L30" s="276" t="s">
        <v>259</v>
      </c>
      <c r="M30" s="277" t="s">
        <v>266</v>
      </c>
      <c r="N30" s="277">
        <v>2150011940</v>
      </c>
      <c r="O30" s="278">
        <v>45690</v>
      </c>
      <c r="P30" s="250">
        <f t="shared" ca="1" si="0"/>
        <v>378</v>
      </c>
      <c r="Q30" s="278">
        <v>45691</v>
      </c>
      <c r="R30" s="276" t="s">
        <v>30</v>
      </c>
      <c r="S30" s="276"/>
      <c r="T30" s="276"/>
      <c r="U30" s="279">
        <v>45692</v>
      </c>
      <c r="V30" s="276" t="s">
        <v>31</v>
      </c>
      <c r="W30" s="276">
        <v>150</v>
      </c>
      <c r="X30" s="276" t="s">
        <v>32</v>
      </c>
      <c r="Y30" s="277" t="s">
        <v>228</v>
      </c>
      <c r="Z30" s="28"/>
      <c r="AA30" s="33" t="s">
        <v>532</v>
      </c>
      <c r="AB30" s="28" t="s">
        <v>16</v>
      </c>
      <c r="AC30" s="28" t="s">
        <v>773</v>
      </c>
    </row>
    <row r="31" spans="1:29" s="602" customFormat="1" ht="15" hidden="1" customHeight="1">
      <c r="A31" s="246" t="s">
        <v>25</v>
      </c>
      <c r="B31" s="246" t="s">
        <v>25</v>
      </c>
      <c r="C31" s="273" t="s">
        <v>155</v>
      </c>
      <c r="D31" s="273" t="s">
        <v>156</v>
      </c>
      <c r="E31" s="273" t="s">
        <v>157</v>
      </c>
      <c r="F31" s="273">
        <v>151516947</v>
      </c>
      <c r="G31" s="273">
        <v>768105035</v>
      </c>
      <c r="H31" s="276">
        <v>5.840789</v>
      </c>
      <c r="I31" s="276">
        <v>-5.3612130000000002</v>
      </c>
      <c r="J31" s="275" t="s">
        <v>36</v>
      </c>
      <c r="K31" s="276" t="s">
        <v>190</v>
      </c>
      <c r="L31" s="276" t="s">
        <v>259</v>
      </c>
      <c r="M31" s="277" t="s">
        <v>267</v>
      </c>
      <c r="N31" s="277">
        <v>2150011895</v>
      </c>
      <c r="O31" s="278">
        <v>45689</v>
      </c>
      <c r="P31" s="250">
        <f t="shared" ca="1" si="0"/>
        <v>378</v>
      </c>
      <c r="Q31" s="278">
        <v>45691</v>
      </c>
      <c r="R31" s="276" t="s">
        <v>30</v>
      </c>
      <c r="S31" s="276"/>
      <c r="T31" s="276"/>
      <c r="U31" s="279">
        <v>45692</v>
      </c>
      <c r="V31" s="276" t="s">
        <v>31</v>
      </c>
      <c r="W31" s="276">
        <v>150</v>
      </c>
      <c r="X31" s="276" t="s">
        <v>32</v>
      </c>
      <c r="Y31" s="277" t="s">
        <v>193</v>
      </c>
      <c r="Z31" s="28"/>
      <c r="AA31" s="33" t="s">
        <v>532</v>
      </c>
      <c r="AB31" s="28" t="s">
        <v>16</v>
      </c>
      <c r="AC31" s="283" t="s">
        <v>774</v>
      </c>
    </row>
    <row r="32" spans="1:29" s="602" customFormat="1" ht="15" hidden="1" customHeight="1">
      <c r="A32" s="246" t="s">
        <v>25</v>
      </c>
      <c r="B32" s="246" t="s">
        <v>25</v>
      </c>
      <c r="C32" s="273" t="s">
        <v>140</v>
      </c>
      <c r="D32" s="273" t="s">
        <v>141</v>
      </c>
      <c r="E32" s="273" t="s">
        <v>142</v>
      </c>
      <c r="F32" s="273">
        <v>151437248</v>
      </c>
      <c r="G32" s="273">
        <v>778077223</v>
      </c>
      <c r="H32" s="276">
        <v>5.8399359999999998</v>
      </c>
      <c r="I32" s="276">
        <v>-5.3599230000000002</v>
      </c>
      <c r="J32" s="275" t="s">
        <v>36</v>
      </c>
      <c r="K32" s="276" t="s">
        <v>190</v>
      </c>
      <c r="L32" s="276" t="s">
        <v>259</v>
      </c>
      <c r="M32" s="277" t="s">
        <v>269</v>
      </c>
      <c r="N32" s="277">
        <v>2150011942</v>
      </c>
      <c r="O32" s="278">
        <v>45689</v>
      </c>
      <c r="P32" s="250">
        <f t="shared" ca="1" si="0"/>
        <v>378</v>
      </c>
      <c r="Q32" s="278">
        <v>45691</v>
      </c>
      <c r="R32" s="276" t="s">
        <v>30</v>
      </c>
      <c r="S32" s="276"/>
      <c r="T32" s="276"/>
      <c r="U32" s="279">
        <v>45692</v>
      </c>
      <c r="V32" s="276" t="s">
        <v>31</v>
      </c>
      <c r="W32" s="276">
        <v>150</v>
      </c>
      <c r="X32" s="276" t="s">
        <v>32</v>
      </c>
      <c r="Y32" s="277" t="s">
        <v>245</v>
      </c>
      <c r="Z32" s="28"/>
      <c r="AA32" s="33" t="s">
        <v>532</v>
      </c>
      <c r="AB32" s="28" t="s">
        <v>16</v>
      </c>
      <c r="AC32" s="283" t="s">
        <v>775</v>
      </c>
    </row>
    <row r="33" spans="1:29" s="603" customFormat="1" ht="15" hidden="1" customHeight="1">
      <c r="A33" s="246" t="s">
        <v>25</v>
      </c>
      <c r="B33" s="246" t="s">
        <v>25</v>
      </c>
      <c r="C33" s="273" t="s">
        <v>158</v>
      </c>
      <c r="D33" s="273" t="s">
        <v>159</v>
      </c>
      <c r="E33" s="273" t="s">
        <v>160</v>
      </c>
      <c r="F33" s="273">
        <v>151516947</v>
      </c>
      <c r="G33" s="273">
        <v>768105035</v>
      </c>
      <c r="H33" s="276">
        <v>5.8399359999999998</v>
      </c>
      <c r="I33" s="276">
        <v>-5.3599230000000002</v>
      </c>
      <c r="J33" s="275" t="s">
        <v>36</v>
      </c>
      <c r="K33" s="276" t="s">
        <v>190</v>
      </c>
      <c r="L33" s="276" t="s">
        <v>772</v>
      </c>
      <c r="M33" s="277" t="s">
        <v>268</v>
      </c>
      <c r="N33" s="277">
        <v>2150011884</v>
      </c>
      <c r="O33" s="278">
        <v>45689</v>
      </c>
      <c r="P33" s="250">
        <f t="shared" ca="1" si="0"/>
        <v>378</v>
      </c>
      <c r="Q33" s="278">
        <v>45691</v>
      </c>
      <c r="R33" s="276" t="s">
        <v>30</v>
      </c>
      <c r="S33" s="276"/>
      <c r="T33" s="276"/>
      <c r="U33" s="279">
        <v>45692</v>
      </c>
      <c r="V33" s="276" t="s">
        <v>31</v>
      </c>
      <c r="W33" s="276">
        <v>150</v>
      </c>
      <c r="X33" s="276" t="s">
        <v>32</v>
      </c>
      <c r="Y33" s="277" t="s">
        <v>193</v>
      </c>
      <c r="Z33" s="121"/>
      <c r="AA33" s="33" t="s">
        <v>532</v>
      </c>
      <c r="AB33" s="28" t="s">
        <v>16</v>
      </c>
      <c r="AC33" s="28" t="s">
        <v>776</v>
      </c>
    </row>
    <row r="34" spans="1:29" s="604" customFormat="1" ht="15" hidden="1" customHeight="1">
      <c r="A34" s="246" t="s">
        <v>25</v>
      </c>
      <c r="B34" s="246" t="s">
        <v>25</v>
      </c>
      <c r="C34" s="281" t="s">
        <v>91</v>
      </c>
      <c r="D34" s="281" t="s">
        <v>92</v>
      </c>
      <c r="E34" s="281" t="s">
        <v>93</v>
      </c>
      <c r="F34" s="281">
        <v>151771616</v>
      </c>
      <c r="G34" s="281">
        <v>757465001</v>
      </c>
      <c r="H34" s="281">
        <v>5.8397269999999999</v>
      </c>
      <c r="I34" s="281">
        <v>-5.3475250000000001</v>
      </c>
      <c r="J34" s="28" t="s">
        <v>42</v>
      </c>
      <c r="K34" s="282" t="s">
        <v>190</v>
      </c>
      <c r="L34" s="28" t="s">
        <v>94</v>
      </c>
      <c r="M34" s="283" t="s">
        <v>311</v>
      </c>
      <c r="N34" s="283">
        <v>2150011926</v>
      </c>
      <c r="O34" s="282">
        <v>45686</v>
      </c>
      <c r="P34" s="250">
        <f t="shared" ca="1" si="0"/>
        <v>382</v>
      </c>
      <c r="Q34" s="282">
        <v>45687</v>
      </c>
      <c r="R34" s="28" t="s">
        <v>30</v>
      </c>
      <c r="S34" s="28"/>
      <c r="T34" s="28">
        <v>2</v>
      </c>
      <c r="U34" s="284">
        <v>45693</v>
      </c>
      <c r="V34" s="28" t="s">
        <v>31</v>
      </c>
      <c r="W34" s="28">
        <v>300</v>
      </c>
      <c r="X34" s="28" t="s">
        <v>32</v>
      </c>
      <c r="Y34" s="28" t="s">
        <v>193</v>
      </c>
      <c r="Z34" s="241"/>
      <c r="AA34" s="67" t="s">
        <v>532</v>
      </c>
      <c r="AB34" s="67" t="s">
        <v>16</v>
      </c>
      <c r="AC34" s="255" t="s">
        <v>777</v>
      </c>
    </row>
    <row r="35" spans="1:29" s="604" customFormat="1" ht="15" hidden="1" customHeight="1">
      <c r="A35" s="246" t="s">
        <v>25</v>
      </c>
      <c r="B35" s="246" t="s">
        <v>25</v>
      </c>
      <c r="C35" s="281" t="s">
        <v>136</v>
      </c>
      <c r="D35" s="281" t="s">
        <v>137</v>
      </c>
      <c r="E35" s="281" t="s">
        <v>138</v>
      </c>
      <c r="F35" s="281">
        <v>143908485</v>
      </c>
      <c r="G35" s="281">
        <v>544202033</v>
      </c>
      <c r="H35" s="28">
        <v>5.8314069999999996</v>
      </c>
      <c r="I35" s="28">
        <v>-5.3559200000000002</v>
      </c>
      <c r="J35" s="28" t="s">
        <v>36</v>
      </c>
      <c r="K35" s="28" t="s">
        <v>274</v>
      </c>
      <c r="L35" s="28" t="s">
        <v>519</v>
      </c>
      <c r="M35" s="283" t="s">
        <v>319</v>
      </c>
      <c r="N35" s="283">
        <v>2150011897</v>
      </c>
      <c r="O35" s="282">
        <v>45688</v>
      </c>
      <c r="P35" s="250">
        <f t="shared" ca="1" si="0"/>
        <v>380</v>
      </c>
      <c r="Q35" s="282">
        <v>45689</v>
      </c>
      <c r="R35" s="28" t="s">
        <v>30</v>
      </c>
      <c r="S35" s="28"/>
      <c r="T35" s="28"/>
      <c r="U35" s="284">
        <v>45693</v>
      </c>
      <c r="V35" s="28" t="s">
        <v>31</v>
      </c>
      <c r="W35" s="28">
        <v>100</v>
      </c>
      <c r="X35" s="28" t="s">
        <v>32</v>
      </c>
      <c r="Y35" s="28" t="s">
        <v>193</v>
      </c>
      <c r="Z35" s="241"/>
      <c r="AA35" s="67" t="s">
        <v>532</v>
      </c>
      <c r="AB35" s="67" t="s">
        <v>16</v>
      </c>
      <c r="AC35" s="255" t="s">
        <v>778</v>
      </c>
    </row>
    <row r="36" spans="1:29" s="604" customFormat="1" ht="15" hidden="1" customHeight="1">
      <c r="A36" s="246" t="s">
        <v>25</v>
      </c>
      <c r="B36" s="246" t="s">
        <v>25</v>
      </c>
      <c r="C36" s="281" t="s">
        <v>139</v>
      </c>
      <c r="D36" s="281" t="s">
        <v>137</v>
      </c>
      <c r="E36" s="281" t="s">
        <v>135</v>
      </c>
      <c r="F36" s="281">
        <v>143908485</v>
      </c>
      <c r="G36" s="281">
        <v>544202033</v>
      </c>
      <c r="H36" s="28">
        <v>5.8391000000000002</v>
      </c>
      <c r="I36" s="28">
        <v>-5.3592279999999999</v>
      </c>
      <c r="J36" s="28" t="s">
        <v>36</v>
      </c>
      <c r="K36" s="28" t="s">
        <v>190</v>
      </c>
      <c r="L36" s="28" t="s">
        <v>642</v>
      </c>
      <c r="M36" s="283" t="s">
        <v>320</v>
      </c>
      <c r="N36" s="283">
        <v>2150011896</v>
      </c>
      <c r="O36" s="282">
        <v>45688</v>
      </c>
      <c r="P36" s="250">
        <f t="shared" ca="1" si="0"/>
        <v>380</v>
      </c>
      <c r="Q36" s="282">
        <v>45689</v>
      </c>
      <c r="R36" s="28" t="s">
        <v>30</v>
      </c>
      <c r="S36" s="28"/>
      <c r="T36" s="28"/>
      <c r="U36" s="284">
        <v>45693</v>
      </c>
      <c r="V36" s="28" t="s">
        <v>31</v>
      </c>
      <c r="W36" s="28">
        <v>250</v>
      </c>
      <c r="X36" s="28" t="s">
        <v>32</v>
      </c>
      <c r="Y36" s="28" t="s">
        <v>193</v>
      </c>
      <c r="Z36" s="241"/>
      <c r="AA36" s="67" t="s">
        <v>532</v>
      </c>
      <c r="AB36" s="67" t="s">
        <v>16</v>
      </c>
      <c r="AC36" s="255" t="s">
        <v>779</v>
      </c>
    </row>
    <row r="37" spans="1:29" s="604" customFormat="1" ht="15" hidden="1" customHeight="1">
      <c r="A37" s="246" t="s">
        <v>25</v>
      </c>
      <c r="B37" s="246" t="s">
        <v>25</v>
      </c>
      <c r="C37" s="281" t="s">
        <v>143</v>
      </c>
      <c r="D37" s="281" t="s">
        <v>144</v>
      </c>
      <c r="E37" s="281" t="s">
        <v>145</v>
      </c>
      <c r="F37" s="281">
        <v>505211701</v>
      </c>
      <c r="G37" s="281">
        <v>102405216</v>
      </c>
      <c r="H37" s="28">
        <v>5.8399789999999996</v>
      </c>
      <c r="I37" s="28">
        <v>-5.3463669999999999</v>
      </c>
      <c r="J37" s="28" t="s">
        <v>189</v>
      </c>
      <c r="K37" s="28" t="s">
        <v>190</v>
      </c>
      <c r="L37" s="28" t="s">
        <v>264</v>
      </c>
      <c r="M37" s="283" t="s">
        <v>318</v>
      </c>
      <c r="N37" s="283">
        <v>2150011880</v>
      </c>
      <c r="O37" s="282">
        <v>45689</v>
      </c>
      <c r="P37" s="250">
        <f t="shared" ca="1" si="0"/>
        <v>378</v>
      </c>
      <c r="Q37" s="282">
        <v>45691</v>
      </c>
      <c r="R37" s="28" t="s">
        <v>30</v>
      </c>
      <c r="S37" s="28"/>
      <c r="T37" s="28">
        <v>1</v>
      </c>
      <c r="U37" s="284">
        <v>45693</v>
      </c>
      <c r="V37" s="28" t="s">
        <v>31</v>
      </c>
      <c r="W37" s="28">
        <v>150</v>
      </c>
      <c r="X37" s="28" t="s">
        <v>32</v>
      </c>
      <c r="Y37" s="121" t="s">
        <v>193</v>
      </c>
      <c r="Z37" s="241"/>
      <c r="AA37" s="67" t="s">
        <v>532</v>
      </c>
      <c r="AB37" s="67" t="s">
        <v>16</v>
      </c>
      <c r="AC37" s="67" t="s">
        <v>780</v>
      </c>
    </row>
    <row r="38" spans="1:29" s="606" customFormat="1" ht="15" hidden="1" customHeight="1">
      <c r="A38" s="246" t="s">
        <v>25</v>
      </c>
      <c r="B38" s="246" t="s">
        <v>25</v>
      </c>
      <c r="C38" s="256" t="s">
        <v>105</v>
      </c>
      <c r="D38" s="256" t="s">
        <v>106</v>
      </c>
      <c r="E38" s="256" t="s">
        <v>107</v>
      </c>
      <c r="F38" s="256">
        <v>707796802</v>
      </c>
      <c r="G38" s="256">
        <v>102175804</v>
      </c>
      <c r="H38" s="256">
        <v>5.84206</v>
      </c>
      <c r="I38" s="256">
        <v>-5.3435920000000001</v>
      </c>
      <c r="J38" s="67" t="s">
        <v>26</v>
      </c>
      <c r="K38" s="257" t="s">
        <v>198</v>
      </c>
      <c r="L38" s="67" t="s">
        <v>261</v>
      </c>
      <c r="M38" s="255" t="s">
        <v>313</v>
      </c>
      <c r="N38" s="255">
        <v>2150011927</v>
      </c>
      <c r="O38" s="257">
        <v>45686</v>
      </c>
      <c r="P38" s="250">
        <f t="shared" ref="P38:P69" ca="1" si="1">TODAY()-Q38</f>
        <v>382</v>
      </c>
      <c r="Q38" s="257">
        <v>45687</v>
      </c>
      <c r="R38" s="67" t="s">
        <v>30</v>
      </c>
      <c r="S38" s="67"/>
      <c r="T38" s="67">
        <v>1</v>
      </c>
      <c r="U38" s="254">
        <v>45694</v>
      </c>
      <c r="V38" s="67" t="s">
        <v>310</v>
      </c>
      <c r="W38" s="67">
        <v>150</v>
      </c>
      <c r="X38" s="67" t="s">
        <v>32</v>
      </c>
      <c r="Y38" s="241" t="s">
        <v>228</v>
      </c>
      <c r="Z38" s="101"/>
      <c r="AA38" s="59" t="s">
        <v>532</v>
      </c>
      <c r="AB38" s="54" t="s">
        <v>16</v>
      </c>
      <c r="AC38" s="54" t="s">
        <v>782</v>
      </c>
    </row>
    <row r="39" spans="1:29" s="606" customFormat="1" ht="15" hidden="1" customHeight="1">
      <c r="A39" s="246" t="s">
        <v>25</v>
      </c>
      <c r="B39" s="246" t="s">
        <v>25</v>
      </c>
      <c r="C39" s="67" t="s">
        <v>53</v>
      </c>
      <c r="D39" s="67" t="s">
        <v>54</v>
      </c>
      <c r="E39" s="67" t="s">
        <v>55</v>
      </c>
      <c r="F39" s="67">
        <v>749171632</v>
      </c>
      <c r="G39" s="67">
        <v>172910794</v>
      </c>
      <c r="H39" s="67">
        <v>5.8428610000000001</v>
      </c>
      <c r="I39" s="67">
        <v>-5.3417009999999996</v>
      </c>
      <c r="J39" s="67" t="s">
        <v>36</v>
      </c>
      <c r="K39" s="257" t="s">
        <v>198</v>
      </c>
      <c r="L39" s="67" t="s">
        <v>278</v>
      </c>
      <c r="M39" s="67" t="s">
        <v>56</v>
      </c>
      <c r="N39" s="67">
        <v>2150011944</v>
      </c>
      <c r="O39" s="257">
        <v>45684</v>
      </c>
      <c r="P39" s="250">
        <f t="shared" ca="1" si="1"/>
        <v>382</v>
      </c>
      <c r="Q39" s="257">
        <v>45687</v>
      </c>
      <c r="R39" s="67" t="s">
        <v>30</v>
      </c>
      <c r="S39" s="67"/>
      <c r="T39" s="67"/>
      <c r="U39" s="254">
        <v>45694</v>
      </c>
      <c r="V39" s="67" t="s">
        <v>310</v>
      </c>
      <c r="W39" s="67">
        <v>100</v>
      </c>
      <c r="X39" s="67" t="s">
        <v>32</v>
      </c>
      <c r="Y39" s="241" t="s">
        <v>193</v>
      </c>
      <c r="Z39" s="101"/>
      <c r="AA39" s="59" t="s">
        <v>532</v>
      </c>
      <c r="AB39" s="54" t="s">
        <v>16</v>
      </c>
      <c r="AC39" s="285" t="s">
        <v>781</v>
      </c>
    </row>
    <row r="40" spans="1:29" s="606" customFormat="1" ht="15" hidden="1" customHeight="1">
      <c r="A40" s="246" t="s">
        <v>25</v>
      </c>
      <c r="B40" s="246" t="s">
        <v>25</v>
      </c>
      <c r="C40" s="256" t="s">
        <v>39</v>
      </c>
      <c r="D40" s="256" t="s">
        <v>40</v>
      </c>
      <c r="E40" s="256" t="s">
        <v>41</v>
      </c>
      <c r="F40" s="256">
        <v>749344799</v>
      </c>
      <c r="G40" s="256">
        <v>757747507</v>
      </c>
      <c r="H40" s="67">
        <v>5.8447490000000002</v>
      </c>
      <c r="I40" s="67">
        <v>-5.3532320000000002</v>
      </c>
      <c r="J40" s="67" t="s">
        <v>42</v>
      </c>
      <c r="K40" s="67" t="s">
        <v>203</v>
      </c>
      <c r="L40" s="67" t="s">
        <v>280</v>
      </c>
      <c r="M40" s="256" t="s">
        <v>43</v>
      </c>
      <c r="N40" s="256">
        <v>2150011889</v>
      </c>
      <c r="O40" s="257">
        <v>45686</v>
      </c>
      <c r="P40" s="250">
        <f t="shared" ca="1" si="1"/>
        <v>381</v>
      </c>
      <c r="Q40" s="257">
        <v>45688</v>
      </c>
      <c r="R40" s="67" t="s">
        <v>30</v>
      </c>
      <c r="S40" s="67"/>
      <c r="T40" s="67">
        <v>0</v>
      </c>
      <c r="U40" s="254">
        <v>45694</v>
      </c>
      <c r="V40" s="67" t="s">
        <v>310</v>
      </c>
      <c r="W40" s="67">
        <v>200</v>
      </c>
      <c r="X40" s="67" t="s">
        <v>32</v>
      </c>
      <c r="Y40" s="241" t="s">
        <v>193</v>
      </c>
      <c r="Z40" s="101"/>
      <c r="AA40" s="59" t="s">
        <v>532</v>
      </c>
      <c r="AB40" s="54" t="s">
        <v>16</v>
      </c>
      <c r="AC40" s="54" t="s">
        <v>783</v>
      </c>
    </row>
    <row r="41" spans="1:29" s="606" customFormat="1" ht="15" hidden="1" customHeight="1">
      <c r="A41" s="246" t="s">
        <v>25</v>
      </c>
      <c r="B41" s="246" t="s">
        <v>25</v>
      </c>
      <c r="C41" s="256" t="s">
        <v>131</v>
      </c>
      <c r="D41" s="256" t="s">
        <v>132</v>
      </c>
      <c r="E41" s="256" t="s">
        <v>55</v>
      </c>
      <c r="F41" s="256">
        <v>500664365</v>
      </c>
      <c r="G41" s="256">
        <v>500664365</v>
      </c>
      <c r="H41" s="67"/>
      <c r="I41" s="67"/>
      <c r="J41" s="67" t="s">
        <v>42</v>
      </c>
      <c r="K41" s="67" t="s">
        <v>274</v>
      </c>
      <c r="L41" s="67" t="s">
        <v>283</v>
      </c>
      <c r="M41" s="255" t="s">
        <v>316</v>
      </c>
      <c r="N41" s="255">
        <v>2150011899</v>
      </c>
      <c r="O41" s="257">
        <v>45687</v>
      </c>
      <c r="P41" s="250">
        <f t="shared" ca="1" si="1"/>
        <v>380</v>
      </c>
      <c r="Q41" s="257">
        <v>45689</v>
      </c>
      <c r="R41" s="67" t="s">
        <v>30</v>
      </c>
      <c r="S41" s="67"/>
      <c r="T41" s="67">
        <v>1</v>
      </c>
      <c r="U41" s="254">
        <v>45694</v>
      </c>
      <c r="V41" s="67" t="s">
        <v>310</v>
      </c>
      <c r="W41" s="67">
        <v>150</v>
      </c>
      <c r="X41" s="67" t="s">
        <v>32</v>
      </c>
      <c r="Y41" s="241" t="s">
        <v>193</v>
      </c>
      <c r="Z41" s="101"/>
      <c r="AA41" s="59" t="s">
        <v>532</v>
      </c>
      <c r="AB41" s="54" t="s">
        <v>16</v>
      </c>
      <c r="AC41" s="285" t="s">
        <v>784</v>
      </c>
    </row>
    <row r="42" spans="1:29" s="607" customFormat="1" ht="15" hidden="1" customHeight="1">
      <c r="A42" s="246" t="s">
        <v>25</v>
      </c>
      <c r="B42" s="246" t="s">
        <v>25</v>
      </c>
      <c r="C42" s="54" t="s">
        <v>63</v>
      </c>
      <c r="D42" s="54" t="s">
        <v>64</v>
      </c>
      <c r="E42" s="54" t="s">
        <v>65</v>
      </c>
      <c r="F42" s="54">
        <v>161692344</v>
      </c>
      <c r="G42" s="54">
        <v>749851496</v>
      </c>
      <c r="H42" s="54">
        <v>5.844214</v>
      </c>
      <c r="I42" s="54">
        <v>-5.3518109999999997</v>
      </c>
      <c r="J42" s="54" t="s">
        <v>189</v>
      </c>
      <c r="K42" s="100" t="s">
        <v>203</v>
      </c>
      <c r="L42" s="54" t="s">
        <v>344</v>
      </c>
      <c r="M42" s="285" t="s">
        <v>379</v>
      </c>
      <c r="N42" s="285">
        <v>2150011922</v>
      </c>
      <c r="O42" s="286">
        <v>45684</v>
      </c>
      <c r="P42" s="250">
        <f t="shared" ca="1" si="1"/>
        <v>382</v>
      </c>
      <c r="Q42" s="286">
        <v>45687</v>
      </c>
      <c r="R42" s="54" t="s">
        <v>30</v>
      </c>
      <c r="S42" s="54"/>
      <c r="T42" s="54"/>
      <c r="U42" s="287">
        <v>45695</v>
      </c>
      <c r="V42" s="54" t="s">
        <v>310</v>
      </c>
      <c r="W42" s="54">
        <v>150</v>
      </c>
      <c r="X42" s="54" t="s">
        <v>32</v>
      </c>
      <c r="Y42" s="101" t="s">
        <v>193</v>
      </c>
      <c r="Z42" s="292"/>
      <c r="AA42" s="289" t="s">
        <v>532</v>
      </c>
      <c r="AB42" s="289" t="s">
        <v>16</v>
      </c>
      <c r="AC42" s="289" t="s">
        <v>785</v>
      </c>
    </row>
    <row r="43" spans="1:29" s="607" customFormat="1" ht="15" hidden="1" customHeight="1">
      <c r="A43" s="246" t="s">
        <v>25</v>
      </c>
      <c r="B43" s="246" t="s">
        <v>25</v>
      </c>
      <c r="C43" s="99" t="s">
        <v>98</v>
      </c>
      <c r="D43" s="99" t="s">
        <v>99</v>
      </c>
      <c r="E43" s="99" t="s">
        <v>89</v>
      </c>
      <c r="F43" s="99">
        <v>1400007760</v>
      </c>
      <c r="G43" s="99">
        <v>757747718</v>
      </c>
      <c r="H43" s="99"/>
      <c r="I43" s="99"/>
      <c r="J43" s="54" t="s">
        <v>42</v>
      </c>
      <c r="K43" s="54" t="s">
        <v>190</v>
      </c>
      <c r="L43" s="54" t="s">
        <v>279</v>
      </c>
      <c r="M43" s="285" t="s">
        <v>314</v>
      </c>
      <c r="N43" s="285">
        <v>2150011898</v>
      </c>
      <c r="O43" s="100">
        <v>45685</v>
      </c>
      <c r="P43" s="250">
        <f t="shared" ca="1" si="1"/>
        <v>382</v>
      </c>
      <c r="Q43" s="100">
        <v>45687</v>
      </c>
      <c r="R43" s="54" t="s">
        <v>30</v>
      </c>
      <c r="S43" s="54"/>
      <c r="T43" s="54">
        <v>1</v>
      </c>
      <c r="U43" s="287">
        <v>45695</v>
      </c>
      <c r="V43" s="54" t="s">
        <v>310</v>
      </c>
      <c r="W43" s="54">
        <v>150</v>
      </c>
      <c r="X43" s="54" t="s">
        <v>32</v>
      </c>
      <c r="Y43" s="101" t="s">
        <v>193</v>
      </c>
      <c r="Z43" s="292"/>
      <c r="AA43" s="289" t="s">
        <v>532</v>
      </c>
      <c r="AB43" s="289" t="s">
        <v>16</v>
      </c>
      <c r="AC43" s="289" t="s">
        <v>520</v>
      </c>
    </row>
    <row r="44" spans="1:29" s="607" customFormat="1" ht="15" hidden="1" customHeight="1">
      <c r="A44" s="246" t="s">
        <v>25</v>
      </c>
      <c r="B44" s="246" t="s">
        <v>25</v>
      </c>
      <c r="C44" s="99" t="s">
        <v>115</v>
      </c>
      <c r="D44" s="99" t="s">
        <v>116</v>
      </c>
      <c r="E44" s="99" t="s">
        <v>117</v>
      </c>
      <c r="F44" s="99">
        <v>707290576</v>
      </c>
      <c r="G44" s="99">
        <v>798012771</v>
      </c>
      <c r="H44" s="54">
        <v>5.8476359999999996</v>
      </c>
      <c r="I44" s="54">
        <v>-5.3551659999999996</v>
      </c>
      <c r="J44" s="54" t="s">
        <v>189</v>
      </c>
      <c r="K44" s="100" t="s">
        <v>198</v>
      </c>
      <c r="L44" s="54" t="s">
        <v>262</v>
      </c>
      <c r="M44" s="285" t="s">
        <v>270</v>
      </c>
      <c r="N44" s="285">
        <v>2150011882</v>
      </c>
      <c r="O44" s="100">
        <v>45686</v>
      </c>
      <c r="P44" s="250">
        <f t="shared" ca="1" si="1"/>
        <v>382</v>
      </c>
      <c r="Q44" s="100">
        <v>45687</v>
      </c>
      <c r="R44" s="54" t="s">
        <v>30</v>
      </c>
      <c r="S44" s="54"/>
      <c r="T44" s="54"/>
      <c r="U44" s="287">
        <v>45695</v>
      </c>
      <c r="V44" s="54" t="s">
        <v>310</v>
      </c>
      <c r="W44" s="54">
        <v>60</v>
      </c>
      <c r="X44" s="54" t="s">
        <v>32</v>
      </c>
      <c r="Y44" s="101" t="s">
        <v>193</v>
      </c>
      <c r="Z44" s="292"/>
      <c r="AA44" s="289" t="s">
        <v>532</v>
      </c>
      <c r="AB44" s="289" t="s">
        <v>16</v>
      </c>
      <c r="AC44" s="289" t="s">
        <v>786</v>
      </c>
    </row>
    <row r="45" spans="1:29" s="607" customFormat="1" ht="15" hidden="1" customHeight="1">
      <c r="A45" s="246" t="s">
        <v>25</v>
      </c>
      <c r="B45" s="246" t="s">
        <v>25</v>
      </c>
      <c r="C45" s="99" t="s">
        <v>44</v>
      </c>
      <c r="D45" s="99" t="s">
        <v>45</v>
      </c>
      <c r="E45" s="99" t="s">
        <v>46</v>
      </c>
      <c r="F45" s="99">
        <v>505013243</v>
      </c>
      <c r="G45" s="99">
        <v>141388211</v>
      </c>
      <c r="H45" s="54">
        <v>5.8477269999999999</v>
      </c>
      <c r="I45" s="54">
        <v>-5.3567910000000003</v>
      </c>
      <c r="J45" s="54" t="s">
        <v>189</v>
      </c>
      <c r="K45" s="100" t="s">
        <v>198</v>
      </c>
      <c r="L45" s="54" t="s">
        <v>258</v>
      </c>
      <c r="M45" s="99" t="s">
        <v>47</v>
      </c>
      <c r="N45" s="99">
        <v>2150011888</v>
      </c>
      <c r="O45" s="100">
        <v>45686</v>
      </c>
      <c r="P45" s="250">
        <f t="shared" ca="1" si="1"/>
        <v>381</v>
      </c>
      <c r="Q45" s="100">
        <v>45688</v>
      </c>
      <c r="R45" s="54" t="s">
        <v>30</v>
      </c>
      <c r="S45" s="54"/>
      <c r="T45" s="54">
        <v>0</v>
      </c>
      <c r="U45" s="287">
        <v>45695</v>
      </c>
      <c r="V45" s="54" t="s">
        <v>310</v>
      </c>
      <c r="W45" s="54">
        <v>180</v>
      </c>
      <c r="X45" s="54" t="s">
        <v>32</v>
      </c>
      <c r="Y45" s="101" t="s">
        <v>193</v>
      </c>
      <c r="Z45" s="292"/>
      <c r="AA45" s="289" t="s">
        <v>532</v>
      </c>
      <c r="AB45" s="292" t="s">
        <v>16</v>
      </c>
      <c r="AC45" s="289" t="s">
        <v>787</v>
      </c>
    </row>
    <row r="46" spans="1:29" s="607" customFormat="1" ht="15" hidden="1" customHeight="1">
      <c r="A46" s="246" t="s">
        <v>25</v>
      </c>
      <c r="B46" s="246" t="s">
        <v>25</v>
      </c>
      <c r="C46" s="288" t="s">
        <v>296</v>
      </c>
      <c r="D46" s="288" t="s">
        <v>297</v>
      </c>
      <c r="E46" s="288" t="s">
        <v>298</v>
      </c>
      <c r="F46" s="288">
        <v>749541761</v>
      </c>
      <c r="G46" s="288">
        <v>161860876</v>
      </c>
      <c r="H46" s="289">
        <v>5.8416170000000003</v>
      </c>
      <c r="I46" s="289">
        <v>-5.3526020000000001</v>
      </c>
      <c r="J46" s="289" t="s">
        <v>189</v>
      </c>
      <c r="K46" s="289" t="s">
        <v>203</v>
      </c>
      <c r="L46" s="289" t="s">
        <v>341</v>
      </c>
      <c r="M46" s="289" t="s">
        <v>350</v>
      </c>
      <c r="N46" s="289">
        <v>2150011934</v>
      </c>
      <c r="O46" s="290">
        <v>45692</v>
      </c>
      <c r="P46" s="250">
        <f t="shared" ca="1" si="1"/>
        <v>377</v>
      </c>
      <c r="Q46" s="290">
        <v>45692</v>
      </c>
      <c r="R46" s="289" t="s">
        <v>30</v>
      </c>
      <c r="S46" s="289"/>
      <c r="T46" s="289"/>
      <c r="U46" s="291">
        <v>45696</v>
      </c>
      <c r="V46" s="289" t="s">
        <v>310</v>
      </c>
      <c r="W46" s="289">
        <v>120</v>
      </c>
      <c r="X46" s="289" t="s">
        <v>32</v>
      </c>
      <c r="Y46" s="292" t="s">
        <v>245</v>
      </c>
      <c r="Z46" s="292"/>
      <c r="AA46" s="289" t="s">
        <v>532</v>
      </c>
      <c r="AB46" s="289" t="s">
        <v>16</v>
      </c>
      <c r="AC46" s="289" t="s">
        <v>788</v>
      </c>
    </row>
    <row r="47" spans="1:29" s="609" customFormat="1" ht="15" hidden="1" customHeight="1">
      <c r="A47" s="246" t="s">
        <v>25</v>
      </c>
      <c r="B47" s="246" t="s">
        <v>25</v>
      </c>
      <c r="C47" s="288" t="s">
        <v>390</v>
      </c>
      <c r="D47" s="288" t="s">
        <v>391</v>
      </c>
      <c r="E47" s="288" t="s">
        <v>89</v>
      </c>
      <c r="F47" s="288">
        <v>759230334</v>
      </c>
      <c r="G47" s="288">
        <v>703952519</v>
      </c>
      <c r="H47" s="289">
        <v>5.8383310000000002</v>
      </c>
      <c r="I47" s="289">
        <v>-5.3506859999999996</v>
      </c>
      <c r="J47" s="289" t="s">
        <v>345</v>
      </c>
      <c r="K47" s="289" t="s">
        <v>190</v>
      </c>
      <c r="L47" s="289" t="s">
        <v>279</v>
      </c>
      <c r="M47" s="289" t="s">
        <v>406</v>
      </c>
      <c r="N47" s="289">
        <v>2150011931</v>
      </c>
      <c r="O47" s="290">
        <v>45695</v>
      </c>
      <c r="P47" s="250">
        <f t="shared" ca="1" si="1"/>
        <v>373</v>
      </c>
      <c r="Q47" s="290">
        <v>45696</v>
      </c>
      <c r="R47" s="289" t="s">
        <v>30</v>
      </c>
      <c r="S47" s="289"/>
      <c r="T47" s="289"/>
      <c r="U47" s="291">
        <v>45697</v>
      </c>
      <c r="V47" s="289" t="s">
        <v>310</v>
      </c>
      <c r="W47" s="289">
        <v>150</v>
      </c>
      <c r="X47" s="293" t="s">
        <v>32</v>
      </c>
      <c r="Y47" s="292" t="s">
        <v>193</v>
      </c>
      <c r="Z47" s="297"/>
      <c r="AA47" s="124" t="s">
        <v>532</v>
      </c>
      <c r="AB47" s="124" t="s">
        <v>16</v>
      </c>
      <c r="AC47" s="296" t="s">
        <v>522</v>
      </c>
    </row>
    <row r="48" spans="1:29" s="609" customFormat="1" ht="15" hidden="1" customHeight="1">
      <c r="A48" s="246" t="s">
        <v>25</v>
      </c>
      <c r="B48" s="246" t="s">
        <v>25</v>
      </c>
      <c r="C48" s="125" t="s">
        <v>82</v>
      </c>
      <c r="D48" s="125" t="s">
        <v>83</v>
      </c>
      <c r="E48" s="125" t="s">
        <v>84</v>
      </c>
      <c r="F48" s="125">
        <v>160306180</v>
      </c>
      <c r="G48" s="125">
        <v>758513193</v>
      </c>
      <c r="H48" s="125">
        <v>5.8332480000000002</v>
      </c>
      <c r="I48" s="125">
        <v>-5.3637620000000004</v>
      </c>
      <c r="J48" s="124" t="s">
        <v>36</v>
      </c>
      <c r="K48" s="128" t="s">
        <v>203</v>
      </c>
      <c r="L48" s="124" t="s">
        <v>408</v>
      </c>
      <c r="M48" s="124" t="s">
        <v>346</v>
      </c>
      <c r="N48" s="124">
        <v>2150011937</v>
      </c>
      <c r="O48" s="295">
        <v>45685</v>
      </c>
      <c r="P48" s="250">
        <f t="shared" ca="1" si="1"/>
        <v>383</v>
      </c>
      <c r="Q48" s="295">
        <v>45686</v>
      </c>
      <c r="R48" s="124" t="s">
        <v>30</v>
      </c>
      <c r="S48" s="124"/>
      <c r="T48" s="124"/>
      <c r="U48" s="295">
        <v>45698</v>
      </c>
      <c r="V48" s="124" t="s">
        <v>310</v>
      </c>
      <c r="W48" s="124">
        <v>60</v>
      </c>
      <c r="X48" s="124" t="s">
        <v>32</v>
      </c>
      <c r="Y48" s="124" t="s">
        <v>193</v>
      </c>
      <c r="Z48" s="297"/>
      <c r="AA48" s="124" t="s">
        <v>532</v>
      </c>
      <c r="AB48" s="124" t="s">
        <v>16</v>
      </c>
      <c r="AC48" s="124" t="s">
        <v>789</v>
      </c>
    </row>
    <row r="49" spans="1:29" s="609" customFormat="1" ht="15" hidden="1" customHeight="1">
      <c r="A49" s="246" t="s">
        <v>25</v>
      </c>
      <c r="B49" s="246" t="s">
        <v>25</v>
      </c>
      <c r="C49" s="124" t="s">
        <v>66</v>
      </c>
      <c r="D49" s="124" t="s">
        <v>67</v>
      </c>
      <c r="E49" s="124" t="s">
        <v>35</v>
      </c>
      <c r="F49" s="124">
        <v>101074906</v>
      </c>
      <c r="G49" s="124">
        <v>708103359</v>
      </c>
      <c r="H49" s="124"/>
      <c r="I49" s="124"/>
      <c r="J49" s="126" t="s">
        <v>36</v>
      </c>
      <c r="K49" s="124" t="s">
        <v>190</v>
      </c>
      <c r="L49" s="124" t="s">
        <v>275</v>
      </c>
      <c r="M49" s="296" t="s">
        <v>315</v>
      </c>
      <c r="N49" s="296">
        <v>2150011928</v>
      </c>
      <c r="O49" s="295">
        <v>45684</v>
      </c>
      <c r="P49" s="250">
        <f t="shared" ca="1" si="1"/>
        <v>383</v>
      </c>
      <c r="Q49" s="295">
        <v>45686</v>
      </c>
      <c r="R49" s="124" t="s">
        <v>30</v>
      </c>
      <c r="S49" s="124"/>
      <c r="T49" s="124">
        <v>3</v>
      </c>
      <c r="U49" s="295">
        <v>45698</v>
      </c>
      <c r="V49" s="124" t="s">
        <v>310</v>
      </c>
      <c r="W49" s="124">
        <v>150</v>
      </c>
      <c r="X49" s="124" t="s">
        <v>32</v>
      </c>
      <c r="Y49" s="124" t="s">
        <v>193</v>
      </c>
      <c r="Z49" s="297"/>
      <c r="AA49" s="124" t="s">
        <v>532</v>
      </c>
      <c r="AB49" s="297" t="s">
        <v>16</v>
      </c>
      <c r="AC49" s="124" t="s">
        <v>790</v>
      </c>
    </row>
    <row r="50" spans="1:29" s="608" customFormat="1" ht="15" hidden="1" customHeight="1">
      <c r="A50" s="246" t="s">
        <v>25</v>
      </c>
      <c r="B50" s="246" t="s">
        <v>25</v>
      </c>
      <c r="C50" s="125" t="s">
        <v>111</v>
      </c>
      <c r="D50" s="125" t="s">
        <v>112</v>
      </c>
      <c r="E50" s="125" t="s">
        <v>89</v>
      </c>
      <c r="F50" s="125">
        <v>748344226</v>
      </c>
      <c r="G50" s="125">
        <v>140508321</v>
      </c>
      <c r="H50" s="125">
        <v>5.8395190000000001</v>
      </c>
      <c r="I50" s="125">
        <v>-5.3534449999999998</v>
      </c>
      <c r="J50" s="124" t="s">
        <v>189</v>
      </c>
      <c r="K50" s="128" t="s">
        <v>190</v>
      </c>
      <c r="L50" s="124" t="s">
        <v>411</v>
      </c>
      <c r="M50" s="296" t="s">
        <v>413</v>
      </c>
      <c r="N50" s="296">
        <v>2150011906</v>
      </c>
      <c r="O50" s="128">
        <v>45686</v>
      </c>
      <c r="P50" s="250">
        <f t="shared" ca="1" si="1"/>
        <v>382</v>
      </c>
      <c r="Q50" s="128">
        <v>45687</v>
      </c>
      <c r="R50" s="124" t="s">
        <v>30</v>
      </c>
      <c r="S50" s="124"/>
      <c r="T50" s="124"/>
      <c r="U50" s="295">
        <v>45698</v>
      </c>
      <c r="V50" s="124" t="s">
        <v>310</v>
      </c>
      <c r="W50" s="124">
        <v>100</v>
      </c>
      <c r="X50" s="124" t="s">
        <v>32</v>
      </c>
      <c r="Y50" s="124" t="s">
        <v>193</v>
      </c>
      <c r="Z50" s="124"/>
      <c r="AA50" s="124" t="s">
        <v>532</v>
      </c>
      <c r="AB50" s="124" t="s">
        <v>16</v>
      </c>
      <c r="AC50" s="130" t="s">
        <v>791</v>
      </c>
    </row>
    <row r="51" spans="1:29" s="608" customFormat="1" ht="15" hidden="1" customHeight="1">
      <c r="A51" s="246" t="s">
        <v>25</v>
      </c>
      <c r="B51" s="246" t="s">
        <v>25</v>
      </c>
      <c r="C51" s="125" t="s">
        <v>87</v>
      </c>
      <c r="D51" s="125" t="s">
        <v>88</v>
      </c>
      <c r="E51" s="247" t="s">
        <v>89</v>
      </c>
      <c r="F51" s="125">
        <v>758606274</v>
      </c>
      <c r="G51" s="125">
        <v>102191366</v>
      </c>
      <c r="H51" s="125">
        <v>5.839143</v>
      </c>
      <c r="I51" s="125">
        <v>-5.357621</v>
      </c>
      <c r="J51" s="124" t="s">
        <v>36</v>
      </c>
      <c r="K51" s="128" t="s">
        <v>190</v>
      </c>
      <c r="L51" s="124" t="s">
        <v>37</v>
      </c>
      <c r="M51" s="296" t="s">
        <v>312</v>
      </c>
      <c r="N51" s="296">
        <v>2150011929</v>
      </c>
      <c r="O51" s="128">
        <v>45685</v>
      </c>
      <c r="P51" s="250">
        <f t="shared" ca="1" si="1"/>
        <v>382</v>
      </c>
      <c r="Q51" s="128">
        <v>45687</v>
      </c>
      <c r="R51" s="124" t="s">
        <v>30</v>
      </c>
      <c r="S51" s="124"/>
      <c r="T51" s="124">
        <v>2</v>
      </c>
      <c r="U51" s="295">
        <v>45698</v>
      </c>
      <c r="V51" s="124" t="s">
        <v>310</v>
      </c>
      <c r="W51" s="124">
        <v>200</v>
      </c>
      <c r="X51" s="124" t="s">
        <v>32</v>
      </c>
      <c r="Y51" s="124" t="s">
        <v>193</v>
      </c>
      <c r="Z51" s="124"/>
      <c r="AA51" s="124" t="s">
        <v>532</v>
      </c>
      <c r="AB51" s="124" t="s">
        <v>16</v>
      </c>
      <c r="AC51" s="124" t="s">
        <v>792</v>
      </c>
    </row>
    <row r="52" spans="1:29" s="608" customFormat="1" ht="15" hidden="1" customHeight="1">
      <c r="A52" s="246" t="s">
        <v>25</v>
      </c>
      <c r="B52" s="246" t="s">
        <v>25</v>
      </c>
      <c r="C52" s="125" t="s">
        <v>133</v>
      </c>
      <c r="D52" s="125" t="s">
        <v>134</v>
      </c>
      <c r="E52" s="125" t="s">
        <v>135</v>
      </c>
      <c r="F52" s="125">
        <v>502421559</v>
      </c>
      <c r="G52" s="125">
        <v>161464816</v>
      </c>
      <c r="H52" s="124">
        <v>5.8396150000000002</v>
      </c>
      <c r="I52" s="124">
        <v>-5.3586400000000003</v>
      </c>
      <c r="J52" s="124" t="s">
        <v>36</v>
      </c>
      <c r="K52" s="124" t="s">
        <v>190</v>
      </c>
      <c r="L52" s="124" t="s">
        <v>37</v>
      </c>
      <c r="M52" s="296" t="s">
        <v>317</v>
      </c>
      <c r="N52" s="296">
        <v>2150011881</v>
      </c>
      <c r="O52" s="128">
        <v>45688</v>
      </c>
      <c r="P52" s="250">
        <f t="shared" ca="1" si="1"/>
        <v>380</v>
      </c>
      <c r="Q52" s="128">
        <v>45689</v>
      </c>
      <c r="R52" s="124" t="s">
        <v>30</v>
      </c>
      <c r="S52" s="124"/>
      <c r="T52" s="124">
        <v>2</v>
      </c>
      <c r="U52" s="295">
        <v>45698</v>
      </c>
      <c r="V52" s="124" t="s">
        <v>310</v>
      </c>
      <c r="W52" s="124">
        <v>150</v>
      </c>
      <c r="X52" s="124" t="s">
        <v>32</v>
      </c>
      <c r="Y52" s="297" t="s">
        <v>193</v>
      </c>
      <c r="Z52" s="124"/>
      <c r="AA52" s="124" t="s">
        <v>532</v>
      </c>
      <c r="AB52" s="124" t="s">
        <v>16</v>
      </c>
      <c r="AC52" s="124" t="s">
        <v>793</v>
      </c>
    </row>
    <row r="53" spans="1:29" s="608" customFormat="1" ht="15" hidden="1" customHeight="1">
      <c r="A53" s="246" t="s">
        <v>25</v>
      </c>
      <c r="B53" s="246" t="s">
        <v>25</v>
      </c>
      <c r="C53" s="288" t="s">
        <v>335</v>
      </c>
      <c r="D53" s="288" t="s">
        <v>336</v>
      </c>
      <c r="E53" s="288" t="s">
        <v>154</v>
      </c>
      <c r="F53" s="288">
        <v>707202627</v>
      </c>
      <c r="G53" s="288">
        <v>702982128</v>
      </c>
      <c r="H53" s="289">
        <v>5.8378100000000002</v>
      </c>
      <c r="I53" s="289">
        <v>-5.36294</v>
      </c>
      <c r="J53" s="294" t="s">
        <v>36</v>
      </c>
      <c r="K53" s="289" t="s">
        <v>203</v>
      </c>
      <c r="L53" s="289" t="s">
        <v>382</v>
      </c>
      <c r="M53" s="289" t="s">
        <v>352</v>
      </c>
      <c r="N53" s="289">
        <v>2150011925</v>
      </c>
      <c r="O53" s="290">
        <v>45689</v>
      </c>
      <c r="P53" s="250">
        <f t="shared" ca="1" si="1"/>
        <v>378</v>
      </c>
      <c r="Q53" s="290">
        <v>45691</v>
      </c>
      <c r="R53" s="289" t="s">
        <v>30</v>
      </c>
      <c r="S53" s="289"/>
      <c r="T53" s="289">
        <v>0</v>
      </c>
      <c r="U53" s="291">
        <v>45698</v>
      </c>
      <c r="V53" s="289" t="s">
        <v>310</v>
      </c>
      <c r="W53" s="289">
        <v>120</v>
      </c>
      <c r="X53" s="289" t="s">
        <v>32</v>
      </c>
      <c r="Y53" s="292" t="s">
        <v>193</v>
      </c>
      <c r="Z53" s="124"/>
      <c r="AA53" s="124" t="s">
        <v>532</v>
      </c>
      <c r="AB53" s="124" t="s">
        <v>16</v>
      </c>
      <c r="AC53" s="124" t="s">
        <v>794</v>
      </c>
    </row>
    <row r="54" spans="1:29" s="608" customFormat="1" ht="15" hidden="1" customHeight="1">
      <c r="A54" s="246" t="s">
        <v>25</v>
      </c>
      <c r="B54" s="246" t="s">
        <v>25</v>
      </c>
      <c r="C54" s="288" t="s">
        <v>164</v>
      </c>
      <c r="D54" s="288" t="s">
        <v>165</v>
      </c>
      <c r="E54" s="288" t="s">
        <v>89</v>
      </c>
      <c r="F54" s="288">
        <v>759114226</v>
      </c>
      <c r="G54" s="288">
        <v>160715828</v>
      </c>
      <c r="H54" s="289">
        <v>5.8412480000000002</v>
      </c>
      <c r="I54" s="289">
        <v>-5.3528880000000001</v>
      </c>
      <c r="J54" s="294" t="s">
        <v>189</v>
      </c>
      <c r="K54" s="289" t="s">
        <v>203</v>
      </c>
      <c r="L54" s="289" t="s">
        <v>381</v>
      </c>
      <c r="M54" s="289" t="s">
        <v>384</v>
      </c>
      <c r="N54" s="289">
        <v>2150011930</v>
      </c>
      <c r="O54" s="290">
        <v>45689</v>
      </c>
      <c r="P54" s="250">
        <f t="shared" ca="1" si="1"/>
        <v>378</v>
      </c>
      <c r="Q54" s="290">
        <v>45691</v>
      </c>
      <c r="R54" s="289" t="s">
        <v>30</v>
      </c>
      <c r="S54" s="289"/>
      <c r="T54" s="289">
        <v>0</v>
      </c>
      <c r="U54" s="291">
        <v>45698</v>
      </c>
      <c r="V54" s="289" t="s">
        <v>310</v>
      </c>
      <c r="W54" s="289">
        <v>120</v>
      </c>
      <c r="X54" s="289" t="s">
        <v>32</v>
      </c>
      <c r="Y54" s="292" t="s">
        <v>193</v>
      </c>
      <c r="Z54" s="124"/>
      <c r="AA54" s="124" t="s">
        <v>532</v>
      </c>
      <c r="AB54" s="130" t="s">
        <v>16</v>
      </c>
      <c r="AC54" s="296" t="s">
        <v>795</v>
      </c>
    </row>
    <row r="55" spans="1:29" s="608" customFormat="1" ht="15" hidden="1" customHeight="1">
      <c r="A55" s="246" t="s">
        <v>25</v>
      </c>
      <c r="B55" s="246" t="s">
        <v>25</v>
      </c>
      <c r="C55" s="125" t="s">
        <v>167</v>
      </c>
      <c r="D55" s="125" t="s">
        <v>168</v>
      </c>
      <c r="E55" s="125" t="s">
        <v>169</v>
      </c>
      <c r="F55" s="125">
        <v>103383308</v>
      </c>
      <c r="G55" s="125">
        <v>757420372</v>
      </c>
      <c r="H55" s="130">
        <v>5.8403890000000001</v>
      </c>
      <c r="I55" s="130">
        <v>-5.3611880000000003</v>
      </c>
      <c r="J55" s="126" t="s">
        <v>36</v>
      </c>
      <c r="K55" s="130" t="s">
        <v>223</v>
      </c>
      <c r="L55" s="130" t="s">
        <v>276</v>
      </c>
      <c r="M55" s="130" t="s">
        <v>348</v>
      </c>
      <c r="N55" s="130">
        <v>2150011938</v>
      </c>
      <c r="O55" s="128">
        <v>45689</v>
      </c>
      <c r="P55" s="250">
        <f t="shared" ca="1" si="1"/>
        <v>378</v>
      </c>
      <c r="Q55" s="128">
        <v>45691</v>
      </c>
      <c r="R55" s="124" t="s">
        <v>30</v>
      </c>
      <c r="S55" s="130"/>
      <c r="T55" s="130">
        <v>0</v>
      </c>
      <c r="U55" s="295">
        <v>45698</v>
      </c>
      <c r="V55" s="124" t="s">
        <v>310</v>
      </c>
      <c r="W55" s="130">
        <v>150</v>
      </c>
      <c r="X55" s="124" t="s">
        <v>32</v>
      </c>
      <c r="Y55" s="124" t="s">
        <v>228</v>
      </c>
      <c r="Z55" s="124"/>
      <c r="AA55" s="124" t="s">
        <v>532</v>
      </c>
      <c r="AB55" s="124" t="s">
        <v>16</v>
      </c>
      <c r="AC55" s="124" t="s">
        <v>796</v>
      </c>
    </row>
    <row r="56" spans="1:29" s="608" customFormat="1" ht="15" hidden="1" customHeight="1">
      <c r="A56" s="246" t="s">
        <v>25</v>
      </c>
      <c r="B56" s="246" t="s">
        <v>25</v>
      </c>
      <c r="C56" s="125" t="s">
        <v>299</v>
      </c>
      <c r="D56" s="125" t="s">
        <v>300</v>
      </c>
      <c r="E56" s="125" t="s">
        <v>301</v>
      </c>
      <c r="F56" s="125">
        <v>708674594</v>
      </c>
      <c r="G56" s="125">
        <v>708674594</v>
      </c>
      <c r="H56" s="124">
        <v>5.8328369999999996</v>
      </c>
      <c r="I56" s="124">
        <v>-5.3582939999999999</v>
      </c>
      <c r="J56" s="124" t="s">
        <v>189</v>
      </c>
      <c r="K56" s="124" t="s">
        <v>198</v>
      </c>
      <c r="L56" s="124" t="s">
        <v>412</v>
      </c>
      <c r="M56" s="296" t="s">
        <v>418</v>
      </c>
      <c r="N56" s="296">
        <v>2150011907</v>
      </c>
      <c r="O56" s="128">
        <v>45691</v>
      </c>
      <c r="P56" s="250">
        <f t="shared" ca="1" si="1"/>
        <v>377</v>
      </c>
      <c r="Q56" s="128">
        <v>45692</v>
      </c>
      <c r="R56" s="124" t="s">
        <v>30</v>
      </c>
      <c r="S56" s="124"/>
      <c r="T56" s="124"/>
      <c r="U56" s="295">
        <v>45698</v>
      </c>
      <c r="V56" s="124" t="s">
        <v>310</v>
      </c>
      <c r="W56" s="124">
        <v>200</v>
      </c>
      <c r="X56" s="124" t="s">
        <v>32</v>
      </c>
      <c r="Y56" s="297" t="s">
        <v>193</v>
      </c>
      <c r="Z56" s="124"/>
      <c r="AA56" s="124" t="s">
        <v>532</v>
      </c>
      <c r="AB56" s="124" t="s">
        <v>16</v>
      </c>
      <c r="AC56" s="124" t="s">
        <v>797</v>
      </c>
    </row>
    <row r="57" spans="1:29" s="608" customFormat="1" ht="15" hidden="1" customHeight="1">
      <c r="A57" s="246" t="s">
        <v>25</v>
      </c>
      <c r="B57" s="246" t="s">
        <v>25</v>
      </c>
      <c r="C57" s="125" t="s">
        <v>290</v>
      </c>
      <c r="D57" s="125" t="s">
        <v>291</v>
      </c>
      <c r="E57" s="125" t="s">
        <v>292</v>
      </c>
      <c r="F57" s="125">
        <v>153375837</v>
      </c>
      <c r="G57" s="125">
        <v>747328825</v>
      </c>
      <c r="H57" s="124">
        <v>5.8309769999999999</v>
      </c>
      <c r="I57" s="124">
        <v>-5.3567169999999997</v>
      </c>
      <c r="J57" s="124" t="s">
        <v>36</v>
      </c>
      <c r="K57" s="124" t="s">
        <v>198</v>
      </c>
      <c r="L57" s="124" t="s">
        <v>521</v>
      </c>
      <c r="M57" s="296" t="s">
        <v>417</v>
      </c>
      <c r="N57" s="296">
        <v>2150011905</v>
      </c>
      <c r="O57" s="128">
        <v>45691</v>
      </c>
      <c r="P57" s="250">
        <f t="shared" ca="1" si="1"/>
        <v>377</v>
      </c>
      <c r="Q57" s="128">
        <v>45692</v>
      </c>
      <c r="R57" s="124" t="s">
        <v>30</v>
      </c>
      <c r="S57" s="124"/>
      <c r="T57" s="124">
        <v>1</v>
      </c>
      <c r="U57" s="295">
        <v>45698</v>
      </c>
      <c r="V57" s="124" t="s">
        <v>310</v>
      </c>
      <c r="W57" s="124">
        <v>150</v>
      </c>
      <c r="X57" s="124" t="s">
        <v>32</v>
      </c>
      <c r="Y57" s="124" t="s">
        <v>228</v>
      </c>
      <c r="Z57" s="124"/>
      <c r="AA57" s="124" t="s">
        <v>532</v>
      </c>
      <c r="AB57" s="124" t="s">
        <v>16</v>
      </c>
      <c r="AC57" s="124" t="s">
        <v>798</v>
      </c>
    </row>
    <row r="58" spans="1:29" s="611" customFormat="1" ht="15" hidden="1" customHeight="1">
      <c r="A58" s="246" t="s">
        <v>25</v>
      </c>
      <c r="B58" s="246" t="s">
        <v>25</v>
      </c>
      <c r="C58" s="125" t="s">
        <v>329</v>
      </c>
      <c r="D58" s="125" t="s">
        <v>330</v>
      </c>
      <c r="E58" s="125" t="s">
        <v>331</v>
      </c>
      <c r="F58" s="125">
        <v>777513304</v>
      </c>
      <c r="G58" s="125">
        <v>153499230</v>
      </c>
      <c r="H58" s="124">
        <v>5.8396410000000003</v>
      </c>
      <c r="I58" s="124">
        <v>-5.3581289999999999</v>
      </c>
      <c r="J58" s="126" t="s">
        <v>36</v>
      </c>
      <c r="K58" s="124" t="s">
        <v>190</v>
      </c>
      <c r="L58" s="124" t="s">
        <v>37</v>
      </c>
      <c r="M58" s="296" t="s">
        <v>415</v>
      </c>
      <c r="N58" s="296">
        <v>2150011909</v>
      </c>
      <c r="O58" s="128">
        <v>45692</v>
      </c>
      <c r="P58" s="250">
        <f t="shared" ca="1" si="1"/>
        <v>376</v>
      </c>
      <c r="Q58" s="128">
        <v>45693</v>
      </c>
      <c r="R58" s="297" t="s">
        <v>30</v>
      </c>
      <c r="S58" s="125"/>
      <c r="T58" s="124">
        <v>0</v>
      </c>
      <c r="U58" s="295">
        <v>45698</v>
      </c>
      <c r="V58" s="124" t="s">
        <v>310</v>
      </c>
      <c r="W58" s="124">
        <v>60</v>
      </c>
      <c r="X58" s="130" t="s">
        <v>32</v>
      </c>
      <c r="Y58" s="297" t="s">
        <v>343</v>
      </c>
      <c r="Z58" s="167"/>
      <c r="AA58" s="167" t="s">
        <v>532</v>
      </c>
      <c r="AB58" s="167" t="s">
        <v>16</v>
      </c>
      <c r="AC58" s="167" t="s">
        <v>321</v>
      </c>
    </row>
    <row r="59" spans="1:29" s="612" customFormat="1" ht="15" hidden="1" customHeight="1">
      <c r="A59" s="246" t="s">
        <v>25</v>
      </c>
      <c r="B59" s="246" t="s">
        <v>25</v>
      </c>
      <c r="C59" s="288" t="s">
        <v>338</v>
      </c>
      <c r="D59" s="288" t="s">
        <v>339</v>
      </c>
      <c r="E59" s="288" t="s">
        <v>340</v>
      </c>
      <c r="F59" s="288">
        <v>103832537</v>
      </c>
      <c r="G59" s="288">
        <v>102620694</v>
      </c>
      <c r="H59" s="289">
        <v>5.8387390000000003</v>
      </c>
      <c r="I59" s="289">
        <v>-5.3528570000000002</v>
      </c>
      <c r="J59" s="294" t="s">
        <v>42</v>
      </c>
      <c r="K59" s="289" t="s">
        <v>190</v>
      </c>
      <c r="L59" s="289" t="s">
        <v>514</v>
      </c>
      <c r="M59" s="289" t="s">
        <v>383</v>
      </c>
      <c r="N59" s="289">
        <v>2150011920</v>
      </c>
      <c r="O59" s="290">
        <v>45692</v>
      </c>
      <c r="P59" s="250">
        <f t="shared" ca="1" si="1"/>
        <v>376</v>
      </c>
      <c r="Q59" s="290">
        <v>45693</v>
      </c>
      <c r="R59" s="292" t="s">
        <v>30</v>
      </c>
      <c r="S59" s="288"/>
      <c r="T59" s="289"/>
      <c r="U59" s="291">
        <v>45698</v>
      </c>
      <c r="V59" s="289" t="s">
        <v>310</v>
      </c>
      <c r="W59" s="289">
        <v>150</v>
      </c>
      <c r="X59" s="293" t="s">
        <v>32</v>
      </c>
      <c r="Y59" s="292" t="s">
        <v>228</v>
      </c>
      <c r="Z59" s="264"/>
      <c r="AA59" s="301" t="s">
        <v>532</v>
      </c>
      <c r="AB59" s="264" t="s">
        <v>16</v>
      </c>
      <c r="AC59" s="264" t="s">
        <v>524</v>
      </c>
    </row>
    <row r="60" spans="1:29" s="598" customFormat="1" ht="15" hidden="1" customHeight="1">
      <c r="A60" s="246" t="s">
        <v>25</v>
      </c>
      <c r="B60" s="246" t="s">
        <v>25</v>
      </c>
      <c r="C60" s="125" t="s">
        <v>376</v>
      </c>
      <c r="D60" s="125" t="s">
        <v>377</v>
      </c>
      <c r="E60" s="125" t="s">
        <v>157</v>
      </c>
      <c r="F60" s="125">
        <v>757750137</v>
      </c>
      <c r="G60" s="125">
        <v>748703960</v>
      </c>
      <c r="H60" s="124"/>
      <c r="I60" s="124"/>
      <c r="J60" s="124" t="s">
        <v>36</v>
      </c>
      <c r="K60" s="124" t="s">
        <v>190</v>
      </c>
      <c r="L60" s="124" t="s">
        <v>423</v>
      </c>
      <c r="M60" s="296" t="s">
        <v>414</v>
      </c>
      <c r="N60" s="296">
        <v>2150011908</v>
      </c>
      <c r="O60" s="128">
        <v>45693</v>
      </c>
      <c r="P60" s="250">
        <f t="shared" ca="1" si="1"/>
        <v>375</v>
      </c>
      <c r="Q60" s="128">
        <v>45694</v>
      </c>
      <c r="R60" s="124" t="s">
        <v>30</v>
      </c>
      <c r="S60" s="124"/>
      <c r="T60" s="124"/>
      <c r="U60" s="295">
        <v>45698</v>
      </c>
      <c r="V60" s="124" t="s">
        <v>310</v>
      </c>
      <c r="W60" s="124"/>
      <c r="X60" s="130" t="s">
        <v>32</v>
      </c>
      <c r="Y60" s="124" t="s">
        <v>245</v>
      </c>
      <c r="Z60" s="302"/>
      <c r="AA60" s="301" t="s">
        <v>532</v>
      </c>
      <c r="AB60" s="264" t="s">
        <v>16</v>
      </c>
      <c r="AC60" s="264" t="s">
        <v>799</v>
      </c>
    </row>
    <row r="61" spans="1:29" s="596" customFormat="1" ht="15" hidden="1" customHeight="1">
      <c r="A61" s="246" t="s">
        <v>25</v>
      </c>
      <c r="B61" s="246" t="s">
        <v>25</v>
      </c>
      <c r="C61" s="125" t="s">
        <v>392</v>
      </c>
      <c r="D61" s="125" t="s">
        <v>393</v>
      </c>
      <c r="E61" s="125" t="s">
        <v>394</v>
      </c>
      <c r="F61" s="125">
        <v>170321761</v>
      </c>
      <c r="G61" s="125">
        <v>545988339</v>
      </c>
      <c r="H61" s="124">
        <v>5.8382949999999996</v>
      </c>
      <c r="I61" s="124">
        <v>-5.3506720000000003</v>
      </c>
      <c r="J61" s="124" t="s">
        <v>189</v>
      </c>
      <c r="K61" s="124" t="s">
        <v>190</v>
      </c>
      <c r="L61" s="124" t="s">
        <v>279</v>
      </c>
      <c r="M61" s="124" t="s">
        <v>440</v>
      </c>
      <c r="N61" s="124">
        <v>2150011916</v>
      </c>
      <c r="O61" s="128">
        <v>45695</v>
      </c>
      <c r="P61" s="250">
        <f t="shared" ca="1" si="1"/>
        <v>373</v>
      </c>
      <c r="Q61" s="128">
        <v>45696</v>
      </c>
      <c r="R61" s="124" t="s">
        <v>30</v>
      </c>
      <c r="S61" s="124"/>
      <c r="T61" s="124">
        <v>1</v>
      </c>
      <c r="U61" s="295">
        <v>45698</v>
      </c>
      <c r="V61" s="124" t="s">
        <v>310</v>
      </c>
      <c r="W61" s="124">
        <v>150</v>
      </c>
      <c r="X61" s="130" t="s">
        <v>32</v>
      </c>
      <c r="Y61" s="124" t="s">
        <v>245</v>
      </c>
      <c r="Z61" s="264"/>
      <c r="AA61" s="301" t="s">
        <v>532</v>
      </c>
      <c r="AB61" s="264" t="s">
        <v>16</v>
      </c>
      <c r="AC61" s="264" t="s">
        <v>800</v>
      </c>
    </row>
    <row r="62" spans="1:29" ht="15" hidden="1" customHeight="1">
      <c r="A62" s="246" t="s">
        <v>25</v>
      </c>
      <c r="B62" s="246" t="s">
        <v>25</v>
      </c>
      <c r="C62" s="217" t="s">
        <v>146</v>
      </c>
      <c r="D62" s="217" t="s">
        <v>147</v>
      </c>
      <c r="E62" s="217" t="s">
        <v>148</v>
      </c>
      <c r="F62" s="217">
        <v>546507683</v>
      </c>
      <c r="G62" s="217">
        <v>586078381</v>
      </c>
      <c r="H62" s="167">
        <v>5.8331730000000004</v>
      </c>
      <c r="I62" s="167">
        <v>-5.3546230000000001</v>
      </c>
      <c r="J62" s="166" t="s">
        <v>36</v>
      </c>
      <c r="K62" s="167" t="s">
        <v>274</v>
      </c>
      <c r="L62" s="167" t="s">
        <v>523</v>
      </c>
      <c r="M62" s="298" t="s">
        <v>441</v>
      </c>
      <c r="N62" s="298">
        <v>2150011903</v>
      </c>
      <c r="O62" s="218">
        <v>45689</v>
      </c>
      <c r="P62" s="250">
        <f t="shared" ca="1" si="1"/>
        <v>378</v>
      </c>
      <c r="Q62" s="218">
        <v>45691</v>
      </c>
      <c r="R62" s="167" t="s">
        <v>30</v>
      </c>
      <c r="S62" s="167"/>
      <c r="T62" s="167">
        <v>1</v>
      </c>
      <c r="U62" s="299">
        <v>45699</v>
      </c>
      <c r="V62" s="167" t="s">
        <v>310</v>
      </c>
      <c r="W62" s="167">
        <v>200</v>
      </c>
      <c r="X62" s="246" t="s">
        <v>32</v>
      </c>
      <c r="Y62" s="246"/>
      <c r="Z62" s="302"/>
      <c r="AA62" s="301" t="s">
        <v>532</v>
      </c>
      <c r="AB62" s="264" t="s">
        <v>16</v>
      </c>
      <c r="AC62" s="264" t="s">
        <v>801</v>
      </c>
    </row>
    <row r="63" spans="1:29" ht="15" hidden="1" customHeight="1">
      <c r="A63" s="246" t="s">
        <v>25</v>
      </c>
      <c r="B63" s="246" t="s">
        <v>25</v>
      </c>
      <c r="C63" s="262" t="s">
        <v>149</v>
      </c>
      <c r="D63" s="256" t="s">
        <v>150</v>
      </c>
      <c r="E63" s="262" t="s">
        <v>151</v>
      </c>
      <c r="F63" s="262">
        <v>708511644</v>
      </c>
      <c r="G63" s="262">
        <v>172877927</v>
      </c>
      <c r="H63" s="198">
        <v>5.84002</v>
      </c>
      <c r="I63" s="198">
        <v>-5.3598600000000003</v>
      </c>
      <c r="J63" s="303" t="s">
        <v>36</v>
      </c>
      <c r="K63" s="198" t="s">
        <v>190</v>
      </c>
      <c r="L63" s="198" t="s">
        <v>259</v>
      </c>
      <c r="M63" s="198" t="s">
        <v>1372</v>
      </c>
      <c r="N63" s="198">
        <v>2150011933</v>
      </c>
      <c r="O63" s="304">
        <v>45689</v>
      </c>
      <c r="P63" s="250">
        <f t="shared" ca="1" si="1"/>
        <v>378</v>
      </c>
      <c r="Q63" s="304">
        <v>45691</v>
      </c>
      <c r="R63" s="198" t="s">
        <v>30</v>
      </c>
      <c r="S63" s="198"/>
      <c r="T63" s="198">
        <v>0</v>
      </c>
      <c r="U63" s="251">
        <v>45699</v>
      </c>
      <c r="V63" s="198" t="s">
        <v>310</v>
      </c>
      <c r="W63" s="198">
        <v>120</v>
      </c>
      <c r="X63" s="198" t="s">
        <v>32</v>
      </c>
      <c r="Y63" s="198" t="s">
        <v>578</v>
      </c>
      <c r="Z63" s="302"/>
      <c r="AA63" s="301" t="s">
        <v>532</v>
      </c>
      <c r="AB63" s="264" t="s">
        <v>16</v>
      </c>
      <c r="AC63" s="264" t="s">
        <v>810</v>
      </c>
    </row>
    <row r="64" spans="1:29" ht="15" hidden="1" customHeight="1">
      <c r="A64" s="246" t="s">
        <v>25</v>
      </c>
      <c r="B64" s="246" t="s">
        <v>25</v>
      </c>
      <c r="C64" s="217" t="s">
        <v>326</v>
      </c>
      <c r="D64" s="217" t="s">
        <v>327</v>
      </c>
      <c r="E64" s="217" t="s">
        <v>328</v>
      </c>
      <c r="F64" s="217">
        <v>101134323</v>
      </c>
      <c r="G64" s="217">
        <v>574424242</v>
      </c>
      <c r="H64" s="167">
        <v>5.8404499999999997</v>
      </c>
      <c r="I64" s="167">
        <v>-5.3555130000000002</v>
      </c>
      <c r="J64" s="166" t="s">
        <v>36</v>
      </c>
      <c r="K64" s="167" t="s">
        <v>190</v>
      </c>
      <c r="L64" s="167" t="s">
        <v>523</v>
      </c>
      <c r="M64" s="298" t="s">
        <v>420</v>
      </c>
      <c r="N64" s="298">
        <v>2150011918</v>
      </c>
      <c r="O64" s="218">
        <v>45692</v>
      </c>
      <c r="P64" s="250">
        <f t="shared" ca="1" si="1"/>
        <v>376</v>
      </c>
      <c r="Q64" s="218">
        <v>45693</v>
      </c>
      <c r="R64" s="300" t="s">
        <v>30</v>
      </c>
      <c r="S64" s="217"/>
      <c r="T64" s="167">
        <v>1</v>
      </c>
      <c r="U64" s="299">
        <v>45699</v>
      </c>
      <c r="V64" s="167" t="s">
        <v>310</v>
      </c>
      <c r="W64" s="167">
        <v>250</v>
      </c>
      <c r="X64" s="246" t="s">
        <v>32</v>
      </c>
      <c r="Y64" s="246"/>
      <c r="Z64" s="264"/>
      <c r="AA64" s="301" t="s">
        <v>532</v>
      </c>
      <c r="AB64" s="264" t="s">
        <v>16</v>
      </c>
      <c r="AC64" s="264" t="s">
        <v>802</v>
      </c>
    </row>
    <row r="65" spans="1:29" ht="15" hidden="1" customHeight="1">
      <c r="A65" s="246" t="s">
        <v>25</v>
      </c>
      <c r="B65" s="246" t="s">
        <v>25</v>
      </c>
      <c r="C65" s="264" t="s">
        <v>70</v>
      </c>
      <c r="D65" s="264" t="s">
        <v>71</v>
      </c>
      <c r="E65" s="264" t="s">
        <v>25</v>
      </c>
      <c r="F65" s="264">
        <v>104023890</v>
      </c>
      <c r="G65" s="264">
        <v>749695350</v>
      </c>
      <c r="H65" s="264">
        <v>5.8407720000000003</v>
      </c>
      <c r="I65" s="264">
        <v>-5.3586729999999996</v>
      </c>
      <c r="J65" s="264" t="s">
        <v>36</v>
      </c>
      <c r="K65" s="264" t="s">
        <v>190</v>
      </c>
      <c r="L65" s="264" t="s">
        <v>474</v>
      </c>
      <c r="M65" s="490" t="s">
        <v>493</v>
      </c>
      <c r="N65" s="490">
        <v>2150011911</v>
      </c>
      <c r="O65" s="265">
        <v>45685</v>
      </c>
      <c r="P65" s="250">
        <f t="shared" ca="1" si="1"/>
        <v>383</v>
      </c>
      <c r="Q65" s="265">
        <v>45686</v>
      </c>
      <c r="R65" s="264" t="s">
        <v>30</v>
      </c>
      <c r="S65" s="264"/>
      <c r="T65" s="264"/>
      <c r="U65" s="265">
        <v>45700</v>
      </c>
      <c r="V65" s="264" t="s">
        <v>310</v>
      </c>
      <c r="W65" s="264">
        <v>150</v>
      </c>
      <c r="X65" s="264" t="s">
        <v>32</v>
      </c>
      <c r="Y65" s="302" t="s">
        <v>193</v>
      </c>
      <c r="Z65" s="264"/>
      <c r="AA65" s="301" t="s">
        <v>532</v>
      </c>
      <c r="AB65" s="264" t="s">
        <v>16</v>
      </c>
      <c r="AC65" s="263" t="s">
        <v>803</v>
      </c>
    </row>
    <row r="66" spans="1:29" s="613" customFormat="1" ht="15" hidden="1" customHeight="1">
      <c r="A66" s="246" t="s">
        <v>25</v>
      </c>
      <c r="B66" s="246" t="s">
        <v>25</v>
      </c>
      <c r="C66" s="305" t="s">
        <v>123</v>
      </c>
      <c r="D66" s="305" t="s">
        <v>124</v>
      </c>
      <c r="E66" s="305" t="s">
        <v>125</v>
      </c>
      <c r="F66" s="305">
        <v>748126620</v>
      </c>
      <c r="G66" s="305">
        <v>544314132</v>
      </c>
      <c r="H66" s="264"/>
      <c r="I66" s="264"/>
      <c r="J66" s="264" t="s">
        <v>189</v>
      </c>
      <c r="K66" s="264" t="s">
        <v>274</v>
      </c>
      <c r="L66" s="264" t="s">
        <v>509</v>
      </c>
      <c r="M66" s="264" t="s">
        <v>510</v>
      </c>
      <c r="N66" s="264">
        <v>2150011910</v>
      </c>
      <c r="O66" s="307">
        <v>45686</v>
      </c>
      <c r="P66" s="250">
        <f t="shared" ca="1" si="1"/>
        <v>381</v>
      </c>
      <c r="Q66" s="307">
        <v>45688</v>
      </c>
      <c r="R66" s="302" t="s">
        <v>30</v>
      </c>
      <c r="S66" s="264"/>
      <c r="T66" s="264"/>
      <c r="U66" s="265">
        <v>45700</v>
      </c>
      <c r="V66" s="264" t="s">
        <v>310</v>
      </c>
      <c r="W66" s="264"/>
      <c r="X66" s="264" t="s">
        <v>32</v>
      </c>
      <c r="Y66" s="264" t="s">
        <v>193</v>
      </c>
      <c r="Z66" s="2"/>
      <c r="AA66" s="2" t="s">
        <v>532</v>
      </c>
      <c r="AB66" s="2" t="s">
        <v>16</v>
      </c>
      <c r="AC66" s="308" t="s">
        <v>804</v>
      </c>
    </row>
    <row r="67" spans="1:29" s="613" customFormat="1" ht="15" hidden="1" customHeight="1">
      <c r="A67" s="246" t="s">
        <v>25</v>
      </c>
      <c r="B67" s="246" t="s">
        <v>25</v>
      </c>
      <c r="C67" s="305" t="s">
        <v>307</v>
      </c>
      <c r="D67" s="305" t="s">
        <v>308</v>
      </c>
      <c r="E67" s="305" t="s">
        <v>309</v>
      </c>
      <c r="F67" s="305">
        <v>709918621</v>
      </c>
      <c r="G67" s="305">
        <v>709918621</v>
      </c>
      <c r="H67" s="264">
        <v>5.8478450000000004</v>
      </c>
      <c r="I67" s="264">
        <v>-5.3476509999999999</v>
      </c>
      <c r="J67" s="306" t="s">
        <v>189</v>
      </c>
      <c r="K67" s="264" t="s">
        <v>274</v>
      </c>
      <c r="L67" s="264" t="s">
        <v>342</v>
      </c>
      <c r="M67" s="264" t="s">
        <v>351</v>
      </c>
      <c r="N67" s="264">
        <v>2150011935</v>
      </c>
      <c r="O67" s="307">
        <v>45692</v>
      </c>
      <c r="P67" s="250">
        <f t="shared" ca="1" si="1"/>
        <v>377</v>
      </c>
      <c r="Q67" s="307">
        <v>45692</v>
      </c>
      <c r="R67" s="302" t="s">
        <v>30</v>
      </c>
      <c r="S67" s="264"/>
      <c r="T67" s="264">
        <v>0</v>
      </c>
      <c r="U67" s="265">
        <v>45700</v>
      </c>
      <c r="V67" s="264" t="s">
        <v>310</v>
      </c>
      <c r="W67" s="264">
        <v>100</v>
      </c>
      <c r="X67" s="301" t="s">
        <v>32</v>
      </c>
      <c r="Y67" s="302" t="s">
        <v>193</v>
      </c>
      <c r="Z67" s="2"/>
      <c r="AA67" s="2" t="s">
        <v>532</v>
      </c>
      <c r="AB67" s="2" t="s">
        <v>16</v>
      </c>
      <c r="AC67" s="308" t="s">
        <v>811</v>
      </c>
    </row>
    <row r="68" spans="1:29" s="614" customFormat="1" ht="15" hidden="1" customHeight="1">
      <c r="A68" s="246" t="s">
        <v>25</v>
      </c>
      <c r="B68" s="246" t="s">
        <v>25</v>
      </c>
      <c r="C68" s="305" t="s">
        <v>152</v>
      </c>
      <c r="D68" s="305" t="s">
        <v>153</v>
      </c>
      <c r="E68" s="305" t="s">
        <v>337</v>
      </c>
      <c r="F68" s="305">
        <v>103170216</v>
      </c>
      <c r="G68" s="305">
        <v>545102628</v>
      </c>
      <c r="H68" s="264">
        <v>5.8415090000000003</v>
      </c>
      <c r="I68" s="264">
        <v>-5.3529289999999996</v>
      </c>
      <c r="J68" s="306" t="s">
        <v>189</v>
      </c>
      <c r="K68" s="264" t="s">
        <v>203</v>
      </c>
      <c r="L68" s="264" t="s">
        <v>542</v>
      </c>
      <c r="M68" s="264" t="s">
        <v>609</v>
      </c>
      <c r="N68" s="264">
        <v>2150011913</v>
      </c>
      <c r="O68" s="307">
        <v>45692</v>
      </c>
      <c r="P68" s="250">
        <f t="shared" ca="1" si="1"/>
        <v>376</v>
      </c>
      <c r="Q68" s="307">
        <v>45693</v>
      </c>
      <c r="R68" s="302" t="s">
        <v>30</v>
      </c>
      <c r="S68" s="305"/>
      <c r="T68" s="264">
        <v>0</v>
      </c>
      <c r="U68" s="265">
        <v>45700</v>
      </c>
      <c r="V68" s="264" t="s">
        <v>310</v>
      </c>
      <c r="W68" s="264">
        <v>150</v>
      </c>
      <c r="X68" s="301" t="s">
        <v>32</v>
      </c>
      <c r="Y68" s="302" t="s">
        <v>228</v>
      </c>
      <c r="Z68" s="93"/>
      <c r="AA68" s="2" t="s">
        <v>532</v>
      </c>
      <c r="AB68" s="2" t="s">
        <v>16</v>
      </c>
      <c r="AC68" s="2" t="s">
        <v>812</v>
      </c>
    </row>
    <row r="69" spans="1:29" s="613" customFormat="1" ht="15" hidden="1" customHeight="1">
      <c r="A69" s="246" t="s">
        <v>25</v>
      </c>
      <c r="B69" s="246" t="s">
        <v>25</v>
      </c>
      <c r="C69" s="305" t="s">
        <v>323</v>
      </c>
      <c r="D69" s="305" t="s">
        <v>324</v>
      </c>
      <c r="E69" s="305" t="s">
        <v>325</v>
      </c>
      <c r="F69" s="305">
        <v>171784128</v>
      </c>
      <c r="G69" s="305">
        <v>505696703</v>
      </c>
      <c r="H69" s="264">
        <v>5.852811</v>
      </c>
      <c r="I69" s="264">
        <v>-5.3517929999999998</v>
      </c>
      <c r="J69" s="306" t="s">
        <v>189</v>
      </c>
      <c r="K69" s="264" t="s">
        <v>203</v>
      </c>
      <c r="L69" s="264" t="s">
        <v>516</v>
      </c>
      <c r="M69" s="263" t="s">
        <v>419</v>
      </c>
      <c r="N69" s="263">
        <v>2150011919</v>
      </c>
      <c r="O69" s="307">
        <v>45692</v>
      </c>
      <c r="P69" s="250">
        <f t="shared" ca="1" si="1"/>
        <v>376</v>
      </c>
      <c r="Q69" s="307">
        <v>45693</v>
      </c>
      <c r="R69" s="302" t="s">
        <v>30</v>
      </c>
      <c r="S69" s="264"/>
      <c r="T69" s="264"/>
      <c r="U69" s="265">
        <v>45700</v>
      </c>
      <c r="V69" s="264" t="s">
        <v>310</v>
      </c>
      <c r="W69" s="264">
        <v>150</v>
      </c>
      <c r="X69" s="301" t="s">
        <v>32</v>
      </c>
      <c r="Y69" s="264" t="s">
        <v>193</v>
      </c>
      <c r="Z69" s="2"/>
      <c r="AA69" s="2" t="s">
        <v>532</v>
      </c>
      <c r="AB69" s="2" t="s">
        <v>16</v>
      </c>
      <c r="AC69" s="2" t="s">
        <v>478</v>
      </c>
    </row>
    <row r="70" spans="1:29" s="613" customFormat="1" ht="15" hidden="1" customHeight="1">
      <c r="A70" s="246" t="s">
        <v>25</v>
      </c>
      <c r="B70" s="246" t="s">
        <v>25</v>
      </c>
      <c r="C70" s="305" t="s">
        <v>385</v>
      </c>
      <c r="D70" s="305" t="s">
        <v>386</v>
      </c>
      <c r="E70" s="305" t="s">
        <v>84</v>
      </c>
      <c r="F70" s="305">
        <v>709640348</v>
      </c>
      <c r="G70" s="305">
        <v>103415823</v>
      </c>
      <c r="H70" s="264">
        <v>5.8331480000000004</v>
      </c>
      <c r="I70" s="264">
        <v>-5.363607</v>
      </c>
      <c r="J70" s="264" t="s">
        <v>36</v>
      </c>
      <c r="K70" s="264" t="s">
        <v>407</v>
      </c>
      <c r="L70" s="264" t="s">
        <v>408</v>
      </c>
      <c r="M70" s="490" t="s">
        <v>442</v>
      </c>
      <c r="N70" s="490">
        <v>2150011902</v>
      </c>
      <c r="O70" s="307">
        <v>45692</v>
      </c>
      <c r="P70" s="250">
        <f t="shared" ref="P70:P91" ca="1" si="2">TODAY()-Q70</f>
        <v>373</v>
      </c>
      <c r="Q70" s="307">
        <v>45696</v>
      </c>
      <c r="R70" s="264" t="s">
        <v>30</v>
      </c>
      <c r="S70" s="264"/>
      <c r="T70" s="264">
        <v>0</v>
      </c>
      <c r="U70" s="265">
        <v>45700</v>
      </c>
      <c r="V70" s="264" t="s">
        <v>310</v>
      </c>
      <c r="W70" s="264">
        <v>150</v>
      </c>
      <c r="X70" s="301" t="s">
        <v>32</v>
      </c>
      <c r="Y70" s="264" t="s">
        <v>228</v>
      </c>
      <c r="Z70" s="2"/>
      <c r="AA70" s="2" t="s">
        <v>532</v>
      </c>
      <c r="AB70" s="2" t="s">
        <v>16</v>
      </c>
      <c r="AC70" s="2" t="s">
        <v>813</v>
      </c>
    </row>
    <row r="71" spans="1:29" s="614" customFormat="1" ht="15" hidden="1" customHeight="1">
      <c r="A71" s="246" t="s">
        <v>25</v>
      </c>
      <c r="B71" s="246" t="s">
        <v>25</v>
      </c>
      <c r="C71" s="163" t="s">
        <v>76</v>
      </c>
      <c r="D71" s="163" t="s">
        <v>77</v>
      </c>
      <c r="E71" s="163" t="s">
        <v>78</v>
      </c>
      <c r="F71" s="163">
        <v>778229566</v>
      </c>
      <c r="G71" s="163">
        <v>554713172</v>
      </c>
      <c r="H71" s="163">
        <v>5.8443209999999999</v>
      </c>
      <c r="I71" s="163">
        <v>-5.352176</v>
      </c>
      <c r="J71" s="2" t="s">
        <v>42</v>
      </c>
      <c r="K71" s="92" t="s">
        <v>198</v>
      </c>
      <c r="L71" s="2" t="s">
        <v>282</v>
      </c>
      <c r="M71" s="2" t="s">
        <v>347</v>
      </c>
      <c r="N71" s="2">
        <v>2150011939</v>
      </c>
      <c r="O71" s="309">
        <v>45684</v>
      </c>
      <c r="P71" s="250">
        <f t="shared" ca="1" si="2"/>
        <v>383</v>
      </c>
      <c r="Q71" s="309">
        <v>45686</v>
      </c>
      <c r="R71" s="2" t="s">
        <v>30</v>
      </c>
      <c r="S71" s="2"/>
      <c r="T71" s="2">
        <v>2</v>
      </c>
      <c r="U71" s="309">
        <v>45701</v>
      </c>
      <c r="V71" s="2" t="s">
        <v>310</v>
      </c>
      <c r="W71" s="2">
        <v>150</v>
      </c>
      <c r="X71" s="2" t="s">
        <v>32</v>
      </c>
      <c r="Y71" s="93" t="s">
        <v>228</v>
      </c>
      <c r="Z71" s="93"/>
      <c r="AA71" s="2" t="s">
        <v>532</v>
      </c>
      <c r="AB71" s="2" t="s">
        <v>16</v>
      </c>
      <c r="AC71" s="308" t="s">
        <v>814</v>
      </c>
    </row>
    <row r="72" spans="1:29" s="614" customFormat="1" ht="15" hidden="1" customHeight="1">
      <c r="A72" s="246" t="s">
        <v>25</v>
      </c>
      <c r="B72" s="246" t="s">
        <v>25</v>
      </c>
      <c r="C72" s="163" t="s">
        <v>284</v>
      </c>
      <c r="D72" s="163" t="s">
        <v>285</v>
      </c>
      <c r="E72" s="163" t="s">
        <v>286</v>
      </c>
      <c r="F72" s="163">
        <v>152694969</v>
      </c>
      <c r="G72" s="163">
        <v>544117219</v>
      </c>
      <c r="H72" s="2">
        <v>5.8407739999999997</v>
      </c>
      <c r="I72" s="2">
        <v>-5.350066</v>
      </c>
      <c r="J72" s="2" t="s">
        <v>345</v>
      </c>
      <c r="K72" s="2" t="s">
        <v>190</v>
      </c>
      <c r="L72" s="2" t="s">
        <v>540</v>
      </c>
      <c r="M72" s="308" t="s">
        <v>380</v>
      </c>
      <c r="N72" s="308">
        <v>2150011924</v>
      </c>
      <c r="O72" s="92">
        <v>45691</v>
      </c>
      <c r="P72" s="250">
        <f t="shared" ca="1" si="2"/>
        <v>377</v>
      </c>
      <c r="Q72" s="92">
        <v>45692</v>
      </c>
      <c r="R72" s="2" t="s">
        <v>30</v>
      </c>
      <c r="S72" s="2"/>
      <c r="T72" s="2">
        <v>1</v>
      </c>
      <c r="U72" s="309">
        <v>45701</v>
      </c>
      <c r="V72" s="2" t="s">
        <v>310</v>
      </c>
      <c r="W72" s="2">
        <v>150</v>
      </c>
      <c r="X72" s="2" t="s">
        <v>32</v>
      </c>
      <c r="Y72" s="93" t="s">
        <v>193</v>
      </c>
      <c r="Z72" s="93"/>
      <c r="AA72" s="2" t="s">
        <v>532</v>
      </c>
      <c r="AB72" s="2" t="s">
        <v>16</v>
      </c>
      <c r="AC72" s="2" t="s">
        <v>815</v>
      </c>
    </row>
    <row r="73" spans="1:29" s="613" customFormat="1" ht="15" hidden="1" customHeight="1">
      <c r="A73" s="246" t="s">
        <v>25</v>
      </c>
      <c r="B73" s="246" t="s">
        <v>25</v>
      </c>
      <c r="C73" s="163" t="s">
        <v>304</v>
      </c>
      <c r="D73" s="163" t="s">
        <v>305</v>
      </c>
      <c r="E73" s="163" t="s">
        <v>306</v>
      </c>
      <c r="F73" s="163">
        <v>708136591</v>
      </c>
      <c r="G73" s="163">
        <v>546391991</v>
      </c>
      <c r="H73" s="2">
        <v>5.8436560000000002</v>
      </c>
      <c r="I73" s="2">
        <v>-5.3563090000000004</v>
      </c>
      <c r="J73" s="2" t="s">
        <v>345</v>
      </c>
      <c r="K73" s="2" t="s">
        <v>203</v>
      </c>
      <c r="L73" s="2" t="s">
        <v>541</v>
      </c>
      <c r="M73" s="308" t="s">
        <v>378</v>
      </c>
      <c r="N73" s="308">
        <v>2150011921</v>
      </c>
      <c r="O73" s="92">
        <v>45691</v>
      </c>
      <c r="P73" s="250">
        <f t="shared" ca="1" si="2"/>
        <v>377</v>
      </c>
      <c r="Q73" s="92">
        <v>45692</v>
      </c>
      <c r="R73" s="2" t="s">
        <v>30</v>
      </c>
      <c r="S73" s="2"/>
      <c r="T73" s="2"/>
      <c r="U73" s="309">
        <v>45701</v>
      </c>
      <c r="V73" s="2" t="s">
        <v>310</v>
      </c>
      <c r="W73" s="2">
        <v>150</v>
      </c>
      <c r="X73" s="2" t="s">
        <v>32</v>
      </c>
      <c r="Y73" s="93" t="s">
        <v>193</v>
      </c>
      <c r="Z73" s="2"/>
      <c r="AA73" s="2" t="s">
        <v>532</v>
      </c>
      <c r="AB73" s="2" t="s">
        <v>16</v>
      </c>
      <c r="AC73" s="2" t="s">
        <v>816</v>
      </c>
    </row>
    <row r="74" spans="1:29" s="609" customFormat="1" ht="15" hidden="1" customHeight="1">
      <c r="A74" s="246" t="s">
        <v>25</v>
      </c>
      <c r="B74" s="246" t="s">
        <v>25</v>
      </c>
      <c r="C74" s="259" t="s">
        <v>370</v>
      </c>
      <c r="D74" s="256" t="s">
        <v>371</v>
      </c>
      <c r="E74" s="259" t="s">
        <v>372</v>
      </c>
      <c r="F74" s="259">
        <v>143989139</v>
      </c>
      <c r="G74" s="259">
        <v>757346747</v>
      </c>
      <c r="H74" s="246">
        <v>5.8394199999999996</v>
      </c>
      <c r="I74" s="246">
        <v>-5.3491679999999997</v>
      </c>
      <c r="J74" s="246" t="s">
        <v>189</v>
      </c>
      <c r="K74" s="246" t="s">
        <v>190</v>
      </c>
      <c r="L74" s="246" t="s">
        <v>477</v>
      </c>
      <c r="M74" s="310" t="s">
        <v>422</v>
      </c>
      <c r="N74" s="310">
        <v>2150011914</v>
      </c>
      <c r="O74" s="260">
        <v>45693</v>
      </c>
      <c r="P74" s="250">
        <f t="shared" ca="1" si="2"/>
        <v>375</v>
      </c>
      <c r="Q74" s="260">
        <v>45694</v>
      </c>
      <c r="R74" s="246" t="s">
        <v>30</v>
      </c>
      <c r="S74" s="246"/>
      <c r="T74" s="246">
        <v>1</v>
      </c>
      <c r="U74" s="251">
        <v>45701</v>
      </c>
      <c r="V74" s="198" t="s">
        <v>310</v>
      </c>
      <c r="W74" s="246">
        <v>150</v>
      </c>
      <c r="X74" s="243" t="s">
        <v>32</v>
      </c>
      <c r="Y74" s="246" t="s">
        <v>193</v>
      </c>
      <c r="Z74" s="297"/>
      <c r="AA74" s="124" t="s">
        <v>532</v>
      </c>
      <c r="AB74" s="124" t="s">
        <v>16</v>
      </c>
      <c r="AC74" s="124" t="s">
        <v>817</v>
      </c>
    </row>
    <row r="75" spans="1:29" s="609" customFormat="1" ht="15" hidden="1" customHeight="1">
      <c r="A75" s="246" t="s">
        <v>25</v>
      </c>
      <c r="B75" s="246" t="s">
        <v>25</v>
      </c>
      <c r="C75" s="163" t="s">
        <v>387</v>
      </c>
      <c r="D75" s="163" t="s">
        <v>388</v>
      </c>
      <c r="E75" s="163" t="s">
        <v>389</v>
      </c>
      <c r="F75" s="163">
        <v>141059660</v>
      </c>
      <c r="G75" s="163">
        <v>757331386</v>
      </c>
      <c r="H75" s="2">
        <v>5.840967</v>
      </c>
      <c r="I75" s="2">
        <v>-5.355334</v>
      </c>
      <c r="J75" s="2" t="s">
        <v>189</v>
      </c>
      <c r="K75" s="2" t="s">
        <v>203</v>
      </c>
      <c r="L75" s="2" t="s">
        <v>479</v>
      </c>
      <c r="M75" s="308" t="s">
        <v>443</v>
      </c>
      <c r="N75" s="308">
        <v>2150011901</v>
      </c>
      <c r="O75" s="92">
        <v>45695</v>
      </c>
      <c r="P75" s="250">
        <f t="shared" ca="1" si="2"/>
        <v>373</v>
      </c>
      <c r="Q75" s="92">
        <v>45696</v>
      </c>
      <c r="R75" s="2" t="s">
        <v>30</v>
      </c>
      <c r="S75" s="2"/>
      <c r="T75" s="2"/>
      <c r="U75" s="309">
        <v>45701</v>
      </c>
      <c r="V75" s="2" t="s">
        <v>310</v>
      </c>
      <c r="W75" s="2">
        <v>200</v>
      </c>
      <c r="X75" s="12" t="s">
        <v>32</v>
      </c>
      <c r="Y75" s="2" t="s">
        <v>228</v>
      </c>
      <c r="Z75" s="297"/>
      <c r="AA75" s="124" t="s">
        <v>532</v>
      </c>
      <c r="AB75" s="124" t="s">
        <v>16</v>
      </c>
      <c r="AC75" s="124" t="s">
        <v>818</v>
      </c>
    </row>
    <row r="76" spans="1:29" s="609" customFormat="1" ht="15" hidden="1" customHeight="1">
      <c r="A76" s="246" t="s">
        <v>25</v>
      </c>
      <c r="B76" s="246" t="s">
        <v>25</v>
      </c>
      <c r="C76" s="163" t="s">
        <v>403</v>
      </c>
      <c r="D76" s="163" t="s">
        <v>404</v>
      </c>
      <c r="E76" s="163" t="s">
        <v>405</v>
      </c>
      <c r="F76" s="163">
        <v>17316202</v>
      </c>
      <c r="G76" s="163">
        <v>708701639</v>
      </c>
      <c r="H76" s="2">
        <v>5.8408319999999998</v>
      </c>
      <c r="I76" s="2">
        <v>-5.3552790000000003</v>
      </c>
      <c r="J76" s="2" t="s">
        <v>189</v>
      </c>
      <c r="K76" s="2" t="s">
        <v>203</v>
      </c>
      <c r="L76" s="2" t="s">
        <v>479</v>
      </c>
      <c r="M76" s="308" t="s">
        <v>445</v>
      </c>
      <c r="N76" s="308">
        <v>2150011915</v>
      </c>
      <c r="O76" s="92">
        <v>45695</v>
      </c>
      <c r="P76" s="250">
        <f t="shared" ca="1" si="2"/>
        <v>373</v>
      </c>
      <c r="Q76" s="92">
        <v>45696</v>
      </c>
      <c r="R76" s="2" t="s">
        <v>30</v>
      </c>
      <c r="S76" s="2">
        <v>1</v>
      </c>
      <c r="T76" s="2"/>
      <c r="U76" s="309">
        <v>45701</v>
      </c>
      <c r="V76" s="2" t="s">
        <v>310</v>
      </c>
      <c r="W76" s="2">
        <v>150</v>
      </c>
      <c r="X76" s="12" t="s">
        <v>32</v>
      </c>
      <c r="Y76" s="2" t="s">
        <v>193</v>
      </c>
      <c r="Z76" s="297"/>
      <c r="AA76" s="124" t="s">
        <v>532</v>
      </c>
      <c r="AB76" s="124" t="s">
        <v>16</v>
      </c>
      <c r="AC76" s="124" t="s">
        <v>819</v>
      </c>
    </row>
    <row r="77" spans="1:29" s="609" customFormat="1" ht="15" hidden="1" customHeight="1">
      <c r="A77" s="246" t="s">
        <v>25</v>
      </c>
      <c r="B77" s="246" t="s">
        <v>25</v>
      </c>
      <c r="C77" s="10" t="s">
        <v>461</v>
      </c>
      <c r="D77" s="10" t="s">
        <v>462</v>
      </c>
      <c r="E77" s="10" t="s">
        <v>89</v>
      </c>
      <c r="F77" s="10">
        <v>150884998</v>
      </c>
      <c r="G77" s="10">
        <v>748300756</v>
      </c>
      <c r="H77" s="10">
        <v>5.840687</v>
      </c>
      <c r="I77" s="2">
        <v>-5.3548270000000002</v>
      </c>
      <c r="J77" s="10" t="s">
        <v>26</v>
      </c>
      <c r="K77" s="2" t="s">
        <v>203</v>
      </c>
      <c r="L77" s="2" t="s">
        <v>479</v>
      </c>
      <c r="M77" s="2" t="s">
        <v>502</v>
      </c>
      <c r="N77" s="2">
        <v>2150011974</v>
      </c>
      <c r="O77" s="11">
        <v>45698</v>
      </c>
      <c r="P77" s="250">
        <f t="shared" ca="1" si="2"/>
        <v>370</v>
      </c>
      <c r="Q77" s="92">
        <v>45699</v>
      </c>
      <c r="R77" s="2" t="s">
        <v>30</v>
      </c>
      <c r="S77" s="2"/>
      <c r="T77" s="2"/>
      <c r="U77" s="309">
        <v>45701</v>
      </c>
      <c r="V77" s="2" t="s">
        <v>310</v>
      </c>
      <c r="W77" s="2">
        <v>150</v>
      </c>
      <c r="X77" s="12" t="s">
        <v>32</v>
      </c>
      <c r="Y77" s="2" t="s">
        <v>245</v>
      </c>
      <c r="Z77" s="297"/>
      <c r="AA77" s="124" t="s">
        <v>532</v>
      </c>
      <c r="AB77" s="124" t="s">
        <v>16</v>
      </c>
      <c r="AC77" s="296" t="s">
        <v>820</v>
      </c>
    </row>
    <row r="78" spans="1:29" ht="15" hidden="1" customHeight="1">
      <c r="A78" s="246" t="s">
        <v>25</v>
      </c>
      <c r="B78" s="246" t="s">
        <v>25</v>
      </c>
      <c r="C78" s="10" t="s">
        <v>463</v>
      </c>
      <c r="D78" s="10" t="s">
        <v>464</v>
      </c>
      <c r="E78" s="10" t="s">
        <v>89</v>
      </c>
      <c r="F78" s="10">
        <v>708782110</v>
      </c>
      <c r="G78" s="10">
        <v>544763071</v>
      </c>
      <c r="H78" s="10">
        <v>5.8408290000000003</v>
      </c>
      <c r="I78" s="2">
        <v>-5.3552569999999999</v>
      </c>
      <c r="J78" s="10" t="s">
        <v>189</v>
      </c>
      <c r="K78" s="2" t="s">
        <v>203</v>
      </c>
      <c r="L78" s="2" t="s">
        <v>479</v>
      </c>
      <c r="M78" s="2" t="s">
        <v>501</v>
      </c>
      <c r="N78" s="2">
        <v>2150011976</v>
      </c>
      <c r="O78" s="11">
        <v>45698</v>
      </c>
      <c r="P78" s="250">
        <f t="shared" ca="1" si="2"/>
        <v>370</v>
      </c>
      <c r="Q78" s="92">
        <v>45699</v>
      </c>
      <c r="R78" s="2" t="s">
        <v>30</v>
      </c>
      <c r="S78" s="2"/>
      <c r="T78" s="2"/>
      <c r="U78" s="309">
        <v>45701</v>
      </c>
      <c r="V78" s="2" t="s">
        <v>310</v>
      </c>
      <c r="W78" s="2">
        <v>150</v>
      </c>
      <c r="X78" s="12" t="s">
        <v>32</v>
      </c>
      <c r="Y78" s="2" t="s">
        <v>343</v>
      </c>
      <c r="Z78" s="246"/>
      <c r="AA78" s="198" t="s">
        <v>532</v>
      </c>
      <c r="AB78" s="198" t="s">
        <v>16</v>
      </c>
      <c r="AC78" s="198" t="s">
        <v>821</v>
      </c>
    </row>
    <row r="79" spans="1:29" ht="15" hidden="1" customHeight="1">
      <c r="A79" s="246" t="s">
        <v>25</v>
      </c>
      <c r="B79" s="246" t="s">
        <v>25</v>
      </c>
      <c r="C79" s="2" t="s">
        <v>482</v>
      </c>
      <c r="D79" s="2" t="s">
        <v>483</v>
      </c>
      <c r="E79" s="2" t="s">
        <v>484</v>
      </c>
      <c r="F79" s="2">
        <v>102508930</v>
      </c>
      <c r="G79" s="2">
        <v>102435596</v>
      </c>
      <c r="H79" s="2">
        <v>5.8472350000000004</v>
      </c>
      <c r="I79" s="2">
        <v>-5.3570180000000001</v>
      </c>
      <c r="J79" s="10" t="s">
        <v>189</v>
      </c>
      <c r="K79" s="2" t="s">
        <v>203</v>
      </c>
      <c r="L79" s="2" t="s">
        <v>495</v>
      </c>
      <c r="M79" s="2" t="s">
        <v>500</v>
      </c>
      <c r="N79" s="2">
        <v>2150011912</v>
      </c>
      <c r="O79" s="309">
        <v>45699</v>
      </c>
      <c r="P79" s="250">
        <f t="shared" ca="1" si="2"/>
        <v>369</v>
      </c>
      <c r="Q79" s="309">
        <v>45700</v>
      </c>
      <c r="R79" s="2" t="s">
        <v>30</v>
      </c>
      <c r="S79" s="2"/>
      <c r="T79" s="2"/>
      <c r="U79" s="309">
        <v>45701</v>
      </c>
      <c r="V79" s="2" t="s">
        <v>310</v>
      </c>
      <c r="W79" s="2">
        <v>150</v>
      </c>
      <c r="X79" s="12" t="s">
        <v>32</v>
      </c>
      <c r="Y79" s="2" t="s">
        <v>193</v>
      </c>
      <c r="Z79" s="246"/>
      <c r="AA79" s="198" t="s">
        <v>532</v>
      </c>
      <c r="AB79" s="246" t="s">
        <v>16</v>
      </c>
      <c r="AC79" s="246" t="s">
        <v>822</v>
      </c>
    </row>
    <row r="80" spans="1:29" s="599" customFormat="1" ht="15" hidden="1" customHeight="1">
      <c r="A80" s="246" t="s">
        <v>25</v>
      </c>
      <c r="B80" s="246" t="s">
        <v>25</v>
      </c>
      <c r="C80" s="125" t="s">
        <v>353</v>
      </c>
      <c r="D80" s="125" t="s">
        <v>354</v>
      </c>
      <c r="E80" s="125" t="s">
        <v>355</v>
      </c>
      <c r="F80" s="125">
        <v>749413011</v>
      </c>
      <c r="G80" s="125">
        <v>749413011</v>
      </c>
      <c r="H80" s="124">
        <v>5.842714</v>
      </c>
      <c r="I80" s="124">
        <v>-5.3455139999999997</v>
      </c>
      <c r="J80" s="124" t="s">
        <v>189</v>
      </c>
      <c r="K80" s="124" t="s">
        <v>274</v>
      </c>
      <c r="L80" s="124" t="s">
        <v>539</v>
      </c>
      <c r="M80" s="124" t="s">
        <v>534</v>
      </c>
      <c r="N80" s="124">
        <v>2150011973</v>
      </c>
      <c r="O80" s="128">
        <v>45692</v>
      </c>
      <c r="P80" s="250">
        <f t="shared" ca="1" si="2"/>
        <v>375</v>
      </c>
      <c r="Q80" s="128">
        <v>45694</v>
      </c>
      <c r="R80" s="124" t="s">
        <v>30</v>
      </c>
      <c r="S80" s="124"/>
      <c r="T80" s="124">
        <v>2</v>
      </c>
      <c r="U80" s="295">
        <v>45702</v>
      </c>
      <c r="V80" s="124" t="s">
        <v>310</v>
      </c>
      <c r="W80" s="124">
        <v>200</v>
      </c>
      <c r="X80" s="130" t="s">
        <v>32</v>
      </c>
      <c r="Y80" s="297" t="s">
        <v>228</v>
      </c>
      <c r="Z80" s="267"/>
      <c r="AA80" s="267" t="s">
        <v>532</v>
      </c>
      <c r="AB80" s="267" t="s">
        <v>16</v>
      </c>
      <c r="AC80" s="267" t="s">
        <v>513</v>
      </c>
    </row>
    <row r="81" spans="1:30" s="599" customFormat="1" ht="15" hidden="1" customHeight="1">
      <c r="A81" s="246" t="s">
        <v>25</v>
      </c>
      <c r="B81" s="246" t="s">
        <v>25</v>
      </c>
      <c r="C81" s="126" t="s">
        <v>468</v>
      </c>
      <c r="D81" s="126" t="s">
        <v>469</v>
      </c>
      <c r="E81" s="126" t="s">
        <v>240</v>
      </c>
      <c r="F81" s="126">
        <v>151437581</v>
      </c>
      <c r="G81" s="126">
        <v>546332222</v>
      </c>
      <c r="H81" s="126">
        <v>5.8310940000000002</v>
      </c>
      <c r="I81" s="124">
        <v>-5.3550440000000004</v>
      </c>
      <c r="J81" s="126" t="s">
        <v>36</v>
      </c>
      <c r="K81" s="124" t="s">
        <v>274</v>
      </c>
      <c r="L81" s="124" t="s">
        <v>538</v>
      </c>
      <c r="M81" s="296" t="s">
        <v>506</v>
      </c>
      <c r="N81" s="296">
        <v>2150011975</v>
      </c>
      <c r="O81" s="141">
        <v>45699</v>
      </c>
      <c r="P81" s="250">
        <f t="shared" ca="1" si="2"/>
        <v>370</v>
      </c>
      <c r="Q81" s="128">
        <v>45699</v>
      </c>
      <c r="R81" s="124" t="s">
        <v>30</v>
      </c>
      <c r="S81" s="124"/>
      <c r="T81" s="124">
        <v>2</v>
      </c>
      <c r="U81" s="295">
        <v>45702</v>
      </c>
      <c r="V81" s="124" t="s">
        <v>310</v>
      </c>
      <c r="W81" s="124">
        <v>200</v>
      </c>
      <c r="X81" s="130" t="s">
        <v>32</v>
      </c>
      <c r="Y81" s="297" t="s">
        <v>193</v>
      </c>
      <c r="Z81" s="267"/>
      <c r="AA81" s="267" t="s">
        <v>532</v>
      </c>
      <c r="AB81" s="267" t="s">
        <v>16</v>
      </c>
      <c r="AC81" s="267" t="s">
        <v>823</v>
      </c>
    </row>
    <row r="82" spans="1:30" s="599" customFormat="1" ht="15" hidden="1" customHeight="1" thickBot="1">
      <c r="A82" s="246" t="s">
        <v>25</v>
      </c>
      <c r="B82" s="246" t="s">
        <v>25</v>
      </c>
      <c r="C82" s="126" t="s">
        <v>465</v>
      </c>
      <c r="D82" s="126" t="s">
        <v>466</v>
      </c>
      <c r="E82" s="126" t="s">
        <v>467</v>
      </c>
      <c r="F82" s="126">
        <v>709067145</v>
      </c>
      <c r="G82" s="126">
        <v>504134808</v>
      </c>
      <c r="H82" s="126">
        <v>5.8415759999999999</v>
      </c>
      <c r="I82" s="124">
        <v>-5.3526540000000002</v>
      </c>
      <c r="J82" s="126" t="s">
        <v>189</v>
      </c>
      <c r="K82" s="124" t="s">
        <v>203</v>
      </c>
      <c r="L82" s="124" t="s">
        <v>341</v>
      </c>
      <c r="M82" s="124" t="s">
        <v>529</v>
      </c>
      <c r="N82" s="124">
        <v>2150011972</v>
      </c>
      <c r="O82" s="141">
        <v>45699</v>
      </c>
      <c r="P82" s="250">
        <f t="shared" ca="1" si="2"/>
        <v>370</v>
      </c>
      <c r="Q82" s="128">
        <v>45699</v>
      </c>
      <c r="R82" s="124" t="s">
        <v>30</v>
      </c>
      <c r="S82" s="124"/>
      <c r="T82" s="124"/>
      <c r="U82" s="295">
        <v>45702</v>
      </c>
      <c r="V82" s="124" t="s">
        <v>310</v>
      </c>
      <c r="W82" s="124">
        <v>150</v>
      </c>
      <c r="X82" s="130" t="s">
        <v>32</v>
      </c>
      <c r="Y82" s="297" t="s">
        <v>533</v>
      </c>
      <c r="Z82" s="267"/>
      <c r="AA82" s="267" t="s">
        <v>532</v>
      </c>
      <c r="AB82" s="267" t="s">
        <v>16</v>
      </c>
      <c r="AC82" s="267" t="s">
        <v>824</v>
      </c>
    </row>
    <row r="83" spans="1:30" s="598" customFormat="1" ht="15" hidden="1" customHeight="1" thickBot="1">
      <c r="A83" s="246" t="s">
        <v>25</v>
      </c>
      <c r="B83" s="246" t="s">
        <v>25</v>
      </c>
      <c r="C83" s="125" t="s">
        <v>491</v>
      </c>
      <c r="D83" s="125" t="s">
        <v>492</v>
      </c>
      <c r="E83" s="125" t="s">
        <v>97</v>
      </c>
      <c r="F83" s="125">
        <v>153309040</v>
      </c>
      <c r="G83" s="125">
        <v>708190147</v>
      </c>
      <c r="H83" s="124"/>
      <c r="I83" s="124"/>
      <c r="J83" s="126" t="s">
        <v>189</v>
      </c>
      <c r="K83" s="124" t="s">
        <v>190</v>
      </c>
      <c r="L83" s="124" t="s">
        <v>530</v>
      </c>
      <c r="M83" s="1151" t="s">
        <v>531</v>
      </c>
      <c r="N83" s="1151">
        <v>2150011968</v>
      </c>
      <c r="O83" s="295">
        <v>45700</v>
      </c>
      <c r="P83" s="250">
        <f t="shared" ca="1" si="2"/>
        <v>369</v>
      </c>
      <c r="Q83" s="295">
        <v>45700</v>
      </c>
      <c r="R83" s="124" t="s">
        <v>30</v>
      </c>
      <c r="S83" s="124"/>
      <c r="T83" s="124"/>
      <c r="U83" s="295">
        <v>45702</v>
      </c>
      <c r="V83" s="124" t="s">
        <v>310</v>
      </c>
      <c r="W83" s="124">
        <v>100</v>
      </c>
      <c r="X83" s="130" t="s">
        <v>32</v>
      </c>
      <c r="Y83" s="297" t="s">
        <v>193</v>
      </c>
      <c r="Z83" s="264"/>
      <c r="AA83" s="264" t="s">
        <v>532</v>
      </c>
      <c r="AB83" s="264" t="s">
        <v>16</v>
      </c>
      <c r="AC83" s="264" t="s">
        <v>825</v>
      </c>
    </row>
    <row r="84" spans="1:30" s="612" customFormat="1" ht="15" hidden="1" customHeight="1">
      <c r="A84" s="246" t="s">
        <v>25</v>
      </c>
      <c r="B84" s="246" t="s">
        <v>25</v>
      </c>
      <c r="C84" s="266" t="s">
        <v>302</v>
      </c>
      <c r="D84" s="266" t="s">
        <v>303</v>
      </c>
      <c r="E84" s="266" t="s">
        <v>289</v>
      </c>
      <c r="F84" s="266">
        <v>151505064</v>
      </c>
      <c r="G84" s="266">
        <v>707616121</v>
      </c>
      <c r="H84" s="267">
        <v>5.8379690000000002</v>
      </c>
      <c r="I84" s="267">
        <v>-5.3588570000000004</v>
      </c>
      <c r="J84" s="267" t="s">
        <v>36</v>
      </c>
      <c r="K84" s="267" t="s">
        <v>198</v>
      </c>
      <c r="L84" s="267" t="s">
        <v>526</v>
      </c>
      <c r="M84" s="268" t="s">
        <v>536</v>
      </c>
      <c r="N84" s="268">
        <v>2150011900</v>
      </c>
      <c r="O84" s="269">
        <v>45691</v>
      </c>
      <c r="P84" s="311">
        <f t="shared" ca="1" si="2"/>
        <v>377</v>
      </c>
      <c r="Q84" s="269">
        <v>45692</v>
      </c>
      <c r="R84" s="267" t="s">
        <v>30</v>
      </c>
      <c r="S84" s="267"/>
      <c r="T84" s="267">
        <v>1</v>
      </c>
      <c r="U84" s="270">
        <v>45703</v>
      </c>
      <c r="V84" s="267" t="s">
        <v>310</v>
      </c>
      <c r="W84" s="267">
        <v>150</v>
      </c>
      <c r="X84" s="267" t="s">
        <v>32</v>
      </c>
      <c r="Y84" s="267" t="s">
        <v>193</v>
      </c>
      <c r="Z84" s="302"/>
      <c r="AA84" s="264" t="s">
        <v>532</v>
      </c>
      <c r="AB84" s="264" t="s">
        <v>16</v>
      </c>
      <c r="AC84" s="264" t="s">
        <v>481</v>
      </c>
    </row>
    <row r="85" spans="1:30" s="598" customFormat="1" ht="15" hidden="1" customHeight="1">
      <c r="A85" s="246" t="s">
        <v>25</v>
      </c>
      <c r="B85" s="246" t="s">
        <v>25</v>
      </c>
      <c r="C85" s="266" t="s">
        <v>293</v>
      </c>
      <c r="D85" s="266" t="s">
        <v>294</v>
      </c>
      <c r="E85" s="266" t="s">
        <v>295</v>
      </c>
      <c r="F85" s="266">
        <v>768732709</v>
      </c>
      <c r="G85" s="266">
        <v>151534516</v>
      </c>
      <c r="H85" s="267">
        <v>5.8359379999999996</v>
      </c>
      <c r="I85" s="267">
        <v>-5.3575299999999997</v>
      </c>
      <c r="J85" s="267" t="s">
        <v>36</v>
      </c>
      <c r="K85" s="267" t="s">
        <v>198</v>
      </c>
      <c r="L85" s="267" t="s">
        <v>511</v>
      </c>
      <c r="M85" s="267" t="s">
        <v>1373</v>
      </c>
      <c r="N85" s="267">
        <v>2150011962</v>
      </c>
      <c r="O85" s="269">
        <v>45692</v>
      </c>
      <c r="P85" s="311">
        <f t="shared" ca="1" si="2"/>
        <v>377</v>
      </c>
      <c r="Q85" s="269">
        <v>45692</v>
      </c>
      <c r="R85" s="267" t="s">
        <v>30</v>
      </c>
      <c r="S85" s="267"/>
      <c r="T85" s="267">
        <v>3</v>
      </c>
      <c r="U85" s="270">
        <v>45703</v>
      </c>
      <c r="V85" s="267" t="s">
        <v>310</v>
      </c>
      <c r="W85" s="267">
        <v>200</v>
      </c>
      <c r="X85" s="267" t="s">
        <v>32</v>
      </c>
      <c r="Y85" s="267" t="s">
        <v>193</v>
      </c>
      <c r="Z85" s="264"/>
      <c r="AA85" s="264" t="s">
        <v>532</v>
      </c>
      <c r="AB85" s="264" t="s">
        <v>16</v>
      </c>
      <c r="AC85" s="301" t="s">
        <v>512</v>
      </c>
    </row>
    <row r="86" spans="1:30" s="598" customFormat="1" ht="15" hidden="1" customHeight="1">
      <c r="A86" s="246" t="s">
        <v>25</v>
      </c>
      <c r="B86" s="246" t="s">
        <v>25</v>
      </c>
      <c r="C86" s="266" t="s">
        <v>400</v>
      </c>
      <c r="D86" s="266" t="s">
        <v>401</v>
      </c>
      <c r="E86" s="266" t="s">
        <v>402</v>
      </c>
      <c r="F86" s="266">
        <v>759829082</v>
      </c>
      <c r="G86" s="266">
        <v>759829082</v>
      </c>
      <c r="H86" s="267">
        <v>5.8396410000000003</v>
      </c>
      <c r="I86" s="267">
        <v>-5.3581289999999999</v>
      </c>
      <c r="J86" s="267" t="s">
        <v>36</v>
      </c>
      <c r="K86" s="267" t="s">
        <v>190</v>
      </c>
      <c r="L86" s="267" t="s">
        <v>410</v>
      </c>
      <c r="M86" s="268" t="s">
        <v>444</v>
      </c>
      <c r="N86" s="268">
        <v>2150011932</v>
      </c>
      <c r="O86" s="269">
        <v>45695</v>
      </c>
      <c r="P86" s="311">
        <f t="shared" ca="1" si="2"/>
        <v>373</v>
      </c>
      <c r="Q86" s="269">
        <v>45696</v>
      </c>
      <c r="R86" s="267" t="s">
        <v>30</v>
      </c>
      <c r="S86" s="267"/>
      <c r="T86" s="267">
        <v>2</v>
      </c>
      <c r="U86" s="270">
        <v>45703</v>
      </c>
      <c r="V86" s="267" t="s">
        <v>310</v>
      </c>
      <c r="W86" s="267">
        <v>250</v>
      </c>
      <c r="X86" s="312" t="s">
        <v>32</v>
      </c>
      <c r="Y86" s="267" t="s">
        <v>193</v>
      </c>
      <c r="Z86" s="264"/>
      <c r="AA86" s="264" t="s">
        <v>532</v>
      </c>
      <c r="AB86" s="264" t="s">
        <v>16</v>
      </c>
      <c r="AC86" s="264" t="s">
        <v>582</v>
      </c>
    </row>
    <row r="87" spans="1:30" s="598" customFormat="1" ht="15" hidden="1" customHeight="1">
      <c r="A87" s="246" t="s">
        <v>25</v>
      </c>
      <c r="B87" s="246" t="s">
        <v>25</v>
      </c>
      <c r="C87" s="305" t="s">
        <v>170</v>
      </c>
      <c r="D87" s="305" t="s">
        <v>171</v>
      </c>
      <c r="E87" s="305" t="s">
        <v>172</v>
      </c>
      <c r="F87" s="305">
        <v>707040852</v>
      </c>
      <c r="G87" s="305">
        <v>161949683</v>
      </c>
      <c r="H87" s="301">
        <v>5.8410000000000002</v>
      </c>
      <c r="I87" s="301">
        <v>-5.3539329999999996</v>
      </c>
      <c r="J87" s="306" t="s">
        <v>189</v>
      </c>
      <c r="K87" s="301" t="s">
        <v>203</v>
      </c>
      <c r="L87" s="301" t="s">
        <v>322</v>
      </c>
      <c r="M87" s="263" t="s">
        <v>416</v>
      </c>
      <c r="N87" s="263">
        <v>2150011904</v>
      </c>
      <c r="O87" s="307">
        <v>45689</v>
      </c>
      <c r="P87" s="313">
        <f t="shared" ca="1" si="2"/>
        <v>378</v>
      </c>
      <c r="Q87" s="307">
        <v>45691</v>
      </c>
      <c r="R87" s="264" t="s">
        <v>30</v>
      </c>
      <c r="S87" s="301"/>
      <c r="T87" s="301">
        <v>2</v>
      </c>
      <c r="U87" s="265">
        <v>45705</v>
      </c>
      <c r="V87" s="264" t="s">
        <v>310</v>
      </c>
      <c r="W87" s="301">
        <v>200</v>
      </c>
      <c r="X87" s="264" t="s">
        <v>32</v>
      </c>
      <c r="Y87" s="264" t="s">
        <v>193</v>
      </c>
      <c r="Z87" s="264"/>
      <c r="AA87" s="264" t="s">
        <v>532</v>
      </c>
      <c r="AB87" s="264" t="s">
        <v>16</v>
      </c>
      <c r="AC87" s="264" t="s">
        <v>805</v>
      </c>
    </row>
    <row r="88" spans="1:30" s="612" customFormat="1" ht="15" hidden="1" customHeight="1">
      <c r="A88" s="246" t="s">
        <v>25</v>
      </c>
      <c r="B88" s="246" t="s">
        <v>25</v>
      </c>
      <c r="C88" s="305" t="s">
        <v>287</v>
      </c>
      <c r="D88" s="305" t="s">
        <v>288</v>
      </c>
      <c r="E88" s="305" t="s">
        <v>289</v>
      </c>
      <c r="F88" s="305">
        <v>160075963</v>
      </c>
      <c r="G88" s="305">
        <v>707624334</v>
      </c>
      <c r="H88" s="264">
        <v>5.8330849999999996</v>
      </c>
      <c r="I88" s="264">
        <v>-5.3576360000000003</v>
      </c>
      <c r="J88" s="264" t="s">
        <v>36</v>
      </c>
      <c r="K88" s="264" t="s">
        <v>274</v>
      </c>
      <c r="L88" s="264" t="s">
        <v>476</v>
      </c>
      <c r="M88" s="264" t="s">
        <v>349</v>
      </c>
      <c r="N88" s="264">
        <v>2150011936</v>
      </c>
      <c r="O88" s="307">
        <v>45691</v>
      </c>
      <c r="P88" s="313">
        <f t="shared" ca="1" si="2"/>
        <v>377</v>
      </c>
      <c r="Q88" s="307">
        <v>45692</v>
      </c>
      <c r="R88" s="264" t="s">
        <v>30</v>
      </c>
      <c r="S88" s="264"/>
      <c r="T88" s="264">
        <v>4</v>
      </c>
      <c r="U88" s="265">
        <v>45705</v>
      </c>
      <c r="V88" s="264" t="s">
        <v>310</v>
      </c>
      <c r="W88" s="264">
        <v>250</v>
      </c>
      <c r="X88" s="264" t="s">
        <v>32</v>
      </c>
      <c r="Y88" s="264" t="s">
        <v>193</v>
      </c>
      <c r="Z88" s="302"/>
      <c r="AA88" s="264" t="s">
        <v>532</v>
      </c>
      <c r="AB88" s="264" t="s">
        <v>16</v>
      </c>
      <c r="AC88" s="264" t="s">
        <v>806</v>
      </c>
    </row>
    <row r="89" spans="1:30" s="596" customFormat="1" ht="15" hidden="1" customHeight="1">
      <c r="A89" s="246" t="s">
        <v>25</v>
      </c>
      <c r="B89" s="246" t="s">
        <v>25</v>
      </c>
      <c r="C89" s="305" t="s">
        <v>432</v>
      </c>
      <c r="D89" s="305" t="s">
        <v>433</v>
      </c>
      <c r="E89" s="305" t="s">
        <v>434</v>
      </c>
      <c r="F89" s="305">
        <v>152521116</v>
      </c>
      <c r="G89" s="305">
        <v>504158380</v>
      </c>
      <c r="H89" s="264">
        <v>5.8450879999999996</v>
      </c>
      <c r="I89" s="264">
        <v>-5.3563900000000002</v>
      </c>
      <c r="J89" s="264" t="s">
        <v>189</v>
      </c>
      <c r="K89" s="264" t="s">
        <v>203</v>
      </c>
      <c r="L89" s="264" t="s">
        <v>525</v>
      </c>
      <c r="M89" s="791" t="s">
        <v>2870</v>
      </c>
      <c r="N89" s="791">
        <v>2150011964</v>
      </c>
      <c r="O89" s="307">
        <v>45696</v>
      </c>
      <c r="P89" s="313">
        <f t="shared" ca="1" si="2"/>
        <v>371</v>
      </c>
      <c r="Q89" s="307">
        <v>45698</v>
      </c>
      <c r="R89" s="264" t="s">
        <v>30</v>
      </c>
      <c r="S89" s="264"/>
      <c r="T89" s="264"/>
      <c r="U89" s="265">
        <v>45705</v>
      </c>
      <c r="V89" s="264" t="s">
        <v>310</v>
      </c>
      <c r="W89" s="264">
        <v>200</v>
      </c>
      <c r="X89" s="301" t="s">
        <v>32</v>
      </c>
      <c r="Y89" s="264" t="s">
        <v>193</v>
      </c>
      <c r="Z89" s="51"/>
      <c r="AA89" s="42" t="s">
        <v>532</v>
      </c>
      <c r="AB89" s="42" t="s">
        <v>16</v>
      </c>
      <c r="AC89" s="42" t="s">
        <v>807</v>
      </c>
    </row>
    <row r="90" spans="1:30" s="596" customFormat="1" ht="15" hidden="1" customHeight="1">
      <c r="A90" s="246" t="s">
        <v>25</v>
      </c>
      <c r="B90" s="246" t="s">
        <v>25</v>
      </c>
      <c r="C90" s="306" t="s">
        <v>458</v>
      </c>
      <c r="D90" s="306" t="s">
        <v>459</v>
      </c>
      <c r="E90" s="306" t="s">
        <v>460</v>
      </c>
      <c r="F90" s="306">
        <v>160362796</v>
      </c>
      <c r="G90" s="306">
        <v>709056519</v>
      </c>
      <c r="H90" s="306">
        <v>5.8418669999999997</v>
      </c>
      <c r="I90" s="264">
        <v>-5.3548619999999998</v>
      </c>
      <c r="J90" s="306" t="s">
        <v>189</v>
      </c>
      <c r="K90" s="264" t="s">
        <v>203</v>
      </c>
      <c r="L90" s="264" t="s">
        <v>281</v>
      </c>
      <c r="M90" s="263" t="s">
        <v>507</v>
      </c>
      <c r="N90" s="263">
        <v>2150011956</v>
      </c>
      <c r="O90" s="314">
        <v>45699</v>
      </c>
      <c r="P90" s="313">
        <f t="shared" ca="1" si="2"/>
        <v>370</v>
      </c>
      <c r="Q90" s="307">
        <v>45699</v>
      </c>
      <c r="R90" s="264" t="s">
        <v>30</v>
      </c>
      <c r="S90" s="264"/>
      <c r="T90" s="264">
        <v>3</v>
      </c>
      <c r="U90" s="265">
        <v>45705</v>
      </c>
      <c r="V90" s="264" t="s">
        <v>310</v>
      </c>
      <c r="W90" s="264">
        <v>250</v>
      </c>
      <c r="X90" s="301" t="s">
        <v>32</v>
      </c>
      <c r="Y90" s="302" t="s">
        <v>228</v>
      </c>
      <c r="Z90" s="51"/>
      <c r="AA90" s="42" t="s">
        <v>532</v>
      </c>
      <c r="AB90" s="42" t="s">
        <v>16</v>
      </c>
      <c r="AC90" s="42" t="s">
        <v>808</v>
      </c>
    </row>
    <row r="91" spans="1:30" s="596" customFormat="1" ht="15" hidden="1" customHeight="1">
      <c r="A91" s="246" t="s">
        <v>25</v>
      </c>
      <c r="B91" s="246" t="s">
        <v>25</v>
      </c>
      <c r="C91" s="305" t="s">
        <v>448</v>
      </c>
      <c r="D91" s="305" t="s">
        <v>449</v>
      </c>
      <c r="E91" s="305" t="s">
        <v>97</v>
      </c>
      <c r="F91" s="305">
        <v>747910888</v>
      </c>
      <c r="G91" s="305">
        <v>555904273</v>
      </c>
      <c r="H91" s="264">
        <v>5.8408309999999997</v>
      </c>
      <c r="I91" s="264">
        <v>-5.3524240000000001</v>
      </c>
      <c r="J91" s="264" t="s">
        <v>189</v>
      </c>
      <c r="K91" s="264" t="s">
        <v>203</v>
      </c>
      <c r="L91" s="264" t="s">
        <v>381</v>
      </c>
      <c r="M91" s="263" t="s">
        <v>62</v>
      </c>
      <c r="N91" s="263">
        <v>2150011943</v>
      </c>
      <c r="O91" s="307">
        <v>45698</v>
      </c>
      <c r="P91" s="313">
        <f t="shared" ca="1" si="2"/>
        <v>370</v>
      </c>
      <c r="Q91" s="307">
        <v>45699</v>
      </c>
      <c r="R91" s="264" t="s">
        <v>30</v>
      </c>
      <c r="S91" s="264"/>
      <c r="T91" s="264"/>
      <c r="U91" s="265">
        <v>45705</v>
      </c>
      <c r="V91" s="264" t="s">
        <v>310</v>
      </c>
      <c r="W91" s="264">
        <v>100</v>
      </c>
      <c r="X91" s="301" t="s">
        <v>32</v>
      </c>
      <c r="Y91" s="302" t="s">
        <v>193</v>
      </c>
      <c r="Z91" s="51"/>
      <c r="AA91" s="42" t="s">
        <v>532</v>
      </c>
      <c r="AB91" s="42" t="s">
        <v>16</v>
      </c>
      <c r="AC91" s="42" t="s">
        <v>475</v>
      </c>
    </row>
    <row r="92" spans="1:30" s="596" customFormat="1" ht="15" hidden="1" customHeight="1">
      <c r="A92" s="246" t="s">
        <v>25</v>
      </c>
      <c r="B92" s="246" t="s">
        <v>25</v>
      </c>
      <c r="C92" s="264" t="s">
        <v>562</v>
      </c>
      <c r="D92" s="264" t="s">
        <v>563</v>
      </c>
      <c r="E92" s="264" t="s">
        <v>564</v>
      </c>
      <c r="F92" s="264">
        <v>141109317</v>
      </c>
      <c r="G92" s="264">
        <v>769471855</v>
      </c>
      <c r="H92" s="264">
        <v>5.8408550000000004</v>
      </c>
      <c r="I92" s="264">
        <v>-5.3541509999999999</v>
      </c>
      <c r="J92" s="264" t="s">
        <v>189</v>
      </c>
      <c r="K92" s="264" t="s">
        <v>203</v>
      </c>
      <c r="L92" s="264" t="s">
        <v>322</v>
      </c>
      <c r="M92" s="264" t="s">
        <v>585</v>
      </c>
      <c r="N92" s="264">
        <v>2150011959</v>
      </c>
      <c r="O92" s="265">
        <v>45703</v>
      </c>
      <c r="P92" s="264"/>
      <c r="Q92" s="265">
        <v>45704</v>
      </c>
      <c r="R92" s="264" t="s">
        <v>30</v>
      </c>
      <c r="S92" s="264"/>
      <c r="T92" s="264"/>
      <c r="U92" s="265">
        <v>45705</v>
      </c>
      <c r="V92" s="264" t="s">
        <v>310</v>
      </c>
      <c r="W92" s="264">
        <v>300</v>
      </c>
      <c r="X92" s="301" t="s">
        <v>32</v>
      </c>
      <c r="Y92" s="264" t="s">
        <v>228</v>
      </c>
      <c r="Z92" s="51"/>
      <c r="AA92" s="42" t="s">
        <v>532</v>
      </c>
      <c r="AB92" s="42" t="s">
        <v>16</v>
      </c>
      <c r="AC92" s="42" t="s">
        <v>809</v>
      </c>
      <c r="AD92" s="615"/>
    </row>
    <row r="93" spans="1:30" ht="15" hidden="1" customHeight="1">
      <c r="A93" s="246" t="s">
        <v>25</v>
      </c>
      <c r="B93" s="246" t="s">
        <v>25</v>
      </c>
      <c r="C93" s="27" t="s">
        <v>367</v>
      </c>
      <c r="D93" s="27" t="s">
        <v>368</v>
      </c>
      <c r="E93" s="27" t="s">
        <v>369</v>
      </c>
      <c r="F93" s="27">
        <v>151543326</v>
      </c>
      <c r="G93" s="27">
        <v>767562661</v>
      </c>
      <c r="H93" s="42">
        <v>5.8410960000000003</v>
      </c>
      <c r="I93" s="42">
        <v>-5.3569139999999997</v>
      </c>
      <c r="J93" s="42" t="s">
        <v>36</v>
      </c>
      <c r="K93" s="42" t="s">
        <v>190</v>
      </c>
      <c r="L93" s="42" t="s">
        <v>275</v>
      </c>
      <c r="M93" s="233" t="s">
        <v>508</v>
      </c>
      <c r="N93" s="233">
        <v>2150011978</v>
      </c>
      <c r="O93" s="52">
        <v>45692</v>
      </c>
      <c r="P93" s="316">
        <f ca="1">TODAY()-Q93</f>
        <v>375</v>
      </c>
      <c r="Q93" s="52">
        <v>45694</v>
      </c>
      <c r="R93" s="42" t="s">
        <v>30</v>
      </c>
      <c r="S93" s="42"/>
      <c r="T93" s="42">
        <v>3</v>
      </c>
      <c r="U93" s="315">
        <v>45706</v>
      </c>
      <c r="V93" s="42" t="s">
        <v>310</v>
      </c>
      <c r="W93" s="42">
        <v>300</v>
      </c>
      <c r="X93" s="46" t="s">
        <v>32</v>
      </c>
      <c r="Y93" s="51" t="s">
        <v>228</v>
      </c>
      <c r="Z93" s="42"/>
      <c r="AA93" s="42" t="s">
        <v>532</v>
      </c>
      <c r="AB93" s="42" t="s">
        <v>16</v>
      </c>
      <c r="AC93" s="42" t="s">
        <v>580</v>
      </c>
    </row>
    <row r="94" spans="1:30" ht="15" hidden="1" customHeight="1">
      <c r="A94" s="246" t="s">
        <v>25</v>
      </c>
      <c r="B94" s="246" t="s">
        <v>25</v>
      </c>
      <c r="C94" s="27" t="s">
        <v>424</v>
      </c>
      <c r="D94" s="27" t="s">
        <v>425</v>
      </c>
      <c r="E94" s="27" t="s">
        <v>426</v>
      </c>
      <c r="F94" s="27">
        <v>103104344</v>
      </c>
      <c r="G94" s="27">
        <v>707936853</v>
      </c>
      <c r="H94" s="42">
        <v>5.8410679999999999</v>
      </c>
      <c r="I94" s="42">
        <v>-5.357272</v>
      </c>
      <c r="J94" s="42" t="s">
        <v>36</v>
      </c>
      <c r="K94" s="42" t="s">
        <v>190</v>
      </c>
      <c r="L94" s="42" t="s">
        <v>579</v>
      </c>
      <c r="M94" s="233" t="s">
        <v>503</v>
      </c>
      <c r="N94" s="233">
        <v>2150011965</v>
      </c>
      <c r="O94" s="52">
        <v>45696</v>
      </c>
      <c r="P94" s="316">
        <f ca="1">TODAY()-Q94</f>
        <v>371</v>
      </c>
      <c r="Q94" s="52">
        <v>45698</v>
      </c>
      <c r="R94" s="42" t="s">
        <v>30</v>
      </c>
      <c r="S94" s="42"/>
      <c r="T94" s="42">
        <v>1</v>
      </c>
      <c r="U94" s="315">
        <v>45706</v>
      </c>
      <c r="V94" s="42" t="s">
        <v>310</v>
      </c>
      <c r="W94" s="42">
        <v>200</v>
      </c>
      <c r="X94" s="46" t="s">
        <v>32</v>
      </c>
      <c r="Y94" s="51" t="s">
        <v>228</v>
      </c>
      <c r="Z94" s="42"/>
      <c r="AA94" s="42" t="s">
        <v>532</v>
      </c>
      <c r="AB94" s="42" t="s">
        <v>16</v>
      </c>
      <c r="AC94" s="42" t="s">
        <v>838</v>
      </c>
    </row>
    <row r="95" spans="1:30" ht="15" hidden="1" customHeight="1">
      <c r="A95" s="246" t="s">
        <v>25</v>
      </c>
      <c r="B95" s="246" t="s">
        <v>25</v>
      </c>
      <c r="C95" s="25" t="s">
        <v>470</v>
      </c>
      <c r="D95" s="25" t="s">
        <v>471</v>
      </c>
      <c r="E95" s="25" t="s">
        <v>402</v>
      </c>
      <c r="F95" s="25">
        <v>742407800</v>
      </c>
      <c r="G95" s="25">
        <v>151635050</v>
      </c>
      <c r="H95" s="25">
        <v>5.8414000000000001</v>
      </c>
      <c r="I95" s="42">
        <v>-5.3621340000000002</v>
      </c>
      <c r="J95" s="25" t="s">
        <v>36</v>
      </c>
      <c r="K95" s="42" t="s">
        <v>190</v>
      </c>
      <c r="L95" s="42" t="s">
        <v>480</v>
      </c>
      <c r="M95" s="233" t="s">
        <v>505</v>
      </c>
      <c r="N95" s="233">
        <v>2150011966</v>
      </c>
      <c r="O95" s="43">
        <v>45698</v>
      </c>
      <c r="P95" s="316">
        <f ca="1">TODAY()-Q95</f>
        <v>370</v>
      </c>
      <c r="Q95" s="52">
        <v>45699</v>
      </c>
      <c r="R95" s="42" t="s">
        <v>30</v>
      </c>
      <c r="S95" s="42"/>
      <c r="T95" s="42"/>
      <c r="U95" s="315">
        <v>45706</v>
      </c>
      <c r="V95" s="42" t="s">
        <v>310</v>
      </c>
      <c r="W95" s="42">
        <v>150</v>
      </c>
      <c r="X95" s="46" t="s">
        <v>32</v>
      </c>
      <c r="Y95" s="51" t="s">
        <v>193</v>
      </c>
      <c r="Z95" s="42"/>
      <c r="AA95" s="42" t="s">
        <v>532</v>
      </c>
      <c r="AB95" s="42" t="s">
        <v>16</v>
      </c>
      <c r="AC95" s="42" t="s">
        <v>837</v>
      </c>
    </row>
    <row r="96" spans="1:30" s="617" customFormat="1" ht="15" hidden="1" customHeight="1">
      <c r="A96" s="246" t="s">
        <v>25</v>
      </c>
      <c r="B96" s="246" t="s">
        <v>25</v>
      </c>
      <c r="C96" s="27" t="s">
        <v>488</v>
      </c>
      <c r="D96" s="27" t="s">
        <v>489</v>
      </c>
      <c r="E96" s="27" t="s">
        <v>490</v>
      </c>
      <c r="F96" s="27">
        <v>152254497</v>
      </c>
      <c r="G96" s="27">
        <v>152254497</v>
      </c>
      <c r="H96" s="42">
        <v>5.8436029999999999</v>
      </c>
      <c r="I96" s="42">
        <v>-5.3672129999999996</v>
      </c>
      <c r="J96" s="25" t="s">
        <v>36</v>
      </c>
      <c r="K96" s="42" t="s">
        <v>543</v>
      </c>
      <c r="L96" s="42" t="s">
        <v>544</v>
      </c>
      <c r="M96" s="233" t="s">
        <v>588</v>
      </c>
      <c r="N96" s="233">
        <v>2150011994</v>
      </c>
      <c r="O96" s="315">
        <v>45700</v>
      </c>
      <c r="P96" s="316">
        <f ca="1">TODAY()-Q96</f>
        <v>369</v>
      </c>
      <c r="Q96" s="315">
        <v>45700</v>
      </c>
      <c r="R96" s="42" t="s">
        <v>30</v>
      </c>
      <c r="S96" s="42"/>
      <c r="T96" s="42">
        <v>1</v>
      </c>
      <c r="U96" s="315">
        <v>45706</v>
      </c>
      <c r="V96" s="42" t="s">
        <v>310</v>
      </c>
      <c r="W96" s="42">
        <v>150</v>
      </c>
      <c r="X96" s="46" t="s">
        <v>32</v>
      </c>
      <c r="Y96" s="51" t="s">
        <v>193</v>
      </c>
      <c r="Z96" s="318"/>
      <c r="AA96" s="318" t="s">
        <v>532</v>
      </c>
      <c r="AB96" s="318" t="s">
        <v>16</v>
      </c>
      <c r="AC96" s="318" t="s">
        <v>834</v>
      </c>
    </row>
    <row r="97" spans="1:29" s="618" customFormat="1" ht="15" hidden="1" customHeight="1">
      <c r="A97" s="246" t="s">
        <v>25</v>
      </c>
      <c r="B97" s="246" t="s">
        <v>25</v>
      </c>
      <c r="C97" s="42" t="s">
        <v>557</v>
      </c>
      <c r="D97" s="42" t="s">
        <v>558</v>
      </c>
      <c r="E97" s="42" t="s">
        <v>559</v>
      </c>
      <c r="F97" s="42">
        <v>170841590</v>
      </c>
      <c r="G97" s="42">
        <v>708838599</v>
      </c>
      <c r="H97" s="42">
        <v>5.8459919999999999</v>
      </c>
      <c r="I97" s="42">
        <v>-5.3652550000000003</v>
      </c>
      <c r="J97" s="42" t="s">
        <v>36</v>
      </c>
      <c r="K97" s="42" t="s">
        <v>190</v>
      </c>
      <c r="L97" s="42" t="s">
        <v>579</v>
      </c>
      <c r="M97" s="233" t="s">
        <v>596</v>
      </c>
      <c r="N97" s="233">
        <v>2150011988</v>
      </c>
      <c r="O97" s="315">
        <v>45703</v>
      </c>
      <c r="P97" s="42"/>
      <c r="Q97" s="315">
        <v>45704</v>
      </c>
      <c r="R97" s="42" t="s">
        <v>30</v>
      </c>
      <c r="S97" s="42"/>
      <c r="T97" s="42"/>
      <c r="U97" s="315">
        <v>45706</v>
      </c>
      <c r="V97" s="42" t="s">
        <v>310</v>
      </c>
      <c r="W97" s="42">
        <v>100</v>
      </c>
      <c r="X97" s="46" t="s">
        <v>32</v>
      </c>
      <c r="Y97" s="42" t="s">
        <v>193</v>
      </c>
      <c r="Z97" s="324"/>
      <c r="AA97" s="318" t="s">
        <v>532</v>
      </c>
      <c r="AB97" s="318" t="s">
        <v>16</v>
      </c>
      <c r="AC97" s="318" t="s">
        <v>835</v>
      </c>
    </row>
    <row r="98" spans="1:29" s="617" customFormat="1" ht="15" hidden="1" customHeight="1">
      <c r="A98" s="246" t="s">
        <v>25</v>
      </c>
      <c r="B98" s="246" t="s">
        <v>25</v>
      </c>
      <c r="C98" s="42" t="s">
        <v>575</v>
      </c>
      <c r="D98" s="42" t="s">
        <v>576</v>
      </c>
      <c r="E98" s="42" t="s">
        <v>577</v>
      </c>
      <c r="F98" s="42">
        <v>152687492</v>
      </c>
      <c r="G98" s="42">
        <v>716050673</v>
      </c>
      <c r="H98" s="42">
        <v>5.8424509999999996</v>
      </c>
      <c r="I98" s="42">
        <v>-5.362609</v>
      </c>
      <c r="J98" s="42" t="s">
        <v>36</v>
      </c>
      <c r="K98" s="42" t="s">
        <v>190</v>
      </c>
      <c r="L98" s="42" t="s">
        <v>480</v>
      </c>
      <c r="M98" s="233" t="s">
        <v>608</v>
      </c>
      <c r="N98" s="233">
        <v>2150011987</v>
      </c>
      <c r="O98" s="315">
        <v>45702</v>
      </c>
      <c r="P98" s="42"/>
      <c r="Q98" s="315">
        <v>45704</v>
      </c>
      <c r="R98" s="42" t="s">
        <v>30</v>
      </c>
      <c r="S98" s="42"/>
      <c r="T98" s="42">
        <v>2</v>
      </c>
      <c r="U98" s="315">
        <v>45706</v>
      </c>
      <c r="V98" s="42" t="s">
        <v>310</v>
      </c>
      <c r="W98" s="42">
        <v>250</v>
      </c>
      <c r="X98" s="46" t="s">
        <v>32</v>
      </c>
      <c r="Y98" s="42" t="s">
        <v>228</v>
      </c>
      <c r="Z98" s="318"/>
      <c r="AA98" s="318" t="s">
        <v>532</v>
      </c>
      <c r="AB98" s="318" t="s">
        <v>16</v>
      </c>
      <c r="AC98" s="318" t="s">
        <v>836</v>
      </c>
    </row>
    <row r="99" spans="1:29" s="617" customFormat="1" ht="15" hidden="1" customHeight="1">
      <c r="A99" s="246" t="s">
        <v>25</v>
      </c>
      <c r="B99" s="246" t="s">
        <v>25</v>
      </c>
      <c r="C99" s="42" t="s">
        <v>572</v>
      </c>
      <c r="D99" s="42" t="s">
        <v>573</v>
      </c>
      <c r="E99" s="42" t="s">
        <v>574</v>
      </c>
      <c r="F99" s="42">
        <v>709418697</v>
      </c>
      <c r="G99" s="42">
        <v>709418697</v>
      </c>
      <c r="H99" s="42">
        <v>5.8396699999999999</v>
      </c>
      <c r="I99" s="42">
        <v>-5.3536679999999999</v>
      </c>
      <c r="J99" s="42" t="s">
        <v>189</v>
      </c>
      <c r="K99" s="42" t="s">
        <v>190</v>
      </c>
      <c r="L99" s="42" t="s">
        <v>411</v>
      </c>
      <c r="M99" s="233" t="s">
        <v>598</v>
      </c>
      <c r="N99" s="233">
        <v>2150011969</v>
      </c>
      <c r="O99" s="315">
        <v>45703</v>
      </c>
      <c r="P99" s="42"/>
      <c r="Q99" s="315">
        <v>45704</v>
      </c>
      <c r="R99" s="42" t="s">
        <v>30</v>
      </c>
      <c r="S99" s="42"/>
      <c r="T99" s="42"/>
      <c r="U99" s="315">
        <v>45706</v>
      </c>
      <c r="V99" s="42" t="s">
        <v>310</v>
      </c>
      <c r="W99" s="42">
        <v>150</v>
      </c>
      <c r="X99" s="46" t="s">
        <v>32</v>
      </c>
      <c r="Y99" s="42" t="s">
        <v>228</v>
      </c>
      <c r="Z99" s="318"/>
      <c r="AA99" s="318" t="s">
        <v>532</v>
      </c>
      <c r="AB99" s="318" t="s">
        <v>16</v>
      </c>
      <c r="AC99" s="318" t="s">
        <v>827</v>
      </c>
    </row>
    <row r="100" spans="1:29" s="617" customFormat="1" ht="15" hidden="1" customHeight="1">
      <c r="A100" s="246" t="s">
        <v>25</v>
      </c>
      <c r="B100" s="246" t="s">
        <v>25</v>
      </c>
      <c r="C100" s="317" t="s">
        <v>397</v>
      </c>
      <c r="D100" s="317" t="s">
        <v>398</v>
      </c>
      <c r="E100" s="317" t="s">
        <v>399</v>
      </c>
      <c r="F100" s="317">
        <v>777383589</v>
      </c>
      <c r="G100" s="317">
        <v>777383589</v>
      </c>
      <c r="H100" s="318">
        <v>5.84321</v>
      </c>
      <c r="I100" s="318">
        <v>-5.3450420000000003</v>
      </c>
      <c r="J100" s="318" t="s">
        <v>189</v>
      </c>
      <c r="K100" s="318" t="s">
        <v>274</v>
      </c>
      <c r="L100" s="318" t="s">
        <v>539</v>
      </c>
      <c r="M100" s="319" t="s">
        <v>589</v>
      </c>
      <c r="N100" s="319">
        <v>2150011995</v>
      </c>
      <c r="O100" s="320">
        <v>45695</v>
      </c>
      <c r="P100" s="321">
        <f ca="1">TODAY()-Q100</f>
        <v>373</v>
      </c>
      <c r="Q100" s="320">
        <v>45696</v>
      </c>
      <c r="R100" s="318" t="s">
        <v>30</v>
      </c>
      <c r="S100" s="318"/>
      <c r="T100" s="318"/>
      <c r="U100" s="322">
        <v>45707</v>
      </c>
      <c r="V100" s="318" t="s">
        <v>310</v>
      </c>
      <c r="W100" s="318">
        <v>150</v>
      </c>
      <c r="X100" s="323" t="s">
        <v>32</v>
      </c>
      <c r="Y100" s="324" t="s">
        <v>245</v>
      </c>
      <c r="Z100" s="318"/>
      <c r="AA100" s="318" t="s">
        <v>532</v>
      </c>
      <c r="AB100" s="318" t="s">
        <v>16</v>
      </c>
      <c r="AC100" s="318" t="s">
        <v>826</v>
      </c>
    </row>
    <row r="101" spans="1:29" s="617" customFormat="1" ht="15" hidden="1" customHeight="1">
      <c r="A101" s="246" t="s">
        <v>25</v>
      </c>
      <c r="B101" s="246" t="s">
        <v>25</v>
      </c>
      <c r="C101" s="325" t="s">
        <v>456</v>
      </c>
      <c r="D101" s="325" t="s">
        <v>457</v>
      </c>
      <c r="E101" s="325" t="s">
        <v>35</v>
      </c>
      <c r="F101" s="325">
        <v>170437537</v>
      </c>
      <c r="G101" s="325">
        <v>789613139</v>
      </c>
      <c r="H101" s="325">
        <v>5.836722</v>
      </c>
      <c r="I101" s="318">
        <v>-5.3592610000000001</v>
      </c>
      <c r="J101" s="325" t="s">
        <v>36</v>
      </c>
      <c r="K101" s="318" t="s">
        <v>198</v>
      </c>
      <c r="L101" s="318" t="s">
        <v>581</v>
      </c>
      <c r="M101" s="319" t="s">
        <v>586</v>
      </c>
      <c r="N101" s="319">
        <v>2150011996</v>
      </c>
      <c r="O101" s="326">
        <v>45699</v>
      </c>
      <c r="P101" s="321">
        <f ca="1">TODAY()-Q101</f>
        <v>370</v>
      </c>
      <c r="Q101" s="320">
        <v>45699</v>
      </c>
      <c r="R101" s="318" t="s">
        <v>30</v>
      </c>
      <c r="S101" s="318"/>
      <c r="T101" s="318"/>
      <c r="U101" s="322">
        <v>45707</v>
      </c>
      <c r="V101" s="318" t="s">
        <v>310</v>
      </c>
      <c r="W101" s="318">
        <v>120</v>
      </c>
      <c r="X101" s="323" t="s">
        <v>32</v>
      </c>
      <c r="Y101" s="318" t="s">
        <v>193</v>
      </c>
      <c r="Z101" s="318"/>
      <c r="AA101" s="318" t="s">
        <v>532</v>
      </c>
      <c r="AB101" s="318" t="s">
        <v>16</v>
      </c>
      <c r="AC101" s="318" t="s">
        <v>828</v>
      </c>
    </row>
    <row r="102" spans="1:29" s="617" customFormat="1" ht="15" hidden="1" customHeight="1">
      <c r="A102" s="246" t="s">
        <v>25</v>
      </c>
      <c r="B102" s="246" t="s">
        <v>25</v>
      </c>
      <c r="C102" s="318" t="s">
        <v>496</v>
      </c>
      <c r="D102" s="318" t="s">
        <v>497</v>
      </c>
      <c r="E102" s="318" t="s">
        <v>110</v>
      </c>
      <c r="F102" s="318">
        <v>103721962</v>
      </c>
      <c r="G102" s="318">
        <v>777955871</v>
      </c>
      <c r="H102" s="318">
        <v>5.8461590000000001</v>
      </c>
      <c r="I102" s="318">
        <v>-5.3474009999999996</v>
      </c>
      <c r="J102" s="325" t="s">
        <v>189</v>
      </c>
      <c r="K102" s="318" t="s">
        <v>198</v>
      </c>
      <c r="L102" s="318" t="s">
        <v>603</v>
      </c>
      <c r="M102" s="319" t="s">
        <v>610</v>
      </c>
      <c r="N102" s="319">
        <v>2150011970</v>
      </c>
      <c r="O102" s="322">
        <v>45700</v>
      </c>
      <c r="P102" s="321">
        <f ca="1">TODAY()-Q102</f>
        <v>368</v>
      </c>
      <c r="Q102" s="322">
        <v>45701</v>
      </c>
      <c r="R102" s="318" t="s">
        <v>30</v>
      </c>
      <c r="S102" s="318"/>
      <c r="T102" s="318"/>
      <c r="U102" s="322">
        <v>45707</v>
      </c>
      <c r="V102" s="318" t="s">
        <v>310</v>
      </c>
      <c r="W102" s="318">
        <v>100</v>
      </c>
      <c r="X102" s="323" t="s">
        <v>32</v>
      </c>
      <c r="Y102" s="318" t="s">
        <v>626</v>
      </c>
      <c r="Z102" s="318"/>
      <c r="AA102" s="318" t="s">
        <v>532</v>
      </c>
      <c r="AB102" s="318" t="s">
        <v>16</v>
      </c>
      <c r="AC102" s="318" t="s">
        <v>528</v>
      </c>
    </row>
    <row r="103" spans="1:29" s="617" customFormat="1" ht="15" hidden="1" customHeight="1">
      <c r="A103" s="246" t="s">
        <v>25</v>
      </c>
      <c r="B103" s="246" t="s">
        <v>25</v>
      </c>
      <c r="C103" s="317" t="s">
        <v>553</v>
      </c>
      <c r="D103" s="317" t="s">
        <v>548</v>
      </c>
      <c r="E103" s="317" t="s">
        <v>549</v>
      </c>
      <c r="F103" s="317">
        <v>161329811</v>
      </c>
      <c r="G103" s="317">
        <v>758183122</v>
      </c>
      <c r="H103" s="318">
        <v>5.847359</v>
      </c>
      <c r="I103" s="318">
        <v>-5.3540150000000004</v>
      </c>
      <c r="J103" s="317" t="s">
        <v>189</v>
      </c>
      <c r="K103" s="318" t="s">
        <v>198</v>
      </c>
      <c r="L103" s="318" t="s">
        <v>258</v>
      </c>
      <c r="M103" s="319" t="s">
        <v>593</v>
      </c>
      <c r="N103" s="319">
        <v>2150011998</v>
      </c>
      <c r="O103" s="320">
        <v>45702</v>
      </c>
      <c r="P103" s="318"/>
      <c r="Q103" s="320">
        <v>45703</v>
      </c>
      <c r="R103" s="318" t="s">
        <v>30</v>
      </c>
      <c r="S103" s="318"/>
      <c r="T103" s="318"/>
      <c r="U103" s="322">
        <v>45707</v>
      </c>
      <c r="V103" s="318" t="s">
        <v>310</v>
      </c>
      <c r="W103" s="318">
        <v>100</v>
      </c>
      <c r="X103" s="323" t="s">
        <v>32</v>
      </c>
      <c r="Y103" s="318" t="s">
        <v>193</v>
      </c>
      <c r="Z103" s="318"/>
      <c r="AA103" s="318" t="s">
        <v>532</v>
      </c>
      <c r="AB103" s="318" t="s">
        <v>16</v>
      </c>
      <c r="AC103" s="318" t="s">
        <v>829</v>
      </c>
    </row>
    <row r="104" spans="1:29" s="603" customFormat="1" ht="15" hidden="1" customHeight="1">
      <c r="A104" s="246" t="s">
        <v>25</v>
      </c>
      <c r="B104" s="246" t="s">
        <v>25</v>
      </c>
      <c r="C104" s="317" t="s">
        <v>554</v>
      </c>
      <c r="D104" s="317" t="s">
        <v>550</v>
      </c>
      <c r="E104" s="317" t="s">
        <v>551</v>
      </c>
      <c r="F104" s="317">
        <v>153740955</v>
      </c>
      <c r="G104" s="317">
        <v>504455989</v>
      </c>
      <c r="H104" s="318">
        <v>5.8385059999999998</v>
      </c>
      <c r="I104" s="318">
        <v>-5.34877</v>
      </c>
      <c r="J104" s="317" t="s">
        <v>189</v>
      </c>
      <c r="K104" s="318" t="s">
        <v>190</v>
      </c>
      <c r="L104" s="318" t="s">
        <v>584</v>
      </c>
      <c r="M104" s="319" t="s">
        <v>594</v>
      </c>
      <c r="N104" s="319">
        <v>2150011991</v>
      </c>
      <c r="O104" s="320">
        <v>45702</v>
      </c>
      <c r="P104" s="318"/>
      <c r="Q104" s="320">
        <v>45703</v>
      </c>
      <c r="R104" s="318" t="s">
        <v>30</v>
      </c>
      <c r="S104" s="318"/>
      <c r="T104" s="318"/>
      <c r="U104" s="322">
        <v>45707</v>
      </c>
      <c r="V104" s="318" t="s">
        <v>310</v>
      </c>
      <c r="W104" s="318">
        <v>250</v>
      </c>
      <c r="X104" s="323" t="s">
        <v>32</v>
      </c>
      <c r="Y104" s="318" t="s">
        <v>626</v>
      </c>
      <c r="Z104" s="121"/>
      <c r="AA104" s="28" t="s">
        <v>532</v>
      </c>
      <c r="AB104" s="28" t="s">
        <v>16</v>
      </c>
      <c r="AC104" s="28" t="s">
        <v>528</v>
      </c>
    </row>
    <row r="105" spans="1:29" s="603" customFormat="1" ht="15" hidden="1" customHeight="1">
      <c r="A105" s="246" t="s">
        <v>25</v>
      </c>
      <c r="B105" s="246" t="s">
        <v>25</v>
      </c>
      <c r="C105" s="318" t="s">
        <v>565</v>
      </c>
      <c r="D105" s="318" t="s">
        <v>566</v>
      </c>
      <c r="E105" s="318" t="s">
        <v>41</v>
      </c>
      <c r="F105" s="318">
        <v>758266512</v>
      </c>
      <c r="G105" s="318">
        <v>748094101</v>
      </c>
      <c r="H105" s="318">
        <v>5.843502</v>
      </c>
      <c r="I105" s="318">
        <v>-5.3527170000000002</v>
      </c>
      <c r="J105" s="318" t="s">
        <v>189</v>
      </c>
      <c r="K105" s="318" t="s">
        <v>203</v>
      </c>
      <c r="L105" s="318" t="s">
        <v>280</v>
      </c>
      <c r="M105" s="319" t="s">
        <v>597</v>
      </c>
      <c r="N105" s="319">
        <v>2150011985</v>
      </c>
      <c r="O105" s="322">
        <v>45703</v>
      </c>
      <c r="P105" s="318"/>
      <c r="Q105" s="322">
        <v>45704</v>
      </c>
      <c r="R105" s="318" t="s">
        <v>30</v>
      </c>
      <c r="S105" s="318"/>
      <c r="T105" s="318">
        <v>3</v>
      </c>
      <c r="U105" s="322">
        <v>45707</v>
      </c>
      <c r="V105" s="318" t="s">
        <v>310</v>
      </c>
      <c r="W105" s="318">
        <v>300</v>
      </c>
      <c r="X105" s="323" t="s">
        <v>32</v>
      </c>
      <c r="Y105" s="318" t="s">
        <v>228</v>
      </c>
      <c r="Z105" s="121"/>
      <c r="AA105" s="28" t="s">
        <v>532</v>
      </c>
      <c r="AB105" s="28" t="s">
        <v>16</v>
      </c>
      <c r="AC105" s="28" t="s">
        <v>602</v>
      </c>
    </row>
    <row r="106" spans="1:29" s="602" customFormat="1" ht="15" hidden="1" customHeight="1">
      <c r="A106" s="246" t="s">
        <v>25</v>
      </c>
      <c r="B106" s="246" t="s">
        <v>25</v>
      </c>
      <c r="C106" s="318" t="s">
        <v>555</v>
      </c>
      <c r="D106" s="318" t="s">
        <v>556</v>
      </c>
      <c r="E106" s="318" t="s">
        <v>89</v>
      </c>
      <c r="F106" s="318">
        <v>161215980</v>
      </c>
      <c r="G106" s="318">
        <v>545160885</v>
      </c>
      <c r="H106" s="318">
        <v>5.8388530000000003</v>
      </c>
      <c r="I106" s="318">
        <v>-5.3522920000000003</v>
      </c>
      <c r="J106" s="318" t="s">
        <v>189</v>
      </c>
      <c r="K106" s="318" t="s">
        <v>190</v>
      </c>
      <c r="L106" s="318" t="s">
        <v>583</v>
      </c>
      <c r="M106" s="319" t="s">
        <v>595</v>
      </c>
      <c r="N106" s="319">
        <v>2150011990</v>
      </c>
      <c r="O106" s="322">
        <v>45702</v>
      </c>
      <c r="P106" s="318"/>
      <c r="Q106" s="322">
        <v>45704</v>
      </c>
      <c r="R106" s="318" t="s">
        <v>30</v>
      </c>
      <c r="S106" s="318"/>
      <c r="T106" s="318"/>
      <c r="U106" s="322">
        <v>45707</v>
      </c>
      <c r="V106" s="318" t="s">
        <v>310</v>
      </c>
      <c r="W106" s="318">
        <v>100</v>
      </c>
      <c r="X106" s="323" t="s">
        <v>32</v>
      </c>
      <c r="Y106" s="318" t="s">
        <v>193</v>
      </c>
      <c r="Z106" s="28"/>
      <c r="AA106" s="28" t="s">
        <v>532</v>
      </c>
      <c r="AB106" s="28" t="s">
        <v>16</v>
      </c>
      <c r="AC106" s="28" t="s">
        <v>830</v>
      </c>
    </row>
    <row r="107" spans="1:29" s="602" customFormat="1" ht="15" hidden="1" customHeight="1">
      <c r="A107" s="246" t="s">
        <v>25</v>
      </c>
      <c r="B107" s="246" t="s">
        <v>25</v>
      </c>
      <c r="C107" s="318" t="s">
        <v>569</v>
      </c>
      <c r="D107" s="318" t="s">
        <v>570</v>
      </c>
      <c r="E107" s="318" t="s">
        <v>571</v>
      </c>
      <c r="F107" s="318">
        <v>710204303</v>
      </c>
      <c r="G107" s="318">
        <v>710204303</v>
      </c>
      <c r="H107" s="318">
        <v>5.8400040000000004</v>
      </c>
      <c r="I107" s="318">
        <v>-5.3597799999999998</v>
      </c>
      <c r="J107" s="318" t="s">
        <v>36</v>
      </c>
      <c r="K107" s="318" t="s">
        <v>190</v>
      </c>
      <c r="L107" s="318" t="s">
        <v>259</v>
      </c>
      <c r="M107" s="319" t="s">
        <v>612</v>
      </c>
      <c r="N107" s="319">
        <v>2150011984</v>
      </c>
      <c r="O107" s="322">
        <v>45702</v>
      </c>
      <c r="P107" s="318"/>
      <c r="Q107" s="322">
        <v>45704</v>
      </c>
      <c r="R107" s="318" t="s">
        <v>30</v>
      </c>
      <c r="S107" s="318"/>
      <c r="T107" s="318"/>
      <c r="U107" s="322">
        <v>45707</v>
      </c>
      <c r="V107" s="318" t="s">
        <v>310</v>
      </c>
      <c r="W107" s="318">
        <v>150</v>
      </c>
      <c r="X107" s="323" t="s">
        <v>32</v>
      </c>
      <c r="Y107" s="318" t="s">
        <v>627</v>
      </c>
      <c r="Z107" s="28"/>
      <c r="AA107" s="28" t="s">
        <v>532</v>
      </c>
      <c r="AB107" s="28" t="s">
        <v>16</v>
      </c>
      <c r="AC107" s="28" t="s">
        <v>831</v>
      </c>
    </row>
    <row r="108" spans="1:29" ht="15" hidden="1" customHeight="1">
      <c r="A108" s="246" t="s">
        <v>25</v>
      </c>
      <c r="B108" s="246" t="s">
        <v>25</v>
      </c>
      <c r="C108" s="328" t="s">
        <v>604</v>
      </c>
      <c r="D108" s="167" t="s">
        <v>68</v>
      </c>
      <c r="E108" s="167" t="s">
        <v>605</v>
      </c>
      <c r="F108" s="167">
        <v>151437581</v>
      </c>
      <c r="G108" s="167">
        <v>707093011</v>
      </c>
      <c r="H108" s="167">
        <v>5.843985</v>
      </c>
      <c r="I108" s="167">
        <v>-5.3497640000000004</v>
      </c>
      <c r="J108" s="167" t="s">
        <v>189</v>
      </c>
      <c r="K108" s="167" t="s">
        <v>203</v>
      </c>
      <c r="L108" s="167" t="s">
        <v>638</v>
      </c>
      <c r="M108" s="298" t="s">
        <v>650</v>
      </c>
      <c r="N108" s="298">
        <v>2150011983</v>
      </c>
      <c r="O108" s="299">
        <v>45685</v>
      </c>
      <c r="P108" s="167"/>
      <c r="Q108" s="299">
        <v>45686</v>
      </c>
      <c r="R108" s="167" t="s">
        <v>30</v>
      </c>
      <c r="S108" s="167"/>
      <c r="T108" s="167"/>
      <c r="U108" s="299">
        <v>45708</v>
      </c>
      <c r="V108" s="167" t="s">
        <v>310</v>
      </c>
      <c r="W108" s="167">
        <v>300</v>
      </c>
      <c r="X108" s="167" t="s">
        <v>32</v>
      </c>
      <c r="Y108" s="167" t="s">
        <v>343</v>
      </c>
      <c r="Z108" s="246"/>
      <c r="AA108" s="246" t="s">
        <v>532</v>
      </c>
      <c r="AB108" s="246" t="s">
        <v>16</v>
      </c>
      <c r="AC108" s="246" t="s">
        <v>452</v>
      </c>
    </row>
    <row r="109" spans="1:29" ht="15" hidden="1" customHeight="1">
      <c r="A109" s="246" t="s">
        <v>25</v>
      </c>
      <c r="B109" s="246" t="s">
        <v>25</v>
      </c>
      <c r="C109" s="28" t="s">
        <v>485</v>
      </c>
      <c r="D109" s="28" t="s">
        <v>486</v>
      </c>
      <c r="E109" s="28" t="s">
        <v>487</v>
      </c>
      <c r="F109" s="28">
        <v>748368887</v>
      </c>
      <c r="G109" s="28">
        <v>748368887</v>
      </c>
      <c r="H109" s="28">
        <v>5.8399359999999998</v>
      </c>
      <c r="I109" s="28">
        <v>-5.3599230000000002</v>
      </c>
      <c r="J109" s="23" t="s">
        <v>36</v>
      </c>
      <c r="K109" s="28" t="s">
        <v>190</v>
      </c>
      <c r="L109" s="28" t="s">
        <v>259</v>
      </c>
      <c r="M109" s="283" t="s">
        <v>504</v>
      </c>
      <c r="N109" s="283">
        <v>2150011967</v>
      </c>
      <c r="O109" s="284">
        <v>45699</v>
      </c>
      <c r="P109" s="327">
        <f ca="1">TODAY()-Q109</f>
        <v>369</v>
      </c>
      <c r="Q109" s="284">
        <v>45700</v>
      </c>
      <c r="R109" s="28" t="s">
        <v>30</v>
      </c>
      <c r="S109" s="28"/>
      <c r="T109" s="28"/>
      <c r="U109" s="284">
        <v>45708</v>
      </c>
      <c r="V109" s="28" t="s">
        <v>310</v>
      </c>
      <c r="W109" s="28">
        <v>150</v>
      </c>
      <c r="X109" s="33" t="s">
        <v>32</v>
      </c>
      <c r="Y109" s="121" t="s">
        <v>627</v>
      </c>
      <c r="Z109" s="246"/>
      <c r="AA109" s="246" t="s">
        <v>532</v>
      </c>
      <c r="AB109" s="246" t="s">
        <v>16</v>
      </c>
      <c r="AC109" s="246" t="s">
        <v>832</v>
      </c>
    </row>
    <row r="110" spans="1:29" ht="15" hidden="1" customHeight="1">
      <c r="A110" s="246" t="s">
        <v>25</v>
      </c>
      <c r="B110" s="246" t="s">
        <v>25</v>
      </c>
      <c r="C110" s="281" t="s">
        <v>552</v>
      </c>
      <c r="D110" s="281" t="s">
        <v>546</v>
      </c>
      <c r="E110" s="281" t="s">
        <v>547</v>
      </c>
      <c r="F110" s="281">
        <v>747970081</v>
      </c>
      <c r="G110" s="281">
        <v>504817429</v>
      </c>
      <c r="H110" s="28">
        <v>5.8315130000000002</v>
      </c>
      <c r="I110" s="28">
        <v>-5.3569779999999998</v>
      </c>
      <c r="J110" s="281" t="s">
        <v>36</v>
      </c>
      <c r="K110" s="28" t="s">
        <v>274</v>
      </c>
      <c r="L110" s="28" t="s">
        <v>521</v>
      </c>
      <c r="M110" s="283" t="s">
        <v>592</v>
      </c>
      <c r="N110" s="283">
        <v>2150011989</v>
      </c>
      <c r="O110" s="282">
        <v>45702</v>
      </c>
      <c r="P110" s="28"/>
      <c r="Q110" s="282">
        <v>45703</v>
      </c>
      <c r="R110" s="28" t="s">
        <v>30</v>
      </c>
      <c r="S110" s="28"/>
      <c r="T110" s="28"/>
      <c r="U110" s="284">
        <v>45708</v>
      </c>
      <c r="V110" s="28" t="s">
        <v>310</v>
      </c>
      <c r="W110" s="28">
        <v>150</v>
      </c>
      <c r="X110" s="33" t="s">
        <v>32</v>
      </c>
      <c r="Y110" s="28" t="s">
        <v>228</v>
      </c>
      <c r="Z110" s="246"/>
      <c r="AA110" s="246" t="s">
        <v>532</v>
      </c>
      <c r="AB110" s="246" t="s">
        <v>16</v>
      </c>
      <c r="AC110" s="246" t="s">
        <v>453</v>
      </c>
    </row>
    <row r="111" spans="1:29" ht="15" hidden="1" customHeight="1">
      <c r="A111" s="246" t="s">
        <v>25</v>
      </c>
      <c r="B111" s="246" t="s">
        <v>25</v>
      </c>
      <c r="C111" s="28" t="s">
        <v>567</v>
      </c>
      <c r="D111" s="28" t="s">
        <v>568</v>
      </c>
      <c r="E111" s="28" t="s">
        <v>35</v>
      </c>
      <c r="F111" s="28">
        <v>161329783</v>
      </c>
      <c r="G111" s="28">
        <v>703634067</v>
      </c>
      <c r="H111" s="28">
        <v>5.8376229999999998</v>
      </c>
      <c r="I111" s="28">
        <v>-5.3582850000000004</v>
      </c>
      <c r="J111" s="28" t="s">
        <v>36</v>
      </c>
      <c r="K111" s="28" t="s">
        <v>190</v>
      </c>
      <c r="L111" s="28" t="s">
        <v>601</v>
      </c>
      <c r="M111" s="283" t="s">
        <v>611</v>
      </c>
      <c r="N111" s="283">
        <v>2150011971</v>
      </c>
      <c r="O111" s="284">
        <v>45703</v>
      </c>
      <c r="P111" s="28"/>
      <c r="Q111" s="284">
        <v>45704</v>
      </c>
      <c r="R111" s="28" t="s">
        <v>30</v>
      </c>
      <c r="S111" s="28"/>
      <c r="T111" s="28"/>
      <c r="U111" s="284">
        <v>45708</v>
      </c>
      <c r="V111" s="28" t="s">
        <v>310</v>
      </c>
      <c r="W111" s="28">
        <v>150</v>
      </c>
      <c r="X111" s="33" t="s">
        <v>32</v>
      </c>
      <c r="Y111" s="121" t="s">
        <v>193</v>
      </c>
      <c r="Z111" s="246"/>
      <c r="AA111" s="246" t="s">
        <v>532</v>
      </c>
      <c r="AB111" s="246" t="s">
        <v>16</v>
      </c>
      <c r="AC111" s="246" t="s">
        <v>833</v>
      </c>
    </row>
    <row r="112" spans="1:29" s="608" customFormat="1" ht="15" hidden="1" customHeight="1">
      <c r="A112" s="246" t="s">
        <v>25</v>
      </c>
      <c r="B112" s="246" t="s">
        <v>25</v>
      </c>
      <c r="C112" s="259" t="s">
        <v>364</v>
      </c>
      <c r="D112" s="262" t="s">
        <v>365</v>
      </c>
      <c r="E112" s="259" t="s">
        <v>366</v>
      </c>
      <c r="F112" s="259">
        <v>707768001</v>
      </c>
      <c r="G112" s="259">
        <v>749560816</v>
      </c>
      <c r="H112" s="246">
        <v>5.8446699999999998</v>
      </c>
      <c r="I112" s="246">
        <v>-5.3601840000000003</v>
      </c>
      <c r="J112" s="246" t="s">
        <v>36</v>
      </c>
      <c r="K112" s="246" t="s">
        <v>190</v>
      </c>
      <c r="L112" s="246" t="s">
        <v>409</v>
      </c>
      <c r="M112" s="310" t="s">
        <v>421</v>
      </c>
      <c r="N112" s="310">
        <v>2150011917</v>
      </c>
      <c r="O112" s="260">
        <v>45693</v>
      </c>
      <c r="P112" s="250">
        <f ca="1">TODAY()-Q112</f>
        <v>375</v>
      </c>
      <c r="Q112" s="260">
        <v>45694</v>
      </c>
      <c r="R112" s="246" t="s">
        <v>30</v>
      </c>
      <c r="S112" s="246"/>
      <c r="T112" s="246">
        <v>1</v>
      </c>
      <c r="U112" s="251">
        <v>45709</v>
      </c>
      <c r="V112" s="198" t="s">
        <v>310</v>
      </c>
      <c r="W112" s="246">
        <v>400</v>
      </c>
      <c r="X112" s="243" t="s">
        <v>32</v>
      </c>
      <c r="Y112" s="246" t="s">
        <v>228</v>
      </c>
      <c r="Z112" s="124"/>
      <c r="AA112" s="124" t="s">
        <v>532</v>
      </c>
      <c r="AB112" s="124" t="s">
        <v>16</v>
      </c>
      <c r="AC112" s="124" t="s">
        <v>661</v>
      </c>
    </row>
    <row r="113" spans="1:29" s="608" customFormat="1" ht="15" hidden="1" customHeight="1">
      <c r="A113" s="246" t="s">
        <v>25</v>
      </c>
      <c r="B113" s="246" t="s">
        <v>25</v>
      </c>
      <c r="C113" s="259" t="s">
        <v>437</v>
      </c>
      <c r="D113" s="262" t="s">
        <v>438</v>
      </c>
      <c r="E113" s="259" t="s">
        <v>439</v>
      </c>
      <c r="F113" s="259">
        <v>103886060</v>
      </c>
      <c r="G113" s="259">
        <v>778183118</v>
      </c>
      <c r="H113" s="246">
        <v>5.844563</v>
      </c>
      <c r="I113" s="246">
        <v>-5.3586489999999998</v>
      </c>
      <c r="J113" s="246" t="s">
        <v>36</v>
      </c>
      <c r="K113" s="246" t="s">
        <v>190</v>
      </c>
      <c r="L113" s="246" t="s">
        <v>409</v>
      </c>
      <c r="M113" s="252" t="s">
        <v>587</v>
      </c>
      <c r="N113" s="252">
        <v>2150011997</v>
      </c>
      <c r="O113" s="260">
        <v>45696</v>
      </c>
      <c r="P113" s="250">
        <f ca="1">TODAY()-Q113</f>
        <v>371</v>
      </c>
      <c r="Q113" s="260">
        <v>45698</v>
      </c>
      <c r="R113" s="246" t="s">
        <v>30</v>
      </c>
      <c r="S113" s="246"/>
      <c r="T113" s="246">
        <v>4</v>
      </c>
      <c r="U113" s="251">
        <v>45709</v>
      </c>
      <c r="V113" s="198" t="s">
        <v>310</v>
      </c>
      <c r="W113" s="246">
        <v>500</v>
      </c>
      <c r="X113" s="243" t="s">
        <v>32</v>
      </c>
      <c r="Y113" s="246" t="s">
        <v>193</v>
      </c>
      <c r="Z113" s="124"/>
      <c r="AA113" s="124" t="s">
        <v>532</v>
      </c>
      <c r="AB113" s="124" t="s">
        <v>16</v>
      </c>
      <c r="AC113" s="124" t="s">
        <v>451</v>
      </c>
    </row>
    <row r="114" spans="1:29" s="608" customFormat="1" ht="15" hidden="1" customHeight="1">
      <c r="A114" s="246" t="s">
        <v>25</v>
      </c>
      <c r="B114" s="246" t="s">
        <v>25</v>
      </c>
      <c r="C114" s="259" t="s">
        <v>427</v>
      </c>
      <c r="D114" s="262" t="s">
        <v>428</v>
      </c>
      <c r="E114" s="259" t="s">
        <v>429</v>
      </c>
      <c r="F114" s="259">
        <v>707246489</v>
      </c>
      <c r="G114" s="259">
        <v>141292916</v>
      </c>
      <c r="H114" s="246">
        <v>5.8446829999999999</v>
      </c>
      <c r="I114" s="246">
        <v>-5.3588069999999997</v>
      </c>
      <c r="J114" s="246" t="s">
        <v>36</v>
      </c>
      <c r="K114" s="246" t="s">
        <v>190</v>
      </c>
      <c r="L114" s="246" t="s">
        <v>409</v>
      </c>
      <c r="M114" s="252" t="s">
        <v>590</v>
      </c>
      <c r="N114" s="252">
        <v>2150011992</v>
      </c>
      <c r="O114" s="260">
        <v>45696</v>
      </c>
      <c r="P114" s="250">
        <f ca="1">TODAY()-Q114</f>
        <v>371</v>
      </c>
      <c r="Q114" s="260">
        <v>45698</v>
      </c>
      <c r="R114" s="246" t="s">
        <v>30</v>
      </c>
      <c r="S114" s="246"/>
      <c r="T114" s="246">
        <v>4</v>
      </c>
      <c r="U114" s="251">
        <v>45709</v>
      </c>
      <c r="V114" s="198" t="s">
        <v>310</v>
      </c>
      <c r="W114" s="246">
        <v>500</v>
      </c>
      <c r="X114" s="243" t="s">
        <v>32</v>
      </c>
      <c r="Y114" s="246" t="s">
        <v>245</v>
      </c>
      <c r="Z114" s="124"/>
      <c r="AA114" s="124" t="s">
        <v>532</v>
      </c>
      <c r="AB114" s="124" t="s">
        <v>16</v>
      </c>
      <c r="AC114" s="124" t="s">
        <v>644</v>
      </c>
    </row>
    <row r="115" spans="1:29" s="608" customFormat="1" ht="15" hidden="1" customHeight="1">
      <c r="A115" s="246" t="s">
        <v>25</v>
      </c>
      <c r="B115" s="246" t="s">
        <v>25</v>
      </c>
      <c r="C115" s="23" t="s">
        <v>606</v>
      </c>
      <c r="D115" s="23" t="s">
        <v>607</v>
      </c>
      <c r="E115" s="23" t="s">
        <v>25</v>
      </c>
      <c r="F115" s="23">
        <v>788898768</v>
      </c>
      <c r="G115" s="23">
        <v>594398260</v>
      </c>
      <c r="H115" s="23">
        <v>5.8455149999999998</v>
      </c>
      <c r="I115" s="23">
        <v>-5.3463459999999996</v>
      </c>
      <c r="J115" s="28" t="s">
        <v>189</v>
      </c>
      <c r="K115" s="30" t="s">
        <v>198</v>
      </c>
      <c r="L115" s="23" t="s">
        <v>613</v>
      </c>
      <c r="M115" s="23" t="s">
        <v>641</v>
      </c>
      <c r="N115" s="28">
        <v>2150011979</v>
      </c>
      <c r="O115" s="284">
        <v>45684</v>
      </c>
      <c r="P115" s="28"/>
      <c r="Q115" s="284">
        <v>45706</v>
      </c>
      <c r="R115" s="28" t="s">
        <v>30</v>
      </c>
      <c r="S115" s="28"/>
      <c r="T115" s="28"/>
      <c r="U115" s="284">
        <v>45709</v>
      </c>
      <c r="V115" s="28" t="s">
        <v>310</v>
      </c>
      <c r="W115" s="28">
        <v>150</v>
      </c>
      <c r="X115" s="28" t="s">
        <v>32</v>
      </c>
      <c r="Y115" s="28" t="s">
        <v>193</v>
      </c>
      <c r="Z115" s="124"/>
      <c r="AA115" s="124" t="s">
        <v>532</v>
      </c>
      <c r="AB115" s="124" t="s">
        <v>16</v>
      </c>
      <c r="AC115" s="124" t="s">
        <v>643</v>
      </c>
    </row>
    <row r="116" spans="1:29" s="608" customFormat="1" ht="15" hidden="1" customHeight="1">
      <c r="A116" s="246" t="s">
        <v>25</v>
      </c>
      <c r="B116" s="246" t="s">
        <v>25</v>
      </c>
      <c r="C116" s="329" t="s">
        <v>599</v>
      </c>
      <c r="D116" s="329" t="s">
        <v>600</v>
      </c>
      <c r="E116" s="329" t="s">
        <v>84</v>
      </c>
      <c r="F116" s="329">
        <v>172838753</v>
      </c>
      <c r="G116" s="329">
        <v>505223461</v>
      </c>
      <c r="H116" s="246">
        <v>5.833323</v>
      </c>
      <c r="I116" s="246">
        <v>-5.3638960000000004</v>
      </c>
      <c r="J116" s="246" t="s">
        <v>36</v>
      </c>
      <c r="K116" s="246" t="s">
        <v>203</v>
      </c>
      <c r="L116" s="246" t="s">
        <v>408</v>
      </c>
      <c r="M116" s="252" t="s">
        <v>651</v>
      </c>
      <c r="N116" s="252">
        <v>2150011960</v>
      </c>
      <c r="O116" s="330">
        <v>45702</v>
      </c>
      <c r="P116" s="330"/>
      <c r="Q116" s="251">
        <v>45706</v>
      </c>
      <c r="R116" s="246" t="s">
        <v>30</v>
      </c>
      <c r="S116" s="246"/>
      <c r="T116" s="246"/>
      <c r="U116" s="251">
        <v>45709</v>
      </c>
      <c r="V116" s="246" t="s">
        <v>310</v>
      </c>
      <c r="W116" s="246">
        <v>100</v>
      </c>
      <c r="X116" s="246" t="s">
        <v>32</v>
      </c>
      <c r="Y116" s="246" t="s">
        <v>245</v>
      </c>
      <c r="Z116" s="124"/>
      <c r="AA116" s="124" t="s">
        <v>532</v>
      </c>
      <c r="AB116" s="124" t="s">
        <v>16</v>
      </c>
      <c r="AC116" s="124" t="s">
        <v>769</v>
      </c>
    </row>
    <row r="117" spans="1:29" s="608" customFormat="1" ht="15" hidden="1" customHeight="1">
      <c r="A117" s="246" t="s">
        <v>25</v>
      </c>
      <c r="B117" s="246" t="s">
        <v>25</v>
      </c>
      <c r="C117" s="125" t="s">
        <v>614</v>
      </c>
      <c r="D117" s="125" t="s">
        <v>615</v>
      </c>
      <c r="E117" s="125" t="s">
        <v>616</v>
      </c>
      <c r="F117" s="125">
        <v>161975374</v>
      </c>
      <c r="G117" s="125">
        <v>595066010</v>
      </c>
      <c r="H117" s="124">
        <v>5.8400670000000003</v>
      </c>
      <c r="I117" s="124">
        <v>-5.3478589999999997</v>
      </c>
      <c r="J117" s="124" t="s">
        <v>189</v>
      </c>
      <c r="K117" s="124" t="s">
        <v>190</v>
      </c>
      <c r="L117" s="126" t="s">
        <v>642</v>
      </c>
      <c r="M117" s="296" t="s">
        <v>649</v>
      </c>
      <c r="N117" s="296">
        <v>2150011977</v>
      </c>
      <c r="O117" s="128">
        <v>45692</v>
      </c>
      <c r="P117" s="124"/>
      <c r="Q117" s="128">
        <v>45695</v>
      </c>
      <c r="R117" s="124" t="s">
        <v>30</v>
      </c>
      <c r="S117" s="124"/>
      <c r="T117" s="124">
        <v>3</v>
      </c>
      <c r="U117" s="295">
        <v>45710</v>
      </c>
      <c r="V117" s="124" t="s">
        <v>310</v>
      </c>
      <c r="W117" s="124">
        <v>200</v>
      </c>
      <c r="X117" s="124" t="s">
        <v>32</v>
      </c>
      <c r="Y117" s="124" t="s">
        <v>245</v>
      </c>
      <c r="Z117" s="124"/>
      <c r="AA117" s="124" t="s">
        <v>532</v>
      </c>
      <c r="AB117" s="124" t="s">
        <v>16</v>
      </c>
      <c r="AC117" s="124" t="s">
        <v>640</v>
      </c>
    </row>
    <row r="118" spans="1:29" s="610" customFormat="1" ht="15" hidden="1" customHeight="1">
      <c r="A118" s="246" t="s">
        <v>25</v>
      </c>
      <c r="B118" s="246" t="s">
        <v>25</v>
      </c>
      <c r="C118" s="125" t="s">
        <v>617</v>
      </c>
      <c r="D118" s="125" t="s">
        <v>618</v>
      </c>
      <c r="E118" s="125" t="s">
        <v>35</v>
      </c>
      <c r="F118" s="125">
        <v>151225122</v>
      </c>
      <c r="G118" s="125">
        <v>505964005</v>
      </c>
      <c r="H118" s="124">
        <v>5.8401560000000003</v>
      </c>
      <c r="I118" s="124">
        <v>-5.35839</v>
      </c>
      <c r="J118" s="126" t="s">
        <v>36</v>
      </c>
      <c r="K118" s="124" t="s">
        <v>190</v>
      </c>
      <c r="L118" s="124" t="s">
        <v>639</v>
      </c>
      <c r="M118" s="296" t="s">
        <v>652</v>
      </c>
      <c r="N118" s="296">
        <v>2150011961</v>
      </c>
      <c r="O118" s="128">
        <v>45694</v>
      </c>
      <c r="P118" s="124"/>
      <c r="Q118" s="128">
        <v>45695</v>
      </c>
      <c r="R118" s="124" t="s">
        <v>30</v>
      </c>
      <c r="S118" s="124"/>
      <c r="T118" s="124"/>
      <c r="U118" s="295">
        <v>45710</v>
      </c>
      <c r="V118" s="124" t="s">
        <v>310</v>
      </c>
      <c r="W118" s="124">
        <v>150</v>
      </c>
      <c r="X118" s="124" t="s">
        <v>32</v>
      </c>
      <c r="Y118" s="124" t="s">
        <v>245</v>
      </c>
      <c r="Z118" s="167"/>
      <c r="AA118" s="167" t="s">
        <v>532</v>
      </c>
      <c r="AB118" s="167" t="s">
        <v>16</v>
      </c>
      <c r="AC118" s="167" t="s">
        <v>768</v>
      </c>
    </row>
    <row r="119" spans="1:29" s="610" customFormat="1" ht="15" hidden="1" customHeight="1">
      <c r="A119" s="246" t="s">
        <v>25</v>
      </c>
      <c r="B119" s="246" t="s">
        <v>25</v>
      </c>
      <c r="C119" s="125" t="s">
        <v>430</v>
      </c>
      <c r="D119" s="125" t="s">
        <v>431</v>
      </c>
      <c r="E119" s="125" t="s">
        <v>41</v>
      </c>
      <c r="F119" s="125">
        <v>757056590</v>
      </c>
      <c r="G119" s="125">
        <v>585127664</v>
      </c>
      <c r="H119" s="124">
        <v>5.8421320000000003</v>
      </c>
      <c r="I119" s="124">
        <v>-5.3518210000000002</v>
      </c>
      <c r="J119" s="124" t="s">
        <v>189</v>
      </c>
      <c r="K119" s="124" t="s">
        <v>203</v>
      </c>
      <c r="L119" s="124" t="s">
        <v>450</v>
      </c>
      <c r="M119" s="296" t="s">
        <v>653</v>
      </c>
      <c r="N119" s="296">
        <v>2150011981</v>
      </c>
      <c r="O119" s="128">
        <v>45696</v>
      </c>
      <c r="P119" s="331">
        <f ca="1">TODAY()-Q119</f>
        <v>371</v>
      </c>
      <c r="Q119" s="128">
        <v>45698</v>
      </c>
      <c r="R119" s="124" t="s">
        <v>30</v>
      </c>
      <c r="S119" s="124"/>
      <c r="T119" s="124">
        <v>1</v>
      </c>
      <c r="U119" s="295">
        <v>45710</v>
      </c>
      <c r="V119" s="124" t="s">
        <v>310</v>
      </c>
      <c r="W119" s="124">
        <v>200</v>
      </c>
      <c r="X119" s="130" t="s">
        <v>32</v>
      </c>
      <c r="Y119" s="124" t="s">
        <v>245</v>
      </c>
      <c r="Z119" s="173"/>
      <c r="AA119" s="167" t="s">
        <v>532</v>
      </c>
      <c r="AB119" s="300" t="s">
        <v>16</v>
      </c>
      <c r="AC119" s="167" t="s">
        <v>767</v>
      </c>
    </row>
    <row r="120" spans="1:29" s="610" customFormat="1" ht="15" hidden="1" customHeight="1">
      <c r="A120" s="246" t="s">
        <v>25</v>
      </c>
      <c r="B120" s="246" t="s">
        <v>25</v>
      </c>
      <c r="C120" s="126" t="s">
        <v>636</v>
      </c>
      <c r="D120" s="126" t="s">
        <v>637</v>
      </c>
      <c r="E120" s="126" t="s">
        <v>35</v>
      </c>
      <c r="F120" s="126">
        <v>102501372</v>
      </c>
      <c r="G120" s="126">
        <v>101769623</v>
      </c>
      <c r="H120" s="124">
        <v>5.8394839999999997</v>
      </c>
      <c r="I120" s="124">
        <v>-5.356636</v>
      </c>
      <c r="J120" s="124" t="s">
        <v>36</v>
      </c>
      <c r="K120" s="124" t="s">
        <v>190</v>
      </c>
      <c r="L120" s="124" t="s">
        <v>94</v>
      </c>
      <c r="M120" s="296" t="s">
        <v>656</v>
      </c>
      <c r="N120" s="296">
        <v>2150012008</v>
      </c>
      <c r="O120" s="141">
        <v>45707</v>
      </c>
      <c r="P120" s="141"/>
      <c r="Q120" s="141">
        <v>45708</v>
      </c>
      <c r="R120" s="124" t="s">
        <v>30</v>
      </c>
      <c r="S120" s="124"/>
      <c r="T120" s="124"/>
      <c r="U120" s="295">
        <v>45710</v>
      </c>
      <c r="V120" s="124" t="s">
        <v>310</v>
      </c>
      <c r="W120" s="124">
        <v>250</v>
      </c>
      <c r="X120" s="130" t="s">
        <v>32</v>
      </c>
      <c r="Y120" s="124" t="s">
        <v>245</v>
      </c>
      <c r="Z120" s="173"/>
      <c r="AA120" s="167" t="s">
        <v>532</v>
      </c>
      <c r="AB120" s="300" t="s">
        <v>16</v>
      </c>
      <c r="AC120" s="167" t="s">
        <v>766</v>
      </c>
    </row>
    <row r="121" spans="1:29" s="610" customFormat="1" ht="15" hidden="1" customHeight="1">
      <c r="A121" s="246" t="s">
        <v>25</v>
      </c>
      <c r="B121" s="246" t="s">
        <v>25</v>
      </c>
      <c r="C121" s="126" t="s">
        <v>632</v>
      </c>
      <c r="D121" s="126" t="s">
        <v>633</v>
      </c>
      <c r="E121" s="126" t="s">
        <v>35</v>
      </c>
      <c r="F121" s="126">
        <v>710147366</v>
      </c>
      <c r="G121" s="126">
        <v>585402698</v>
      </c>
      <c r="H121" s="124">
        <v>5.8377619999999997</v>
      </c>
      <c r="I121" s="124">
        <v>-5.3592829999999996</v>
      </c>
      <c r="J121" s="124" t="s">
        <v>36</v>
      </c>
      <c r="K121" s="124" t="s">
        <v>190</v>
      </c>
      <c r="L121" s="124" t="s">
        <v>770</v>
      </c>
      <c r="M121" s="296" t="s">
        <v>655</v>
      </c>
      <c r="N121" s="296">
        <v>2150011982</v>
      </c>
      <c r="O121" s="141">
        <v>45707</v>
      </c>
      <c r="P121" s="141"/>
      <c r="Q121" s="141">
        <v>45708</v>
      </c>
      <c r="R121" s="124" t="s">
        <v>30</v>
      </c>
      <c r="S121" s="124"/>
      <c r="T121" s="124"/>
      <c r="U121" s="295">
        <v>45710</v>
      </c>
      <c r="V121" s="124" t="s">
        <v>310</v>
      </c>
      <c r="W121" s="124">
        <v>150</v>
      </c>
      <c r="X121" s="130" t="s">
        <v>32</v>
      </c>
      <c r="Y121" s="124" t="s">
        <v>245</v>
      </c>
      <c r="Z121" s="167"/>
      <c r="AA121" s="167" t="s">
        <v>532</v>
      </c>
      <c r="AB121" s="167" t="s">
        <v>16</v>
      </c>
      <c r="AC121" s="167" t="s">
        <v>689</v>
      </c>
    </row>
    <row r="122" spans="1:29" s="610" customFormat="1" ht="15" hidden="1" customHeight="1">
      <c r="A122" s="246" t="s">
        <v>25</v>
      </c>
      <c r="B122" s="246" t="s">
        <v>25</v>
      </c>
      <c r="C122" s="126" t="s">
        <v>629</v>
      </c>
      <c r="D122" s="126" t="s">
        <v>630</v>
      </c>
      <c r="E122" s="126" t="s">
        <v>631</v>
      </c>
      <c r="F122" s="126">
        <v>173771927</v>
      </c>
      <c r="G122" s="126">
        <v>505761914</v>
      </c>
      <c r="H122" s="124">
        <v>5.8471019999999996</v>
      </c>
      <c r="I122" s="124">
        <v>-5.3567330000000002</v>
      </c>
      <c r="J122" s="124" t="s">
        <v>189</v>
      </c>
      <c r="K122" s="124" t="s">
        <v>203</v>
      </c>
      <c r="L122" s="124" t="s">
        <v>495</v>
      </c>
      <c r="M122" s="296" t="s">
        <v>654</v>
      </c>
      <c r="N122" s="296">
        <v>2150011980</v>
      </c>
      <c r="O122" s="141">
        <v>45707</v>
      </c>
      <c r="P122" s="141"/>
      <c r="Q122" s="141">
        <v>45708</v>
      </c>
      <c r="R122" s="124" t="s">
        <v>30</v>
      </c>
      <c r="S122" s="124"/>
      <c r="T122" s="124"/>
      <c r="U122" s="295">
        <v>45710</v>
      </c>
      <c r="V122" s="124" t="s">
        <v>310</v>
      </c>
      <c r="W122" s="124">
        <v>150</v>
      </c>
      <c r="X122" s="130" t="s">
        <v>32</v>
      </c>
      <c r="Y122" s="124" t="s">
        <v>245</v>
      </c>
      <c r="Z122" s="167"/>
      <c r="AA122" s="167" t="s">
        <v>532</v>
      </c>
      <c r="AB122" s="167" t="s">
        <v>16</v>
      </c>
      <c r="AC122" s="167" t="s">
        <v>659</v>
      </c>
    </row>
    <row r="123" spans="1:29" s="610" customFormat="1" ht="15" hidden="1" customHeight="1">
      <c r="A123" s="246" t="s">
        <v>25</v>
      </c>
      <c r="B123" s="246" t="s">
        <v>25</v>
      </c>
      <c r="C123" s="217" t="s">
        <v>108</v>
      </c>
      <c r="D123" s="217" t="s">
        <v>109</v>
      </c>
      <c r="E123" s="217" t="s">
        <v>110</v>
      </c>
      <c r="F123" s="217">
        <v>141170823</v>
      </c>
      <c r="G123" s="217">
        <v>141170823</v>
      </c>
      <c r="H123" s="217">
        <v>5.843769</v>
      </c>
      <c r="I123" s="217">
        <v>-5.3418840000000003</v>
      </c>
      <c r="J123" s="167" t="s">
        <v>189</v>
      </c>
      <c r="K123" s="218" t="s">
        <v>198</v>
      </c>
      <c r="L123" s="167" t="s">
        <v>283</v>
      </c>
      <c r="M123" s="298" t="s">
        <v>674</v>
      </c>
      <c r="N123" s="298">
        <v>2150012007</v>
      </c>
      <c r="O123" s="218">
        <v>45686</v>
      </c>
      <c r="P123" s="332">
        <f ca="1">TODAY()-Q123</f>
        <v>382</v>
      </c>
      <c r="Q123" s="218">
        <v>45687</v>
      </c>
      <c r="R123" s="167" t="s">
        <v>30</v>
      </c>
      <c r="S123" s="167"/>
      <c r="T123" s="167"/>
      <c r="U123" s="299">
        <v>45712</v>
      </c>
      <c r="V123" s="167" t="s">
        <v>310</v>
      </c>
      <c r="W123" s="167">
        <v>250</v>
      </c>
      <c r="X123" s="167" t="s">
        <v>32</v>
      </c>
      <c r="Y123" s="167" t="s">
        <v>245</v>
      </c>
      <c r="Z123" s="167"/>
      <c r="AA123" s="167" t="s">
        <v>532</v>
      </c>
      <c r="AB123" s="167" t="s">
        <v>16</v>
      </c>
      <c r="AC123" s="167" t="s">
        <v>646</v>
      </c>
    </row>
    <row r="124" spans="1:29" s="595" customFormat="1" ht="15" hidden="1" customHeight="1">
      <c r="A124" s="246" t="s">
        <v>25</v>
      </c>
      <c r="B124" s="246" t="s">
        <v>25</v>
      </c>
      <c r="C124" s="217" t="s">
        <v>373</v>
      </c>
      <c r="D124" s="217" t="s">
        <v>374</v>
      </c>
      <c r="E124" s="217" t="s">
        <v>375</v>
      </c>
      <c r="F124" s="217">
        <v>173603033</v>
      </c>
      <c r="G124" s="217">
        <v>160598284</v>
      </c>
      <c r="H124" s="167">
        <v>5.8391979999999997</v>
      </c>
      <c r="I124" s="167">
        <v>-5.3647970000000003</v>
      </c>
      <c r="J124" s="167" t="s">
        <v>36</v>
      </c>
      <c r="K124" s="167" t="s">
        <v>203</v>
      </c>
      <c r="L124" s="167" t="s">
        <v>645</v>
      </c>
      <c r="M124" s="298" t="s">
        <v>675</v>
      </c>
      <c r="N124" s="298">
        <v>2150012005</v>
      </c>
      <c r="O124" s="218">
        <v>45693</v>
      </c>
      <c r="P124" s="300"/>
      <c r="Q124" s="218">
        <v>45694</v>
      </c>
      <c r="R124" s="167" t="s">
        <v>30</v>
      </c>
      <c r="S124" s="167"/>
      <c r="T124" s="167">
        <v>1</v>
      </c>
      <c r="U124" s="299">
        <v>45712</v>
      </c>
      <c r="V124" s="167" t="s">
        <v>310</v>
      </c>
      <c r="W124" s="167">
        <v>150</v>
      </c>
      <c r="X124" s="173" t="s">
        <v>32</v>
      </c>
      <c r="Y124" s="167" t="s">
        <v>193</v>
      </c>
      <c r="Z124" s="67"/>
      <c r="AA124" s="67" t="s">
        <v>532</v>
      </c>
      <c r="AB124" s="67" t="s">
        <v>16</v>
      </c>
      <c r="AC124" s="67" t="s">
        <v>691</v>
      </c>
    </row>
    <row r="125" spans="1:29" s="595" customFormat="1" ht="15" hidden="1" customHeight="1">
      <c r="A125" s="246" t="s">
        <v>25</v>
      </c>
      <c r="B125" s="246" t="s">
        <v>25</v>
      </c>
      <c r="C125" s="217" t="s">
        <v>358</v>
      </c>
      <c r="D125" s="217" t="s">
        <v>359</v>
      </c>
      <c r="E125" s="217" t="s">
        <v>360</v>
      </c>
      <c r="F125" s="217">
        <v>101122696</v>
      </c>
      <c r="G125" s="217">
        <v>716479191</v>
      </c>
      <c r="H125" s="167">
        <v>5.8428300000000002</v>
      </c>
      <c r="I125" s="167">
        <v>-5.3416540000000001</v>
      </c>
      <c r="J125" s="167" t="s">
        <v>189</v>
      </c>
      <c r="K125" s="167" t="s">
        <v>274</v>
      </c>
      <c r="L125" s="167" t="s">
        <v>283</v>
      </c>
      <c r="M125" s="167" t="s">
        <v>688</v>
      </c>
      <c r="N125" s="167">
        <v>2150012010</v>
      </c>
      <c r="O125" s="218">
        <v>45692</v>
      </c>
      <c r="P125" s="332">
        <f ca="1">TODAY()-Q125</f>
        <v>375</v>
      </c>
      <c r="Q125" s="218">
        <v>45694</v>
      </c>
      <c r="R125" s="167" t="s">
        <v>30</v>
      </c>
      <c r="S125" s="167"/>
      <c r="T125" s="167"/>
      <c r="U125" s="299">
        <v>45712</v>
      </c>
      <c r="V125" s="167" t="s">
        <v>310</v>
      </c>
      <c r="W125" s="167">
        <v>120</v>
      </c>
      <c r="X125" s="173" t="s">
        <v>32</v>
      </c>
      <c r="Y125" s="167" t="s">
        <v>245</v>
      </c>
      <c r="Z125" s="67"/>
      <c r="AA125" s="67" t="s">
        <v>532</v>
      </c>
      <c r="AB125" s="67" t="s">
        <v>16</v>
      </c>
      <c r="AC125" s="67" t="s">
        <v>628</v>
      </c>
    </row>
    <row r="126" spans="1:29" s="595" customFormat="1" ht="15" hidden="1" customHeight="1">
      <c r="A126" s="246" t="s">
        <v>25</v>
      </c>
      <c r="B126" s="246" t="s">
        <v>25</v>
      </c>
      <c r="C126" s="166" t="s">
        <v>665</v>
      </c>
      <c r="D126" s="166" t="s">
        <v>666</v>
      </c>
      <c r="E126" s="166" t="s">
        <v>667</v>
      </c>
      <c r="F126" s="166">
        <v>151835453</v>
      </c>
      <c r="G126" s="166">
        <v>704154092</v>
      </c>
      <c r="H126" s="167">
        <v>5.8460960000000002</v>
      </c>
      <c r="I126" s="167">
        <v>-5.3562139999999996</v>
      </c>
      <c r="J126" s="167" t="s">
        <v>189</v>
      </c>
      <c r="K126" s="167" t="s">
        <v>203</v>
      </c>
      <c r="L126" s="167" t="s">
        <v>525</v>
      </c>
      <c r="M126" s="298" t="s">
        <v>678</v>
      </c>
      <c r="N126" s="298">
        <v>2150012000</v>
      </c>
      <c r="O126" s="170">
        <v>45709</v>
      </c>
      <c r="P126" s="170"/>
      <c r="Q126" s="170">
        <v>45710</v>
      </c>
      <c r="R126" s="167" t="s">
        <v>30</v>
      </c>
      <c r="S126" s="167"/>
      <c r="T126" s="167">
        <v>0</v>
      </c>
      <c r="U126" s="299">
        <v>45712</v>
      </c>
      <c r="V126" s="167" t="s">
        <v>310</v>
      </c>
      <c r="W126" s="167">
        <v>100</v>
      </c>
      <c r="X126" s="167" t="s">
        <v>32</v>
      </c>
      <c r="Y126" s="167" t="s">
        <v>696</v>
      </c>
      <c r="Z126" s="67"/>
      <c r="AA126" s="67" t="s">
        <v>532</v>
      </c>
      <c r="AB126" s="67" t="s">
        <v>16</v>
      </c>
      <c r="AC126" s="67" t="s">
        <v>660</v>
      </c>
    </row>
    <row r="127" spans="1:29" s="595" customFormat="1" ht="15" hidden="1" customHeight="1">
      <c r="A127" s="246" t="s">
        <v>25</v>
      </c>
      <c r="B127" s="246" t="s">
        <v>25</v>
      </c>
      <c r="C127" s="166" t="s">
        <v>668</v>
      </c>
      <c r="D127" s="166" t="s">
        <v>669</v>
      </c>
      <c r="E127" s="248" t="s">
        <v>402</v>
      </c>
      <c r="F127" s="166">
        <v>101084827</v>
      </c>
      <c r="G127" s="166">
        <v>778703043</v>
      </c>
      <c r="H127" s="167">
        <v>5.8430540000000004</v>
      </c>
      <c r="I127" s="167">
        <v>-5.3620340000000004</v>
      </c>
      <c r="J127" s="167" t="s">
        <v>673</v>
      </c>
      <c r="K127" s="167" t="s">
        <v>190</v>
      </c>
      <c r="L127" s="167" t="s">
        <v>765</v>
      </c>
      <c r="M127" s="298" t="s">
        <v>679</v>
      </c>
      <c r="N127" s="298">
        <v>2150012001</v>
      </c>
      <c r="O127" s="170">
        <v>45709</v>
      </c>
      <c r="P127" s="170"/>
      <c r="Q127" s="170">
        <v>45710</v>
      </c>
      <c r="R127" s="167" t="s">
        <v>30</v>
      </c>
      <c r="S127" s="167"/>
      <c r="T127" s="167">
        <v>2</v>
      </c>
      <c r="U127" s="299">
        <v>45712</v>
      </c>
      <c r="V127" s="167" t="s">
        <v>310</v>
      </c>
      <c r="W127" s="167">
        <v>250</v>
      </c>
      <c r="X127" s="167" t="s">
        <v>32</v>
      </c>
      <c r="Y127" s="167" t="s">
        <v>697</v>
      </c>
      <c r="Z127" s="67"/>
      <c r="AA127" s="67" t="s">
        <v>532</v>
      </c>
      <c r="AB127" s="67" t="s">
        <v>16</v>
      </c>
      <c r="AC127" s="67" t="s">
        <v>647</v>
      </c>
    </row>
    <row r="128" spans="1:29" s="613" customFormat="1" ht="15" hidden="1" customHeight="1">
      <c r="A128" s="246" t="s">
        <v>25</v>
      </c>
      <c r="B128" s="246" t="s">
        <v>25</v>
      </c>
      <c r="C128" s="256" t="s">
        <v>446</v>
      </c>
      <c r="D128" s="256" t="s">
        <v>447</v>
      </c>
      <c r="E128" s="256" t="s">
        <v>35</v>
      </c>
      <c r="F128" s="256">
        <v>171514874</v>
      </c>
      <c r="G128" s="256">
        <v>505642538</v>
      </c>
      <c r="H128" s="67">
        <v>5.8395429999999999</v>
      </c>
      <c r="I128" s="67">
        <v>-5.3581300000000001</v>
      </c>
      <c r="J128" s="67" t="s">
        <v>36</v>
      </c>
      <c r="K128" s="67" t="s">
        <v>190</v>
      </c>
      <c r="L128" s="67" t="s">
        <v>37</v>
      </c>
      <c r="M128" s="255" t="s">
        <v>535</v>
      </c>
      <c r="N128" s="255">
        <v>2150011963</v>
      </c>
      <c r="O128" s="257">
        <v>45698</v>
      </c>
      <c r="P128" s="333">
        <f ca="1">TODAY()-Q128</f>
        <v>370</v>
      </c>
      <c r="Q128" s="257">
        <v>45699</v>
      </c>
      <c r="R128" s="67" t="s">
        <v>30</v>
      </c>
      <c r="S128" s="67"/>
      <c r="T128" s="67">
        <v>3</v>
      </c>
      <c r="U128" s="254">
        <v>45713</v>
      </c>
      <c r="V128" s="67" t="s">
        <v>310</v>
      </c>
      <c r="W128" s="67">
        <v>100</v>
      </c>
      <c r="X128" s="72" t="s">
        <v>32</v>
      </c>
      <c r="Y128" s="67" t="s">
        <v>533</v>
      </c>
      <c r="Z128" s="2"/>
      <c r="AA128" s="2" t="s">
        <v>532</v>
      </c>
      <c r="AB128" s="2" t="s">
        <v>16</v>
      </c>
      <c r="AC128" s="2" t="s">
        <v>700</v>
      </c>
    </row>
    <row r="129" spans="1:29" s="613" customFormat="1" ht="15" hidden="1" customHeight="1">
      <c r="A129" s="246" t="s">
        <v>25</v>
      </c>
      <c r="B129" s="246" t="s">
        <v>25</v>
      </c>
      <c r="C129" s="67" t="s">
        <v>498</v>
      </c>
      <c r="D129" s="67" t="s">
        <v>499</v>
      </c>
      <c r="E129" s="67" t="s">
        <v>402</v>
      </c>
      <c r="F129" s="67">
        <v>140351095</v>
      </c>
      <c r="G129" s="67">
        <v>747280580</v>
      </c>
      <c r="H129" s="67">
        <v>5.842282</v>
      </c>
      <c r="I129" s="67">
        <v>-5.3651309999999999</v>
      </c>
      <c r="J129" s="66" t="s">
        <v>36</v>
      </c>
      <c r="K129" s="67" t="s">
        <v>190</v>
      </c>
      <c r="L129" s="67" t="s">
        <v>545</v>
      </c>
      <c r="M129" s="255" t="s">
        <v>591</v>
      </c>
      <c r="N129" s="255">
        <v>2150011993</v>
      </c>
      <c r="O129" s="254">
        <v>45700</v>
      </c>
      <c r="P129" s="333">
        <f ca="1">TODAY()-Q129</f>
        <v>368</v>
      </c>
      <c r="Q129" s="254">
        <v>45701</v>
      </c>
      <c r="R129" s="67" t="s">
        <v>30</v>
      </c>
      <c r="S129" s="67"/>
      <c r="T129" s="67">
        <v>4</v>
      </c>
      <c r="U129" s="254">
        <v>45713</v>
      </c>
      <c r="V129" s="67" t="s">
        <v>310</v>
      </c>
      <c r="W129" s="67">
        <v>300</v>
      </c>
      <c r="X129" s="72" t="s">
        <v>32</v>
      </c>
      <c r="Y129" s="67" t="s">
        <v>696</v>
      </c>
      <c r="Z129" s="2"/>
      <c r="AA129" s="2" t="s">
        <v>532</v>
      </c>
      <c r="AB129" s="2" t="s">
        <v>16</v>
      </c>
      <c r="AC129" s="2" t="s">
        <v>737</v>
      </c>
    </row>
    <row r="130" spans="1:29" s="613" customFormat="1" ht="15" hidden="1" customHeight="1">
      <c r="A130" s="246" t="s">
        <v>25</v>
      </c>
      <c r="B130" s="246" t="s">
        <v>25</v>
      </c>
      <c r="C130" s="66" t="s">
        <v>622</v>
      </c>
      <c r="D130" s="66" t="s">
        <v>623</v>
      </c>
      <c r="E130" s="66" t="s">
        <v>624</v>
      </c>
      <c r="F130" s="66">
        <v>101137352</v>
      </c>
      <c r="G130" s="66">
        <v>757026674</v>
      </c>
      <c r="H130" s="66">
        <v>5.8376809999999999</v>
      </c>
      <c r="I130" s="66">
        <v>-5.3472790000000003</v>
      </c>
      <c r="J130" s="66" t="s">
        <v>189</v>
      </c>
      <c r="K130" s="69" t="s">
        <v>190</v>
      </c>
      <c r="L130" s="256" t="s">
        <v>625</v>
      </c>
      <c r="M130" s="255" t="s">
        <v>648</v>
      </c>
      <c r="N130" s="255">
        <v>2150011986</v>
      </c>
      <c r="O130" s="69">
        <v>45707</v>
      </c>
      <c r="P130" s="67"/>
      <c r="Q130" s="69">
        <v>45707</v>
      </c>
      <c r="R130" s="67" t="s">
        <v>30</v>
      </c>
      <c r="S130" s="67"/>
      <c r="T130" s="67">
        <v>2</v>
      </c>
      <c r="U130" s="254">
        <v>45713</v>
      </c>
      <c r="V130" s="67" t="s">
        <v>310</v>
      </c>
      <c r="W130" s="67">
        <v>250</v>
      </c>
      <c r="X130" s="67" t="s">
        <v>32</v>
      </c>
      <c r="Y130" s="67" t="s">
        <v>193</v>
      </c>
      <c r="Z130" s="2"/>
      <c r="AA130" s="2" t="s">
        <v>532</v>
      </c>
      <c r="AB130" s="93" t="s">
        <v>16</v>
      </c>
      <c r="AC130" s="2" t="s">
        <v>694</v>
      </c>
    </row>
    <row r="131" spans="1:29" s="613" customFormat="1" ht="15" hidden="1" customHeight="1">
      <c r="A131" s="246" t="s">
        <v>25</v>
      </c>
      <c r="B131" s="246" t="s">
        <v>25</v>
      </c>
      <c r="C131" s="66" t="s">
        <v>683</v>
      </c>
      <c r="D131" s="66" t="s">
        <v>684</v>
      </c>
      <c r="E131" s="66" t="s">
        <v>685</v>
      </c>
      <c r="F131" s="66">
        <v>140023696</v>
      </c>
      <c r="G131" s="66">
        <v>749468187</v>
      </c>
      <c r="H131" s="67">
        <v>5.8445400000000003</v>
      </c>
      <c r="I131" s="67">
        <v>-5.3519160000000001</v>
      </c>
      <c r="J131" s="67" t="s">
        <v>189</v>
      </c>
      <c r="K131" s="67" t="s">
        <v>203</v>
      </c>
      <c r="L131" s="67" t="s">
        <v>280</v>
      </c>
      <c r="M131" s="255" t="s">
        <v>698</v>
      </c>
      <c r="N131" s="255">
        <v>2150012009</v>
      </c>
      <c r="O131" s="69">
        <v>45710</v>
      </c>
      <c r="P131" s="69"/>
      <c r="Q131" s="69">
        <v>45712</v>
      </c>
      <c r="R131" s="67" t="s">
        <v>30</v>
      </c>
      <c r="S131" s="67"/>
      <c r="T131" s="67"/>
      <c r="U131" s="254">
        <v>45713</v>
      </c>
      <c r="V131" s="67" t="s">
        <v>310</v>
      </c>
      <c r="W131" s="67">
        <v>150</v>
      </c>
      <c r="X131" s="72" t="s">
        <v>32</v>
      </c>
      <c r="Y131" s="67" t="s">
        <v>245</v>
      </c>
      <c r="Z131" s="12"/>
      <c r="AA131" s="2" t="s">
        <v>532</v>
      </c>
      <c r="AB131" s="2" t="s">
        <v>16</v>
      </c>
      <c r="AC131" s="2" t="s">
        <v>717</v>
      </c>
    </row>
    <row r="132" spans="1:29" s="597" customFormat="1" ht="15" hidden="1" customHeight="1">
      <c r="A132" s="246" t="s">
        <v>25</v>
      </c>
      <c r="B132" s="246" t="s">
        <v>25</v>
      </c>
      <c r="C132" s="2" t="s">
        <v>657</v>
      </c>
      <c r="D132" s="2" t="s">
        <v>221</v>
      </c>
      <c r="E132" s="2" t="s">
        <v>35</v>
      </c>
      <c r="F132" s="2">
        <v>554593244</v>
      </c>
      <c r="G132" s="2">
        <v>768817081</v>
      </c>
      <c r="H132" s="2">
        <v>5.8391650000000004</v>
      </c>
      <c r="I132" s="2">
        <v>-5.3571350000000004</v>
      </c>
      <c r="J132" s="2" t="s">
        <v>36</v>
      </c>
      <c r="K132" s="2" t="s">
        <v>190</v>
      </c>
      <c r="L132" s="2" t="s">
        <v>37</v>
      </c>
      <c r="M132" s="308" t="s">
        <v>677</v>
      </c>
      <c r="N132" s="308">
        <v>2150012004</v>
      </c>
      <c r="O132" s="309">
        <v>45708</v>
      </c>
      <c r="P132" s="309"/>
      <c r="Q132" s="309">
        <v>45709</v>
      </c>
      <c r="R132" s="2" t="s">
        <v>30</v>
      </c>
      <c r="S132" s="2"/>
      <c r="T132" s="2"/>
      <c r="U132" s="309">
        <v>45714</v>
      </c>
      <c r="V132" s="2" t="s">
        <v>310</v>
      </c>
      <c r="W132" s="2">
        <v>320</v>
      </c>
      <c r="X132" s="12" t="s">
        <v>32</v>
      </c>
      <c r="Y132" s="2" t="s">
        <v>578</v>
      </c>
      <c r="Z132" s="198"/>
      <c r="AA132" s="198" t="s">
        <v>532</v>
      </c>
      <c r="AB132" s="198" t="s">
        <v>16</v>
      </c>
      <c r="AC132" s="198"/>
    </row>
    <row r="133" spans="1:29" s="597" customFormat="1" ht="15" hidden="1" customHeight="1">
      <c r="A133" s="246" t="s">
        <v>25</v>
      </c>
      <c r="B133" s="246" t="s">
        <v>25</v>
      </c>
      <c r="C133" s="10" t="s">
        <v>662</v>
      </c>
      <c r="D133" s="10" t="s">
        <v>663</v>
      </c>
      <c r="E133" s="10" t="s">
        <v>664</v>
      </c>
      <c r="F133" s="10">
        <v>103003030</v>
      </c>
      <c r="G133" s="10">
        <v>707079575</v>
      </c>
      <c r="H133" s="2">
        <v>5.8320679999999996</v>
      </c>
      <c r="I133" s="2">
        <v>-5.3551719999999996</v>
      </c>
      <c r="J133" s="2" t="s">
        <v>36</v>
      </c>
      <c r="K133" s="2" t="s">
        <v>274</v>
      </c>
      <c r="L133" s="2" t="s">
        <v>538</v>
      </c>
      <c r="M133" s="308" t="s">
        <v>699</v>
      </c>
      <c r="N133" s="308">
        <v>2150012012</v>
      </c>
      <c r="O133" s="11">
        <v>45709</v>
      </c>
      <c r="P133" s="11"/>
      <c r="Q133" s="11">
        <v>45710</v>
      </c>
      <c r="R133" s="93" t="s">
        <v>30</v>
      </c>
      <c r="S133" s="2"/>
      <c r="T133" s="2"/>
      <c r="U133" s="309">
        <v>45714</v>
      </c>
      <c r="V133" s="2" t="s">
        <v>310</v>
      </c>
      <c r="W133" s="2">
        <v>150</v>
      </c>
      <c r="X133" s="12" t="s">
        <v>32</v>
      </c>
      <c r="Y133" s="2" t="s">
        <v>228</v>
      </c>
      <c r="Z133" s="198"/>
      <c r="AA133" s="198" t="s">
        <v>532</v>
      </c>
      <c r="AB133" s="198" t="s">
        <v>16</v>
      </c>
      <c r="AC133" s="198" t="s">
        <v>527</v>
      </c>
    </row>
    <row r="134" spans="1:29" s="597" customFormat="1" ht="15" hidden="1" customHeight="1">
      <c r="A134" s="246" t="s">
        <v>25</v>
      </c>
      <c r="B134" s="246" t="s">
        <v>25</v>
      </c>
      <c r="C134" s="10" t="s">
        <v>680</v>
      </c>
      <c r="D134" s="10" t="s">
        <v>681</v>
      </c>
      <c r="E134" s="10" t="s">
        <v>682</v>
      </c>
      <c r="F134" s="10">
        <v>141487878</v>
      </c>
      <c r="G134" s="10">
        <v>707008640</v>
      </c>
      <c r="H134" s="2">
        <v>5.8470610000000001</v>
      </c>
      <c r="I134" s="2">
        <v>-5.3567039999999997</v>
      </c>
      <c r="J134" s="2" t="s">
        <v>189</v>
      </c>
      <c r="K134" s="2" t="s">
        <v>203</v>
      </c>
      <c r="L134" s="2" t="s">
        <v>495</v>
      </c>
      <c r="M134" s="2" t="s">
        <v>725</v>
      </c>
      <c r="N134" s="2">
        <v>2150012017</v>
      </c>
      <c r="O134" s="11">
        <v>45710</v>
      </c>
      <c r="P134" s="11"/>
      <c r="Q134" s="11">
        <v>45712</v>
      </c>
      <c r="R134" s="2" t="s">
        <v>30</v>
      </c>
      <c r="S134" s="2"/>
      <c r="T134" s="2">
        <v>1</v>
      </c>
      <c r="U134" s="309">
        <v>45714</v>
      </c>
      <c r="V134" s="2" t="s">
        <v>310</v>
      </c>
      <c r="W134" s="2">
        <v>150</v>
      </c>
      <c r="X134" s="12" t="s">
        <v>32</v>
      </c>
      <c r="Y134" s="2" t="s">
        <v>245</v>
      </c>
      <c r="Z134" s="198"/>
      <c r="AA134" s="198" t="s">
        <v>532</v>
      </c>
      <c r="AB134" s="198" t="s">
        <v>16</v>
      </c>
      <c r="AC134" s="198"/>
    </row>
    <row r="135" spans="1:29" s="597" customFormat="1" ht="15" hidden="1" customHeight="1">
      <c r="A135" s="246" t="s">
        <v>25</v>
      </c>
      <c r="B135" s="246" t="s">
        <v>25</v>
      </c>
      <c r="C135" s="262" t="s">
        <v>79</v>
      </c>
      <c r="D135" s="243" t="s">
        <v>80</v>
      </c>
      <c r="E135" s="262" t="s">
        <v>81</v>
      </c>
      <c r="F135" s="262">
        <v>707782318</v>
      </c>
      <c r="G135" s="262">
        <v>505637247</v>
      </c>
      <c r="H135" s="262">
        <v>5.8318719999999997</v>
      </c>
      <c r="I135" s="262">
        <v>-5.3616320000000002</v>
      </c>
      <c r="J135" s="303" t="s">
        <v>36</v>
      </c>
      <c r="K135" s="304" t="s">
        <v>198</v>
      </c>
      <c r="L135" s="198" t="s">
        <v>734</v>
      </c>
      <c r="M135" s="310" t="s">
        <v>732</v>
      </c>
      <c r="N135" s="310">
        <v>2150012016</v>
      </c>
      <c r="O135" s="335">
        <v>45685</v>
      </c>
      <c r="P135" s="250">
        <f ca="1">TODAY()-Q135</f>
        <v>383</v>
      </c>
      <c r="Q135" s="335">
        <v>45686</v>
      </c>
      <c r="R135" s="198" t="s">
        <v>30</v>
      </c>
      <c r="S135" s="198"/>
      <c r="T135" s="198"/>
      <c r="U135" s="335">
        <v>45715</v>
      </c>
      <c r="V135" s="198" t="s">
        <v>310</v>
      </c>
      <c r="W135" s="198"/>
      <c r="X135" s="198" t="s">
        <v>32</v>
      </c>
      <c r="Y135" s="198" t="s">
        <v>193</v>
      </c>
      <c r="Z135" s="198"/>
      <c r="AA135" s="198" t="s">
        <v>532</v>
      </c>
      <c r="AB135" s="198" t="s">
        <v>16</v>
      </c>
      <c r="AC135" s="198"/>
    </row>
    <row r="136" spans="1:29" s="597" customFormat="1" ht="15" hidden="1" customHeight="1">
      <c r="A136" s="246" t="s">
        <v>25</v>
      </c>
      <c r="B136" s="246" t="s">
        <v>25</v>
      </c>
      <c r="C136" s="198" t="s">
        <v>72</v>
      </c>
      <c r="D136" s="261" t="s">
        <v>73</v>
      </c>
      <c r="E136" s="198" t="s">
        <v>74</v>
      </c>
      <c r="F136" s="198">
        <v>709844981</v>
      </c>
      <c r="G136" s="198">
        <v>505866159</v>
      </c>
      <c r="H136" s="198"/>
      <c r="I136" s="198"/>
      <c r="J136" s="303" t="s">
        <v>36</v>
      </c>
      <c r="K136" s="304" t="s">
        <v>198</v>
      </c>
      <c r="L136" s="198" t="s">
        <v>734</v>
      </c>
      <c r="M136" s="310" t="s">
        <v>733</v>
      </c>
      <c r="N136" s="310">
        <v>2150011999</v>
      </c>
      <c r="O136" s="198" t="s">
        <v>75</v>
      </c>
      <c r="P136" s="250">
        <f ca="1">TODAY()-Q136</f>
        <v>383</v>
      </c>
      <c r="Q136" s="335">
        <v>45686</v>
      </c>
      <c r="R136" s="198" t="s">
        <v>30</v>
      </c>
      <c r="S136" s="198"/>
      <c r="T136" s="198"/>
      <c r="U136" s="335">
        <v>45715</v>
      </c>
      <c r="V136" s="198" t="s">
        <v>310</v>
      </c>
      <c r="W136" s="198"/>
      <c r="X136" s="198" t="s">
        <v>32</v>
      </c>
      <c r="Y136" s="198" t="s">
        <v>245</v>
      </c>
      <c r="Z136" s="198"/>
      <c r="AA136" s="198" t="s">
        <v>532</v>
      </c>
      <c r="AB136" s="198" t="s">
        <v>16</v>
      </c>
      <c r="AC136" s="198" t="s">
        <v>690</v>
      </c>
    </row>
    <row r="137" spans="1:29" s="597" customFormat="1" ht="15" hidden="1" customHeight="1">
      <c r="A137" s="246" t="s">
        <v>25</v>
      </c>
      <c r="B137" s="246" t="s">
        <v>25</v>
      </c>
      <c r="C137" s="262" t="s">
        <v>100</v>
      </c>
      <c r="D137" s="243" t="s">
        <v>80</v>
      </c>
      <c r="E137" s="262" t="s">
        <v>81</v>
      </c>
      <c r="F137" s="262">
        <v>707782310</v>
      </c>
      <c r="G137" s="262">
        <v>505637247</v>
      </c>
      <c r="H137" s="262">
        <v>5.8318719999999997</v>
      </c>
      <c r="I137" s="262">
        <v>-5.3616320000000002</v>
      </c>
      <c r="J137" s="303" t="s">
        <v>36</v>
      </c>
      <c r="K137" s="304" t="s">
        <v>198</v>
      </c>
      <c r="L137" s="198" t="s">
        <v>734</v>
      </c>
      <c r="M137" s="310" t="s">
        <v>731</v>
      </c>
      <c r="N137" s="310">
        <v>2150012018</v>
      </c>
      <c r="O137" s="304">
        <v>45685</v>
      </c>
      <c r="P137" s="250">
        <f ca="1">TODAY()-Q137</f>
        <v>382</v>
      </c>
      <c r="Q137" s="304">
        <v>45687</v>
      </c>
      <c r="R137" s="198" t="s">
        <v>30</v>
      </c>
      <c r="S137" s="198"/>
      <c r="T137" s="198"/>
      <c r="U137" s="335">
        <v>45715</v>
      </c>
      <c r="V137" s="198" t="s">
        <v>310</v>
      </c>
      <c r="W137" s="198"/>
      <c r="X137" s="198" t="s">
        <v>32</v>
      </c>
      <c r="Y137" s="198" t="s">
        <v>343</v>
      </c>
      <c r="Z137" s="198"/>
      <c r="AA137" s="198" t="s">
        <v>532</v>
      </c>
      <c r="AB137" s="198" t="s">
        <v>16</v>
      </c>
      <c r="AC137" s="198" t="s">
        <v>713</v>
      </c>
    </row>
    <row r="138" spans="1:29" s="597" customFormat="1" ht="15" hidden="1" customHeight="1">
      <c r="A138" s="246" t="s">
        <v>25</v>
      </c>
      <c r="B138" s="246" t="s">
        <v>25</v>
      </c>
      <c r="C138" s="198" t="s">
        <v>118</v>
      </c>
      <c r="D138" s="261" t="s">
        <v>119</v>
      </c>
      <c r="E138" s="198" t="s">
        <v>120</v>
      </c>
      <c r="F138" s="198">
        <v>102410347</v>
      </c>
      <c r="G138" s="198">
        <v>707607141</v>
      </c>
      <c r="H138" s="198">
        <v>5.8318719999999997</v>
      </c>
      <c r="I138" s="198">
        <v>-5.3616320000000002</v>
      </c>
      <c r="J138" s="198" t="s">
        <v>36</v>
      </c>
      <c r="K138" s="304" t="s">
        <v>198</v>
      </c>
      <c r="L138" s="198" t="s">
        <v>734</v>
      </c>
      <c r="M138" s="310" t="s">
        <v>730</v>
      </c>
      <c r="N138" s="310">
        <v>2150012014</v>
      </c>
      <c r="O138" s="335">
        <v>45686</v>
      </c>
      <c r="P138" s="250">
        <f ca="1">TODAY()-Q138</f>
        <v>382</v>
      </c>
      <c r="Q138" s="335">
        <v>45687</v>
      </c>
      <c r="R138" s="198" t="s">
        <v>30</v>
      </c>
      <c r="S138" s="198"/>
      <c r="T138" s="198"/>
      <c r="U138" s="335">
        <v>45715</v>
      </c>
      <c r="V138" s="198" t="s">
        <v>310</v>
      </c>
      <c r="W138" s="198"/>
      <c r="X138" s="198" t="s">
        <v>32</v>
      </c>
      <c r="Y138" s="198" t="s">
        <v>228</v>
      </c>
      <c r="Z138" s="198"/>
      <c r="AA138" s="198" t="s">
        <v>532</v>
      </c>
      <c r="AB138" s="198" t="s">
        <v>16</v>
      </c>
      <c r="AC138" s="198" t="s">
        <v>724</v>
      </c>
    </row>
    <row r="139" spans="1:29" s="597" customFormat="1" ht="15" hidden="1" customHeight="1">
      <c r="A139" s="246" t="s">
        <v>25</v>
      </c>
      <c r="B139" s="246" t="s">
        <v>25</v>
      </c>
      <c r="C139" s="303" t="s">
        <v>634</v>
      </c>
      <c r="D139" s="243" t="s">
        <v>635</v>
      </c>
      <c r="E139" s="303" t="s">
        <v>621</v>
      </c>
      <c r="F139" s="303">
        <v>101086214</v>
      </c>
      <c r="G139" s="303">
        <v>707288921</v>
      </c>
      <c r="H139" s="198">
        <v>5.8531279999999999</v>
      </c>
      <c r="I139" s="198">
        <v>-5.3513529999999996</v>
      </c>
      <c r="J139" s="198" t="s">
        <v>189</v>
      </c>
      <c r="K139" s="198" t="s">
        <v>198</v>
      </c>
      <c r="L139" s="198" t="s">
        <v>658</v>
      </c>
      <c r="M139" s="310" t="s">
        <v>676</v>
      </c>
      <c r="N139" s="310">
        <v>2150012006</v>
      </c>
      <c r="O139" s="334">
        <v>45707</v>
      </c>
      <c r="P139" s="334"/>
      <c r="Q139" s="334">
        <v>45708</v>
      </c>
      <c r="R139" s="198" t="s">
        <v>30</v>
      </c>
      <c r="S139" s="198"/>
      <c r="T139" s="198"/>
      <c r="U139" s="335">
        <v>45715</v>
      </c>
      <c r="V139" s="198" t="s">
        <v>310</v>
      </c>
      <c r="W139" s="198">
        <v>150</v>
      </c>
      <c r="X139" s="243" t="s">
        <v>32</v>
      </c>
      <c r="Y139" s="198" t="s">
        <v>193</v>
      </c>
      <c r="Z139" s="198"/>
      <c r="AA139" s="198" t="s">
        <v>532</v>
      </c>
      <c r="AB139" s="198" t="s">
        <v>16</v>
      </c>
      <c r="AC139" s="198" t="s">
        <v>714</v>
      </c>
    </row>
    <row r="140" spans="1:29" s="619" customFormat="1" ht="15" hidden="1" customHeight="1">
      <c r="A140" s="246" t="s">
        <v>25</v>
      </c>
      <c r="B140" s="246" t="s">
        <v>25</v>
      </c>
      <c r="C140" s="303" t="s">
        <v>670</v>
      </c>
      <c r="D140" s="243" t="s">
        <v>671</v>
      </c>
      <c r="E140" s="303" t="s">
        <v>667</v>
      </c>
      <c r="F140" s="303">
        <v>173821134</v>
      </c>
      <c r="G140" s="303">
        <v>574678146</v>
      </c>
      <c r="H140" s="198">
        <v>5.8480379999999998</v>
      </c>
      <c r="I140" s="198">
        <v>-5.35642</v>
      </c>
      <c r="J140" s="198" t="s">
        <v>189</v>
      </c>
      <c r="K140" s="198" t="s">
        <v>203</v>
      </c>
      <c r="L140" s="198" t="s">
        <v>672</v>
      </c>
      <c r="M140" s="310" t="s">
        <v>726</v>
      </c>
      <c r="N140" s="310">
        <v>2150012011</v>
      </c>
      <c r="O140" s="334">
        <v>45709</v>
      </c>
      <c r="P140" s="334"/>
      <c r="Q140" s="334">
        <v>45710</v>
      </c>
      <c r="R140" s="198" t="s">
        <v>30</v>
      </c>
      <c r="S140" s="198"/>
      <c r="T140" s="198">
        <v>1</v>
      </c>
      <c r="U140" s="335">
        <v>45715</v>
      </c>
      <c r="V140" s="198" t="s">
        <v>310</v>
      </c>
      <c r="W140" s="198">
        <v>250</v>
      </c>
      <c r="X140" s="243" t="s">
        <v>32</v>
      </c>
      <c r="Y140" s="198" t="s">
        <v>245</v>
      </c>
      <c r="Z140" s="336"/>
      <c r="AA140" s="336" t="s">
        <v>532</v>
      </c>
      <c r="AB140" s="336" t="s">
        <v>16</v>
      </c>
      <c r="AC140" s="336" t="s">
        <v>736</v>
      </c>
    </row>
    <row r="141" spans="1:29" s="608" customFormat="1" ht="15" hidden="1" customHeight="1">
      <c r="A141" s="246" t="s">
        <v>25</v>
      </c>
      <c r="B141" s="246" t="s">
        <v>25</v>
      </c>
      <c r="C141" s="303" t="s">
        <v>703</v>
      </c>
      <c r="D141" s="243" t="s">
        <v>704</v>
      </c>
      <c r="E141" s="303" t="s">
        <v>705</v>
      </c>
      <c r="F141" s="303">
        <v>172898944</v>
      </c>
      <c r="G141" s="303">
        <v>710530046</v>
      </c>
      <c r="H141" s="198">
        <v>5.8518949999999998</v>
      </c>
      <c r="I141" s="198">
        <v>-5.3487580000000001</v>
      </c>
      <c r="J141" s="198" t="s">
        <v>189</v>
      </c>
      <c r="K141" s="198" t="s">
        <v>198</v>
      </c>
      <c r="L141" s="198" t="s">
        <v>712</v>
      </c>
      <c r="M141" s="310" t="s">
        <v>727</v>
      </c>
      <c r="N141" s="310">
        <v>2150012002</v>
      </c>
      <c r="O141" s="334">
        <v>45712</v>
      </c>
      <c r="P141" s="334"/>
      <c r="Q141" s="334">
        <v>45713</v>
      </c>
      <c r="R141" s="198" t="s">
        <v>30</v>
      </c>
      <c r="S141" s="198"/>
      <c r="T141" s="198">
        <v>1</v>
      </c>
      <c r="U141" s="335">
        <v>45715</v>
      </c>
      <c r="V141" s="198" t="s">
        <v>310</v>
      </c>
      <c r="W141" s="198">
        <v>250</v>
      </c>
      <c r="X141" s="243" t="s">
        <v>32</v>
      </c>
      <c r="Y141" s="198" t="s">
        <v>193</v>
      </c>
      <c r="Z141" s="124"/>
      <c r="AA141" s="124" t="s">
        <v>532</v>
      </c>
      <c r="AB141" s="124" t="s">
        <v>16</v>
      </c>
      <c r="AC141" s="124" t="s">
        <v>857</v>
      </c>
    </row>
    <row r="142" spans="1:29" s="608" customFormat="1" ht="15" hidden="1" customHeight="1">
      <c r="A142" s="246" t="s">
        <v>25</v>
      </c>
      <c r="B142" s="246" t="s">
        <v>25</v>
      </c>
      <c r="C142" s="303" t="s">
        <v>706</v>
      </c>
      <c r="D142" s="303" t="s">
        <v>707</v>
      </c>
      <c r="E142" s="303" t="s">
        <v>110</v>
      </c>
      <c r="F142" s="303">
        <v>103747486</v>
      </c>
      <c r="G142" s="303">
        <v>709691911</v>
      </c>
      <c r="H142" s="198">
        <v>5.8414210000000004</v>
      </c>
      <c r="I142" s="198">
        <v>-5.3403720000000003</v>
      </c>
      <c r="J142" s="198" t="s">
        <v>189</v>
      </c>
      <c r="K142" s="198" t="s">
        <v>198</v>
      </c>
      <c r="L142" s="198" t="s">
        <v>715</v>
      </c>
      <c r="M142" s="310" t="s">
        <v>728</v>
      </c>
      <c r="N142" s="310">
        <v>2150012013</v>
      </c>
      <c r="O142" s="334">
        <v>45712</v>
      </c>
      <c r="P142" s="334"/>
      <c r="Q142" s="334">
        <v>45713</v>
      </c>
      <c r="R142" s="198" t="s">
        <v>30</v>
      </c>
      <c r="S142" s="198"/>
      <c r="T142" s="198">
        <v>4</v>
      </c>
      <c r="U142" s="335">
        <v>45715</v>
      </c>
      <c r="V142" s="198" t="s">
        <v>310</v>
      </c>
      <c r="W142" s="198">
        <v>450</v>
      </c>
      <c r="X142" s="243" t="s">
        <v>32</v>
      </c>
      <c r="Y142" s="198" t="s">
        <v>245</v>
      </c>
      <c r="Z142" s="124"/>
      <c r="AA142" s="124" t="s">
        <v>532</v>
      </c>
      <c r="AB142" s="124" t="s">
        <v>16</v>
      </c>
      <c r="AC142" s="124" t="s">
        <v>849</v>
      </c>
    </row>
    <row r="143" spans="1:29" s="602" customFormat="1" ht="15" hidden="1" customHeight="1">
      <c r="A143" s="246" t="s">
        <v>25</v>
      </c>
      <c r="B143" s="246" t="s">
        <v>25</v>
      </c>
      <c r="C143" s="337" t="s">
        <v>692</v>
      </c>
      <c r="D143" s="337" t="s">
        <v>693</v>
      </c>
      <c r="E143" s="337" t="s">
        <v>110</v>
      </c>
      <c r="F143" s="337">
        <v>789828821</v>
      </c>
      <c r="G143" s="336"/>
      <c r="H143" s="336">
        <v>5.8439329999999998</v>
      </c>
      <c r="I143" s="336">
        <v>-5.3470089999999999</v>
      </c>
      <c r="J143" s="336" t="s">
        <v>189</v>
      </c>
      <c r="K143" s="336" t="s">
        <v>198</v>
      </c>
      <c r="L143" s="336" t="s">
        <v>735</v>
      </c>
      <c r="M143" s="338" t="s">
        <v>853</v>
      </c>
      <c r="N143" s="338">
        <v>2150012026</v>
      </c>
      <c r="O143" s="339">
        <v>45712</v>
      </c>
      <c r="P143" s="339"/>
      <c r="Q143" s="339">
        <v>45712</v>
      </c>
      <c r="R143" s="336" t="s">
        <v>30</v>
      </c>
      <c r="S143" s="336"/>
      <c r="T143" s="336"/>
      <c r="U143" s="340">
        <v>45716</v>
      </c>
      <c r="V143" s="336" t="s">
        <v>310</v>
      </c>
      <c r="W143" s="336">
        <v>100</v>
      </c>
      <c r="X143" s="341" t="s">
        <v>32</v>
      </c>
      <c r="Y143" s="336" t="s">
        <v>193</v>
      </c>
      <c r="Z143" s="28"/>
      <c r="AA143" s="28" t="s">
        <v>532</v>
      </c>
      <c r="AB143" s="28" t="s">
        <v>16</v>
      </c>
      <c r="AC143" s="28" t="s">
        <v>840</v>
      </c>
    </row>
    <row r="144" spans="1:29" s="602" customFormat="1" ht="15" hidden="1" customHeight="1">
      <c r="A144" s="246" t="s">
        <v>25</v>
      </c>
      <c r="B144" s="246" t="s">
        <v>25</v>
      </c>
      <c r="C144" s="126" t="s">
        <v>719</v>
      </c>
      <c r="D144" s="126" t="s">
        <v>720</v>
      </c>
      <c r="E144" s="126" t="s">
        <v>289</v>
      </c>
      <c r="F144" s="126">
        <v>102851505</v>
      </c>
      <c r="G144" s="126">
        <v>141912910</v>
      </c>
      <c r="H144" s="124">
        <v>5.8389759999999997</v>
      </c>
      <c r="I144" s="124">
        <v>-5.3565480000000001</v>
      </c>
      <c r="J144" s="124" t="s">
        <v>36</v>
      </c>
      <c r="K144" s="124" t="s">
        <v>190</v>
      </c>
      <c r="L144" s="124" t="s">
        <v>537</v>
      </c>
      <c r="M144" s="296" t="s">
        <v>851</v>
      </c>
      <c r="N144" s="296">
        <v>2150012028</v>
      </c>
      <c r="O144" s="141">
        <v>45713</v>
      </c>
      <c r="P144" s="141"/>
      <c r="Q144" s="141">
        <v>45714</v>
      </c>
      <c r="R144" s="124" t="s">
        <v>30</v>
      </c>
      <c r="S144" s="124"/>
      <c r="T144" s="124"/>
      <c r="U144" s="295">
        <v>45716</v>
      </c>
      <c r="V144" s="124" t="s">
        <v>310</v>
      </c>
      <c r="W144" s="124">
        <v>300</v>
      </c>
      <c r="X144" s="130" t="s">
        <v>32</v>
      </c>
      <c r="Y144" s="124" t="s">
        <v>578</v>
      </c>
      <c r="Z144" s="28"/>
      <c r="AA144" s="28" t="s">
        <v>532</v>
      </c>
      <c r="AB144" s="28" t="s">
        <v>16</v>
      </c>
      <c r="AC144" s="28" t="s">
        <v>494</v>
      </c>
    </row>
    <row r="145" spans="1:29" s="602" customFormat="1" ht="15" hidden="1" customHeight="1">
      <c r="A145" s="246" t="s">
        <v>25</v>
      </c>
      <c r="B145" s="246" t="s">
        <v>25</v>
      </c>
      <c r="C145" s="126" t="s">
        <v>721</v>
      </c>
      <c r="D145" s="126" t="s">
        <v>722</v>
      </c>
      <c r="E145" s="126" t="s">
        <v>723</v>
      </c>
      <c r="F145" s="126">
        <v>565182046</v>
      </c>
      <c r="G145" s="126">
        <v>565182046</v>
      </c>
      <c r="H145" s="124">
        <v>5.8409149999999999</v>
      </c>
      <c r="I145" s="124">
        <v>-5.3579100000000004</v>
      </c>
      <c r="J145" s="124" t="s">
        <v>36</v>
      </c>
      <c r="K145" s="124" t="s">
        <v>190</v>
      </c>
      <c r="L145" s="124" t="s">
        <v>275</v>
      </c>
      <c r="M145" s="296" t="s">
        <v>855</v>
      </c>
      <c r="N145" s="296">
        <v>2150012003</v>
      </c>
      <c r="O145" s="141">
        <v>45713</v>
      </c>
      <c r="P145" s="141"/>
      <c r="Q145" s="141">
        <v>45714</v>
      </c>
      <c r="R145" s="124" t="s">
        <v>30</v>
      </c>
      <c r="S145" s="124"/>
      <c r="T145" s="124"/>
      <c r="U145" s="295">
        <v>45716</v>
      </c>
      <c r="V145" s="124" t="s">
        <v>310</v>
      </c>
      <c r="W145" s="124">
        <v>150</v>
      </c>
      <c r="X145" s="130" t="s">
        <v>32</v>
      </c>
      <c r="Y145" s="124" t="s">
        <v>343</v>
      </c>
      <c r="Z145" s="33"/>
      <c r="AA145" s="28" t="s">
        <v>532</v>
      </c>
      <c r="AB145" s="28" t="s">
        <v>16</v>
      </c>
      <c r="AC145" s="28" t="s">
        <v>839</v>
      </c>
    </row>
    <row r="146" spans="1:29" s="602" customFormat="1" ht="15" hidden="1" customHeight="1">
      <c r="A146" s="246" t="s">
        <v>25</v>
      </c>
      <c r="B146" s="246" t="s">
        <v>25</v>
      </c>
      <c r="C146" s="125" t="s">
        <v>843</v>
      </c>
      <c r="D146" s="125" t="s">
        <v>844</v>
      </c>
      <c r="E146" s="125" t="s">
        <v>845</v>
      </c>
      <c r="F146" s="125">
        <v>758790855</v>
      </c>
      <c r="G146" s="125">
        <v>709259292</v>
      </c>
      <c r="H146" s="124">
        <v>5.8381910000000001</v>
      </c>
      <c r="I146" s="124">
        <v>-5.3507369999999996</v>
      </c>
      <c r="J146" s="124" t="s">
        <v>189</v>
      </c>
      <c r="K146" s="124" t="s">
        <v>190</v>
      </c>
      <c r="L146" s="124" t="s">
        <v>279</v>
      </c>
      <c r="M146" s="296" t="s">
        <v>852</v>
      </c>
      <c r="N146" s="296">
        <v>2150012027</v>
      </c>
      <c r="O146" s="128">
        <v>45714</v>
      </c>
      <c r="P146" s="128"/>
      <c r="Q146" s="128">
        <v>45715</v>
      </c>
      <c r="R146" s="124" t="s">
        <v>30</v>
      </c>
      <c r="S146" s="124"/>
      <c r="T146" s="124"/>
      <c r="U146" s="295">
        <v>45716</v>
      </c>
      <c r="V146" s="124" t="s">
        <v>310</v>
      </c>
      <c r="W146" s="124">
        <v>250</v>
      </c>
      <c r="X146" s="130" t="s">
        <v>32</v>
      </c>
      <c r="Y146" s="124" t="s">
        <v>343</v>
      </c>
      <c r="Z146" s="33"/>
      <c r="AA146" s="28" t="s">
        <v>532</v>
      </c>
      <c r="AB146" s="28" t="s">
        <v>16</v>
      </c>
      <c r="AC146" s="28" t="s">
        <v>718</v>
      </c>
    </row>
    <row r="147" spans="1:29" ht="15" hidden="1" customHeight="1">
      <c r="A147" s="246" t="s">
        <v>25</v>
      </c>
      <c r="B147" s="246" t="s">
        <v>25</v>
      </c>
      <c r="C147" s="281" t="s">
        <v>90</v>
      </c>
      <c r="D147" s="281" t="s">
        <v>67</v>
      </c>
      <c r="E147" s="281" t="s">
        <v>81</v>
      </c>
      <c r="F147" s="281">
        <v>101074906</v>
      </c>
      <c r="G147" s="281">
        <v>708103359</v>
      </c>
      <c r="H147" s="281"/>
      <c r="I147" s="281"/>
      <c r="J147" s="23" t="s">
        <v>36</v>
      </c>
      <c r="K147" s="282" t="s">
        <v>198</v>
      </c>
      <c r="L147" s="28" t="s">
        <v>888</v>
      </c>
      <c r="M147" s="28" t="s">
        <v>887</v>
      </c>
      <c r="N147" s="28">
        <v>2150012022</v>
      </c>
      <c r="O147" s="282">
        <v>45686</v>
      </c>
      <c r="P147" s="327">
        <f ca="1">TODAY()-Q147</f>
        <v>382</v>
      </c>
      <c r="Q147" s="282">
        <v>45687</v>
      </c>
      <c r="R147" s="28" t="s">
        <v>30</v>
      </c>
      <c r="S147" s="28"/>
      <c r="T147" s="28"/>
      <c r="U147" s="284">
        <v>45717</v>
      </c>
      <c r="V147" s="28" t="s">
        <v>310</v>
      </c>
      <c r="W147" s="28">
        <v>300</v>
      </c>
      <c r="X147" s="28" t="s">
        <v>32</v>
      </c>
      <c r="Y147" s="28" t="s">
        <v>193</v>
      </c>
      <c r="Z147" s="246"/>
      <c r="AA147" s="246" t="s">
        <v>532</v>
      </c>
      <c r="AB147" s="246" t="s">
        <v>16</v>
      </c>
      <c r="AC147" s="246" t="s">
        <v>859</v>
      </c>
    </row>
    <row r="148" spans="1:29" ht="15" hidden="1" customHeight="1">
      <c r="A148" s="246" t="s">
        <v>25</v>
      </c>
      <c r="B148" s="246" t="s">
        <v>25</v>
      </c>
      <c r="C148" s="28" t="s">
        <v>560</v>
      </c>
      <c r="D148" s="28" t="s">
        <v>561</v>
      </c>
      <c r="E148" s="28" t="s">
        <v>145</v>
      </c>
      <c r="F148" s="28">
        <v>768466727</v>
      </c>
      <c r="G148" s="28">
        <v>768466727</v>
      </c>
      <c r="H148" s="28">
        <v>5.8410580000000003</v>
      </c>
      <c r="I148" s="28">
        <v>-5.3478960000000004</v>
      </c>
      <c r="J148" s="28" t="s">
        <v>189</v>
      </c>
      <c r="K148" s="28" t="s">
        <v>190</v>
      </c>
      <c r="L148" s="28" t="s">
        <v>94</v>
      </c>
      <c r="M148" s="283" t="s">
        <v>860</v>
      </c>
      <c r="N148" s="283">
        <v>2150012020</v>
      </c>
      <c r="O148" s="284">
        <v>45702</v>
      </c>
      <c r="P148" s="28"/>
      <c r="Q148" s="284">
        <v>45704</v>
      </c>
      <c r="R148" s="28" t="s">
        <v>30</v>
      </c>
      <c r="S148" s="28"/>
      <c r="T148" s="28">
        <v>1</v>
      </c>
      <c r="U148" s="284">
        <v>45717</v>
      </c>
      <c r="V148" s="28" t="s">
        <v>310</v>
      </c>
      <c r="W148" s="28">
        <v>200</v>
      </c>
      <c r="X148" s="33" t="s">
        <v>32</v>
      </c>
      <c r="Y148" s="28" t="s">
        <v>193</v>
      </c>
      <c r="Z148" s="246"/>
      <c r="AA148" s="246" t="s">
        <v>532</v>
      </c>
      <c r="AB148" s="246" t="s">
        <v>16</v>
      </c>
      <c r="AC148" s="246" t="s">
        <v>850</v>
      </c>
    </row>
    <row r="149" spans="1:29" ht="15" hidden="1" customHeight="1">
      <c r="A149" s="246" t="s">
        <v>25</v>
      </c>
      <c r="B149" s="246" t="s">
        <v>25</v>
      </c>
      <c r="C149" s="23" t="s">
        <v>710</v>
      </c>
      <c r="D149" s="23" t="s">
        <v>711</v>
      </c>
      <c r="E149" s="23" t="s">
        <v>35</v>
      </c>
      <c r="F149" s="23">
        <v>142073738</v>
      </c>
      <c r="G149" s="23">
        <v>546786535</v>
      </c>
      <c r="H149" s="28"/>
      <c r="I149" s="28"/>
      <c r="J149" s="28" t="s">
        <v>36</v>
      </c>
      <c r="K149" s="28" t="s">
        <v>198</v>
      </c>
      <c r="L149" s="28" t="s">
        <v>716</v>
      </c>
      <c r="M149" s="28" t="s">
        <v>889</v>
      </c>
      <c r="N149" s="28">
        <v>2150012021</v>
      </c>
      <c r="O149" s="30">
        <v>45712</v>
      </c>
      <c r="P149" s="30"/>
      <c r="Q149" s="30">
        <v>45713</v>
      </c>
      <c r="R149" s="28" t="s">
        <v>30</v>
      </c>
      <c r="S149" s="28"/>
      <c r="T149" s="28"/>
      <c r="U149" s="284">
        <v>45717</v>
      </c>
      <c r="V149" s="28" t="s">
        <v>310</v>
      </c>
      <c r="W149" s="28">
        <v>250</v>
      </c>
      <c r="X149" s="33" t="s">
        <v>32</v>
      </c>
      <c r="Y149" s="28" t="s">
        <v>228</v>
      </c>
      <c r="Z149" s="246"/>
      <c r="AA149" s="246" t="s">
        <v>532</v>
      </c>
      <c r="AB149" s="246" t="s">
        <v>16</v>
      </c>
      <c r="AC149" s="246" t="s">
        <v>892</v>
      </c>
    </row>
    <row r="150" spans="1:29" ht="15" hidden="1" customHeight="1">
      <c r="A150" s="246" t="s">
        <v>25</v>
      </c>
      <c r="B150" s="246" t="s">
        <v>25</v>
      </c>
      <c r="C150" s="23" t="s">
        <v>708</v>
      </c>
      <c r="D150" s="23" t="s">
        <v>709</v>
      </c>
      <c r="E150" s="23" t="s">
        <v>35</v>
      </c>
      <c r="F150" s="23">
        <v>504487377</v>
      </c>
      <c r="G150" s="23">
        <v>708481626</v>
      </c>
      <c r="H150" s="28">
        <v>5.8336300000000003</v>
      </c>
      <c r="I150" s="28">
        <v>-5.3598059999999998</v>
      </c>
      <c r="J150" s="28" t="s">
        <v>36</v>
      </c>
      <c r="K150" s="28" t="s">
        <v>198</v>
      </c>
      <c r="L150" s="28" t="s">
        <v>716</v>
      </c>
      <c r="M150" s="283" t="s">
        <v>729</v>
      </c>
      <c r="N150" s="283">
        <v>2150012015</v>
      </c>
      <c r="O150" s="30">
        <v>45712</v>
      </c>
      <c r="P150" s="30"/>
      <c r="Q150" s="30">
        <v>45713</v>
      </c>
      <c r="R150" s="28" t="s">
        <v>30</v>
      </c>
      <c r="S150" s="28"/>
      <c r="T150" s="28">
        <v>1</v>
      </c>
      <c r="U150" s="284">
        <v>45717</v>
      </c>
      <c r="V150" s="28" t="s">
        <v>310</v>
      </c>
      <c r="W150" s="28">
        <v>200</v>
      </c>
      <c r="X150" s="33" t="s">
        <v>32</v>
      </c>
      <c r="Y150" s="28" t="s">
        <v>193</v>
      </c>
      <c r="Z150" s="246"/>
      <c r="AA150" s="246" t="s">
        <v>532</v>
      </c>
      <c r="AB150" s="246" t="s">
        <v>16</v>
      </c>
      <c r="AC150" s="246" t="s">
        <v>897</v>
      </c>
    </row>
    <row r="151" spans="1:29" ht="15" hidden="1" customHeight="1">
      <c r="A151" s="246" t="s">
        <v>25</v>
      </c>
      <c r="B151" s="246" t="s">
        <v>25</v>
      </c>
      <c r="C151" s="329" t="s">
        <v>701</v>
      </c>
      <c r="D151" s="329" t="s">
        <v>702</v>
      </c>
      <c r="E151" s="329" t="s">
        <v>84</v>
      </c>
      <c r="F151" s="329">
        <v>170189897</v>
      </c>
      <c r="G151" s="329">
        <v>747068833</v>
      </c>
      <c r="H151" s="246">
        <v>5.837161</v>
      </c>
      <c r="I151" s="246">
        <v>-5.36442</v>
      </c>
      <c r="J151" s="246" t="s">
        <v>36</v>
      </c>
      <c r="K151" s="246" t="s">
        <v>203</v>
      </c>
      <c r="L151" s="246" t="s">
        <v>858</v>
      </c>
      <c r="M151" s="252" t="s">
        <v>854</v>
      </c>
      <c r="N151" s="252">
        <v>2150012025</v>
      </c>
      <c r="O151" s="330">
        <v>45712</v>
      </c>
      <c r="P151" s="330"/>
      <c r="Q151" s="330">
        <v>45713</v>
      </c>
      <c r="R151" s="246" t="s">
        <v>30</v>
      </c>
      <c r="S151" s="246"/>
      <c r="T151" s="246"/>
      <c r="U151" s="251">
        <v>45721</v>
      </c>
      <c r="V151" s="198" t="s">
        <v>310</v>
      </c>
      <c r="W151" s="246">
        <v>150</v>
      </c>
      <c r="X151" s="243" t="s">
        <v>32</v>
      </c>
      <c r="Y151" s="246" t="s">
        <v>193</v>
      </c>
      <c r="Z151" s="246"/>
      <c r="AA151" s="246" t="s">
        <v>532</v>
      </c>
      <c r="AB151" s="246" t="s">
        <v>16</v>
      </c>
      <c r="AC151" s="246" t="s">
        <v>918</v>
      </c>
    </row>
    <row r="152" spans="1:29" s="613" customFormat="1" ht="15" hidden="1" customHeight="1">
      <c r="A152" s="246" t="s">
        <v>25</v>
      </c>
      <c r="B152" s="246" t="s">
        <v>25</v>
      </c>
      <c r="C152" s="259" t="s">
        <v>841</v>
      </c>
      <c r="D152" s="259" t="s">
        <v>945</v>
      </c>
      <c r="E152" s="259" t="s">
        <v>842</v>
      </c>
      <c r="F152" s="259">
        <v>707408681</v>
      </c>
      <c r="G152" s="259">
        <v>707408681</v>
      </c>
      <c r="H152" s="246">
        <v>5.8437089999999996</v>
      </c>
      <c r="I152" s="246">
        <v>-5.3565649999999998</v>
      </c>
      <c r="J152" s="246" t="s">
        <v>189</v>
      </c>
      <c r="K152" s="246" t="s">
        <v>203</v>
      </c>
      <c r="L152" s="246" t="s">
        <v>525</v>
      </c>
      <c r="M152" s="252" t="s">
        <v>861</v>
      </c>
      <c r="N152" s="252">
        <v>2150012019</v>
      </c>
      <c r="O152" s="260">
        <v>45714</v>
      </c>
      <c r="P152" s="260"/>
      <c r="Q152" s="260">
        <v>45715</v>
      </c>
      <c r="R152" s="246" t="s">
        <v>30</v>
      </c>
      <c r="S152" s="246"/>
      <c r="T152" s="246">
        <v>2</v>
      </c>
      <c r="U152" s="251">
        <v>45721</v>
      </c>
      <c r="V152" s="198" t="s">
        <v>310</v>
      </c>
      <c r="W152" s="246">
        <v>200</v>
      </c>
      <c r="X152" s="243" t="s">
        <v>32</v>
      </c>
      <c r="Y152" s="246" t="s">
        <v>228</v>
      </c>
      <c r="Z152" s="2"/>
      <c r="AA152" s="2" t="s">
        <v>532</v>
      </c>
      <c r="AB152" s="2" t="s">
        <v>16</v>
      </c>
      <c r="AC152" s="2" t="s">
        <v>914</v>
      </c>
    </row>
    <row r="153" spans="1:29" s="613" customFormat="1" ht="15" hidden="1" customHeight="1">
      <c r="A153" s="246" t="s">
        <v>25</v>
      </c>
      <c r="B153" s="246" t="s">
        <v>25</v>
      </c>
      <c r="C153" s="259" t="s">
        <v>877</v>
      </c>
      <c r="D153" s="259" t="s">
        <v>878</v>
      </c>
      <c r="E153" s="259" t="s">
        <v>35</v>
      </c>
      <c r="F153" s="259">
        <v>150687545</v>
      </c>
      <c r="G153" s="259">
        <v>707477796</v>
      </c>
      <c r="H153" s="246">
        <v>5.840128</v>
      </c>
      <c r="I153" s="246">
        <v>-5.3580639999999997</v>
      </c>
      <c r="J153" s="329" t="s">
        <v>36</v>
      </c>
      <c r="K153" s="246" t="s">
        <v>190</v>
      </c>
      <c r="L153" s="246" t="s">
        <v>639</v>
      </c>
      <c r="M153" s="252" t="s">
        <v>930</v>
      </c>
      <c r="N153" s="252">
        <v>2150011791</v>
      </c>
      <c r="O153" s="260">
        <v>45716</v>
      </c>
      <c r="P153" s="246"/>
      <c r="Q153" s="260">
        <v>45717</v>
      </c>
      <c r="R153" s="246" t="s">
        <v>30</v>
      </c>
      <c r="S153" s="246"/>
      <c r="T153" s="246"/>
      <c r="U153" s="251">
        <v>45721</v>
      </c>
      <c r="V153" s="198" t="s">
        <v>310</v>
      </c>
      <c r="W153" s="246">
        <v>120</v>
      </c>
      <c r="X153" s="243" t="s">
        <v>32</v>
      </c>
      <c r="Y153" s="246" t="s">
        <v>245</v>
      </c>
      <c r="Z153" s="2"/>
      <c r="AA153" s="2" t="s">
        <v>532</v>
      </c>
      <c r="AB153" s="2" t="s">
        <v>16</v>
      </c>
      <c r="AC153" s="2" t="s">
        <v>891</v>
      </c>
    </row>
    <row r="154" spans="1:29" s="613" customFormat="1" ht="15" hidden="1" customHeight="1">
      <c r="A154" s="246" t="s">
        <v>25</v>
      </c>
      <c r="B154" s="246" t="s">
        <v>25</v>
      </c>
      <c r="C154" s="259" t="s">
        <v>879</v>
      </c>
      <c r="D154" s="259" t="s">
        <v>880</v>
      </c>
      <c r="E154" s="259" t="s">
        <v>874</v>
      </c>
      <c r="F154" s="259">
        <v>506188522</v>
      </c>
      <c r="G154" s="259">
        <v>787611084</v>
      </c>
      <c r="H154" s="246">
        <v>5.8311450000000002</v>
      </c>
      <c r="I154" s="246">
        <v>-5.3599589999999999</v>
      </c>
      <c r="J154" s="329" t="s">
        <v>36</v>
      </c>
      <c r="K154" s="246" t="s">
        <v>198</v>
      </c>
      <c r="L154" s="246" t="s">
        <v>896</v>
      </c>
      <c r="M154" s="252" t="s">
        <v>931</v>
      </c>
      <c r="N154" s="252">
        <v>2150012023</v>
      </c>
      <c r="O154" s="260">
        <v>45716</v>
      </c>
      <c r="P154" s="246"/>
      <c r="Q154" s="260">
        <v>45717</v>
      </c>
      <c r="R154" s="246" t="s">
        <v>30</v>
      </c>
      <c r="S154" s="246"/>
      <c r="T154" s="246"/>
      <c r="U154" s="251">
        <v>45721</v>
      </c>
      <c r="V154" s="198" t="s">
        <v>310</v>
      </c>
      <c r="W154" s="246">
        <v>150</v>
      </c>
      <c r="X154" s="243" t="s">
        <v>32</v>
      </c>
      <c r="Y154" s="246" t="s">
        <v>228</v>
      </c>
      <c r="Z154" s="2"/>
      <c r="AA154" s="2" t="s">
        <v>532</v>
      </c>
      <c r="AB154" s="2" t="s">
        <v>16</v>
      </c>
      <c r="AC154" s="2" t="s">
        <v>917</v>
      </c>
    </row>
    <row r="155" spans="1:29" s="613" customFormat="1" ht="15" hidden="1" customHeight="1">
      <c r="A155" s="246" t="s">
        <v>25</v>
      </c>
      <c r="B155" s="246" t="s">
        <v>25</v>
      </c>
      <c r="C155" s="329" t="s">
        <v>906</v>
      </c>
      <c r="D155" s="329" t="s">
        <v>907</v>
      </c>
      <c r="E155" s="329" t="s">
        <v>908</v>
      </c>
      <c r="F155" s="329">
        <v>102857401</v>
      </c>
      <c r="G155" s="329">
        <v>102857401</v>
      </c>
      <c r="H155" s="246">
        <v>5.8402200000000004</v>
      </c>
      <c r="I155" s="246">
        <v>-5.3580810000000003</v>
      </c>
      <c r="J155" s="329" t="s">
        <v>36</v>
      </c>
      <c r="K155" s="246" t="s">
        <v>190</v>
      </c>
      <c r="L155" s="246" t="s">
        <v>639</v>
      </c>
      <c r="M155" s="252" t="s">
        <v>934</v>
      </c>
      <c r="N155" s="252">
        <v>2150012031</v>
      </c>
      <c r="O155" s="330">
        <v>45719</v>
      </c>
      <c r="P155" s="330"/>
      <c r="Q155" s="260">
        <v>45720</v>
      </c>
      <c r="R155" s="246" t="s">
        <v>30</v>
      </c>
      <c r="S155" s="246"/>
      <c r="T155" s="246"/>
      <c r="U155" s="251">
        <v>45721</v>
      </c>
      <c r="V155" s="198" t="s">
        <v>310</v>
      </c>
      <c r="W155" s="246">
        <v>150</v>
      </c>
      <c r="X155" s="243" t="s">
        <v>32</v>
      </c>
      <c r="Y155" s="246" t="s">
        <v>245</v>
      </c>
      <c r="Z155" s="2"/>
      <c r="AA155" s="2" t="s">
        <v>532</v>
      </c>
      <c r="AB155" s="2" t="s">
        <v>16</v>
      </c>
      <c r="AC155" s="2" t="s">
        <v>898</v>
      </c>
    </row>
    <row r="156" spans="1:29" s="598" customFormat="1" ht="15" hidden="1" customHeight="1">
      <c r="A156" s="2" t="s">
        <v>25</v>
      </c>
      <c r="B156" s="246" t="s">
        <v>25</v>
      </c>
      <c r="C156" s="163" t="s">
        <v>356</v>
      </c>
      <c r="D156" s="163" t="s">
        <v>357</v>
      </c>
      <c r="E156" s="163" t="s">
        <v>84</v>
      </c>
      <c r="F156" s="163">
        <v>747704198</v>
      </c>
      <c r="G156" s="163">
        <v>140288193</v>
      </c>
      <c r="H156" s="2">
        <v>5.8418460000000003</v>
      </c>
      <c r="I156" s="2">
        <v>-5.363753</v>
      </c>
      <c r="J156" s="2" t="s">
        <v>36</v>
      </c>
      <c r="K156" s="2" t="s">
        <v>190</v>
      </c>
      <c r="L156" s="2" t="s">
        <v>410</v>
      </c>
      <c r="M156" s="308" t="s">
        <v>928</v>
      </c>
      <c r="N156" s="308">
        <v>2150011790</v>
      </c>
      <c r="O156" s="92">
        <v>45692</v>
      </c>
      <c r="P156" s="342">
        <f t="shared" ref="P156:P187" ca="1" si="3">TODAY()-Q156</f>
        <v>375</v>
      </c>
      <c r="Q156" s="92">
        <v>45694</v>
      </c>
      <c r="R156" s="2" t="s">
        <v>30</v>
      </c>
      <c r="S156" s="2"/>
      <c r="T156" s="2">
        <v>1</v>
      </c>
      <c r="U156" s="309">
        <v>45722</v>
      </c>
      <c r="V156" s="2" t="s">
        <v>310</v>
      </c>
      <c r="W156" s="2">
        <v>250</v>
      </c>
      <c r="X156" s="12" t="s">
        <v>32</v>
      </c>
      <c r="Y156" s="2" t="s">
        <v>228</v>
      </c>
      <c r="Z156" s="264"/>
      <c r="AA156" s="264" t="s">
        <v>532</v>
      </c>
      <c r="AB156" s="264" t="s">
        <v>16</v>
      </c>
      <c r="AC156" s="264" t="s">
        <v>948</v>
      </c>
    </row>
    <row r="157" spans="1:29" s="598" customFormat="1" ht="15" hidden="1" customHeight="1">
      <c r="A157" s="2" t="s">
        <v>25</v>
      </c>
      <c r="B157" s="246" t="s">
        <v>25</v>
      </c>
      <c r="C157" s="10" t="s">
        <v>883</v>
      </c>
      <c r="D157" s="10" t="s">
        <v>884</v>
      </c>
      <c r="E157" s="10" t="s">
        <v>885</v>
      </c>
      <c r="F157" s="10">
        <v>151589024</v>
      </c>
      <c r="G157" s="10">
        <v>709857220</v>
      </c>
      <c r="H157" s="2">
        <v>5.8428500000000003</v>
      </c>
      <c r="I157" s="2">
        <v>-5.3642300000000001</v>
      </c>
      <c r="J157" s="10" t="s">
        <v>36</v>
      </c>
      <c r="K157" s="2" t="s">
        <v>190</v>
      </c>
      <c r="L157" s="2" t="s">
        <v>423</v>
      </c>
      <c r="M157" s="308" t="s">
        <v>933</v>
      </c>
      <c r="N157" s="308">
        <v>2150012032</v>
      </c>
      <c r="O157" s="11">
        <v>45717</v>
      </c>
      <c r="P157" s="342">
        <f t="shared" ca="1" si="3"/>
        <v>352</v>
      </c>
      <c r="Q157" s="92">
        <v>45717</v>
      </c>
      <c r="R157" s="2" t="s">
        <v>30</v>
      </c>
      <c r="S157" s="2"/>
      <c r="T157" s="2">
        <v>0</v>
      </c>
      <c r="U157" s="309">
        <v>45722</v>
      </c>
      <c r="V157" s="2" t="s">
        <v>310</v>
      </c>
      <c r="W157" s="2">
        <v>150</v>
      </c>
      <c r="X157" s="12" t="s">
        <v>32</v>
      </c>
      <c r="Y157" s="2" t="s">
        <v>228</v>
      </c>
      <c r="Z157" s="264"/>
      <c r="AA157" s="264" t="s">
        <v>532</v>
      </c>
      <c r="AB157" s="264" t="s">
        <v>16</v>
      </c>
      <c r="AC157" s="264" t="s">
        <v>955</v>
      </c>
    </row>
    <row r="158" spans="1:29" s="598" customFormat="1" ht="15" hidden="1" customHeight="1">
      <c r="A158" s="2" t="s">
        <v>25</v>
      </c>
      <c r="B158" s="246" t="s">
        <v>25</v>
      </c>
      <c r="C158" s="163" t="s">
        <v>868</v>
      </c>
      <c r="D158" s="163" t="s">
        <v>869</v>
      </c>
      <c r="E158" s="163" t="s">
        <v>487</v>
      </c>
      <c r="F158" s="163">
        <v>748368887</v>
      </c>
      <c r="G158" s="163">
        <v>748368887</v>
      </c>
      <c r="H158" s="2">
        <v>5.8403809999999998</v>
      </c>
      <c r="I158" s="2">
        <v>-5.3565050000000003</v>
      </c>
      <c r="J158" s="10" t="s">
        <v>36</v>
      </c>
      <c r="K158" s="2" t="s">
        <v>190</v>
      </c>
      <c r="L158" s="2" t="s">
        <v>537</v>
      </c>
      <c r="M158" s="308" t="s">
        <v>929</v>
      </c>
      <c r="N158" s="308">
        <v>2150011789</v>
      </c>
      <c r="O158" s="92">
        <v>45716</v>
      </c>
      <c r="P158" s="342">
        <f t="shared" ca="1" si="3"/>
        <v>352</v>
      </c>
      <c r="Q158" s="92">
        <v>45717</v>
      </c>
      <c r="R158" s="2" t="s">
        <v>30</v>
      </c>
      <c r="S158" s="2"/>
      <c r="T158" s="2">
        <v>0</v>
      </c>
      <c r="U158" s="309">
        <v>45722</v>
      </c>
      <c r="V158" s="2" t="s">
        <v>310</v>
      </c>
      <c r="W158" s="2">
        <v>150</v>
      </c>
      <c r="X158" s="12" t="s">
        <v>32</v>
      </c>
      <c r="Y158" s="2" t="s">
        <v>343</v>
      </c>
      <c r="Z158" s="264"/>
      <c r="AA158" s="264" t="s">
        <v>532</v>
      </c>
      <c r="AB158" s="264" t="s">
        <v>16</v>
      </c>
      <c r="AC158" s="264" t="s">
        <v>975</v>
      </c>
    </row>
    <row r="159" spans="1:29" s="598" customFormat="1" ht="15" hidden="1" customHeight="1">
      <c r="A159" s="2" t="s">
        <v>25</v>
      </c>
      <c r="B159" s="246" t="s">
        <v>25</v>
      </c>
      <c r="C159" s="10" t="s">
        <v>881</v>
      </c>
      <c r="D159" s="10" t="s">
        <v>882</v>
      </c>
      <c r="E159" s="10" t="s">
        <v>84</v>
      </c>
      <c r="F159" s="10">
        <v>102433606</v>
      </c>
      <c r="G159" s="10">
        <v>757537075</v>
      </c>
      <c r="H159" s="2">
        <v>5.8376380000000001</v>
      </c>
      <c r="I159" s="2">
        <v>-5.3638839999999997</v>
      </c>
      <c r="J159" s="10" t="s">
        <v>36</v>
      </c>
      <c r="K159" s="2" t="s">
        <v>203</v>
      </c>
      <c r="L159" s="2" t="s">
        <v>858</v>
      </c>
      <c r="M159" s="308" t="s">
        <v>932</v>
      </c>
      <c r="N159" s="308">
        <v>2150011792</v>
      </c>
      <c r="O159" s="11">
        <v>45717</v>
      </c>
      <c r="P159" s="342">
        <f t="shared" ca="1" si="3"/>
        <v>352</v>
      </c>
      <c r="Q159" s="92">
        <v>45717</v>
      </c>
      <c r="R159" s="2" t="s">
        <v>30</v>
      </c>
      <c r="S159" s="2"/>
      <c r="T159" s="2">
        <v>0</v>
      </c>
      <c r="U159" s="309">
        <v>45722</v>
      </c>
      <c r="V159" s="2" t="s">
        <v>310</v>
      </c>
      <c r="W159" s="2">
        <v>180</v>
      </c>
      <c r="X159" s="12" t="s">
        <v>32</v>
      </c>
      <c r="Y159" s="2" t="s">
        <v>228</v>
      </c>
      <c r="Z159" s="264"/>
      <c r="AA159" s="264" t="s">
        <v>532</v>
      </c>
      <c r="AB159" s="264" t="s">
        <v>16</v>
      </c>
      <c r="AC159" s="264" t="s">
        <v>900</v>
      </c>
    </row>
    <row r="160" spans="1:29" s="598" customFormat="1" ht="15" hidden="1" customHeight="1">
      <c r="A160" s="264" t="s">
        <v>25</v>
      </c>
      <c r="B160" s="246" t="s">
        <v>25</v>
      </c>
      <c r="C160" s="305" t="s">
        <v>973</v>
      </c>
      <c r="D160" s="305" t="s">
        <v>201</v>
      </c>
      <c r="E160" s="305" t="s">
        <v>974</v>
      </c>
      <c r="F160" s="305">
        <v>757750137</v>
      </c>
      <c r="G160" s="305">
        <v>172622109</v>
      </c>
      <c r="H160" s="264">
        <v>5.8465530000000001</v>
      </c>
      <c r="I160" s="264">
        <v>-5.3499540000000003</v>
      </c>
      <c r="J160" s="264" t="s">
        <v>189</v>
      </c>
      <c r="K160" s="264" t="s">
        <v>274</v>
      </c>
      <c r="L160" s="264" t="s">
        <v>951</v>
      </c>
      <c r="M160" s="263" t="s">
        <v>992</v>
      </c>
      <c r="N160" s="263">
        <v>2150011795</v>
      </c>
      <c r="O160" s="307">
        <v>45684</v>
      </c>
      <c r="P160" s="313">
        <f t="shared" ca="1" si="3"/>
        <v>384</v>
      </c>
      <c r="Q160" s="307">
        <v>45685</v>
      </c>
      <c r="R160" s="264" t="s">
        <v>30</v>
      </c>
      <c r="S160" s="264"/>
      <c r="T160" s="264">
        <v>0</v>
      </c>
      <c r="U160" s="265">
        <v>45723</v>
      </c>
      <c r="V160" s="264" t="s">
        <v>310</v>
      </c>
      <c r="W160" s="264">
        <v>100</v>
      </c>
      <c r="X160" s="301" t="s">
        <v>32</v>
      </c>
      <c r="Y160" s="264" t="s">
        <v>228</v>
      </c>
      <c r="Z160" s="264"/>
      <c r="AA160" s="264" t="s">
        <v>532</v>
      </c>
      <c r="AB160" s="264" t="s">
        <v>16</v>
      </c>
      <c r="AC160" s="264" t="s">
        <v>954</v>
      </c>
    </row>
    <row r="161" spans="1:29" s="620" customFormat="1" ht="15" hidden="1" customHeight="1">
      <c r="A161" s="264" t="s">
        <v>25</v>
      </c>
      <c r="B161" s="246" t="s">
        <v>25</v>
      </c>
      <c r="C161" s="305" t="s">
        <v>361</v>
      </c>
      <c r="D161" s="305" t="s">
        <v>362</v>
      </c>
      <c r="E161" s="305" t="s">
        <v>363</v>
      </c>
      <c r="F161" s="305">
        <v>152345848</v>
      </c>
      <c r="G161" s="305">
        <v>9676584</v>
      </c>
      <c r="H161" s="264"/>
      <c r="I161" s="264"/>
      <c r="J161" s="306" t="s">
        <v>36</v>
      </c>
      <c r="K161" s="264" t="s">
        <v>198</v>
      </c>
      <c r="L161" s="264" t="s">
        <v>896</v>
      </c>
      <c r="M161" s="263" t="s">
        <v>958</v>
      </c>
      <c r="N161" s="263">
        <v>2150012034</v>
      </c>
      <c r="O161" s="307">
        <v>45692</v>
      </c>
      <c r="P161" s="313">
        <f t="shared" ca="1" si="3"/>
        <v>375</v>
      </c>
      <c r="Q161" s="307">
        <v>45694</v>
      </c>
      <c r="R161" s="264" t="s">
        <v>30</v>
      </c>
      <c r="S161" s="264"/>
      <c r="T161" s="264">
        <v>0</v>
      </c>
      <c r="U161" s="265">
        <v>45723</v>
      </c>
      <c r="V161" s="264" t="s">
        <v>310</v>
      </c>
      <c r="W161" s="264">
        <v>300</v>
      </c>
      <c r="X161" s="301" t="s">
        <v>32</v>
      </c>
      <c r="Y161" s="264" t="s">
        <v>193</v>
      </c>
      <c r="Z161" s="343"/>
      <c r="AA161" s="343" t="s">
        <v>532</v>
      </c>
      <c r="AB161" s="343" t="s">
        <v>16</v>
      </c>
      <c r="AC161" s="343" t="s">
        <v>895</v>
      </c>
    </row>
    <row r="162" spans="1:29" s="620" customFormat="1" ht="15" hidden="1" customHeight="1">
      <c r="A162" s="264" t="s">
        <v>25</v>
      </c>
      <c r="B162" s="246" t="s">
        <v>25</v>
      </c>
      <c r="C162" s="305" t="s">
        <v>395</v>
      </c>
      <c r="D162" s="305" t="s">
        <v>396</v>
      </c>
      <c r="E162" s="305" t="s">
        <v>117</v>
      </c>
      <c r="F162" s="305">
        <v>50424001</v>
      </c>
      <c r="G162" s="305">
        <v>708332616</v>
      </c>
      <c r="H162" s="264">
        <v>5.8469670000000002</v>
      </c>
      <c r="I162" s="264">
        <v>-5.354895</v>
      </c>
      <c r="J162" s="264" t="s">
        <v>189</v>
      </c>
      <c r="K162" s="264" t="s">
        <v>190</v>
      </c>
      <c r="L162" s="264" t="s">
        <v>899</v>
      </c>
      <c r="M162" s="264" t="s">
        <v>993</v>
      </c>
      <c r="N162" s="264">
        <v>2150011796</v>
      </c>
      <c r="O162" s="307">
        <v>45695</v>
      </c>
      <c r="P162" s="313">
        <f t="shared" ca="1" si="3"/>
        <v>373</v>
      </c>
      <c r="Q162" s="307">
        <v>45696</v>
      </c>
      <c r="R162" s="264" t="s">
        <v>30</v>
      </c>
      <c r="S162" s="264"/>
      <c r="T162" s="264">
        <v>1</v>
      </c>
      <c r="U162" s="265">
        <v>45723</v>
      </c>
      <c r="V162" s="264" t="s">
        <v>310</v>
      </c>
      <c r="W162" s="264">
        <v>110</v>
      </c>
      <c r="X162" s="301" t="s">
        <v>32</v>
      </c>
      <c r="Y162" s="264" t="s">
        <v>193</v>
      </c>
      <c r="Z162" s="343"/>
      <c r="AA162" s="343" t="s">
        <v>532</v>
      </c>
      <c r="AB162" s="343" t="s">
        <v>16</v>
      </c>
      <c r="AC162" s="343" t="s">
        <v>956</v>
      </c>
    </row>
    <row r="163" spans="1:29" s="620" customFormat="1" ht="15" hidden="1" customHeight="1">
      <c r="A163" s="264" t="s">
        <v>25</v>
      </c>
      <c r="B163" s="246" t="s">
        <v>25</v>
      </c>
      <c r="C163" s="305" t="s">
        <v>435</v>
      </c>
      <c r="D163" s="305" t="s">
        <v>436</v>
      </c>
      <c r="E163" s="305" t="s">
        <v>117</v>
      </c>
      <c r="F163" s="305">
        <v>103886060</v>
      </c>
      <c r="G163" s="305">
        <v>778183118</v>
      </c>
      <c r="H163" s="264"/>
      <c r="I163" s="264"/>
      <c r="J163" s="264" t="s">
        <v>189</v>
      </c>
      <c r="K163" s="264" t="s">
        <v>274</v>
      </c>
      <c r="L163" s="264" t="s">
        <v>951</v>
      </c>
      <c r="M163" s="263" t="s">
        <v>959</v>
      </c>
      <c r="N163" s="263">
        <v>2150012030</v>
      </c>
      <c r="O163" s="307">
        <v>45696</v>
      </c>
      <c r="P163" s="313">
        <f t="shared" ca="1" si="3"/>
        <v>371</v>
      </c>
      <c r="Q163" s="307">
        <v>45698</v>
      </c>
      <c r="R163" s="264" t="s">
        <v>30</v>
      </c>
      <c r="S163" s="264"/>
      <c r="T163" s="264">
        <v>0</v>
      </c>
      <c r="U163" s="265">
        <v>45723</v>
      </c>
      <c r="V163" s="264" t="s">
        <v>310</v>
      </c>
      <c r="W163" s="264">
        <v>300</v>
      </c>
      <c r="X163" s="301" t="s">
        <v>32</v>
      </c>
      <c r="Y163" s="264" t="s">
        <v>193</v>
      </c>
      <c r="Z163" s="343"/>
      <c r="AA163" s="343" t="s">
        <v>532</v>
      </c>
      <c r="AB163" s="343" t="s">
        <v>16</v>
      </c>
      <c r="AC163" s="343" t="s">
        <v>915</v>
      </c>
    </row>
    <row r="164" spans="1:29" s="620" customFormat="1" ht="18" hidden="1" customHeight="1">
      <c r="A164" s="264" t="s">
        <v>25</v>
      </c>
      <c r="B164" s="246" t="s">
        <v>25</v>
      </c>
      <c r="C164" s="306" t="s">
        <v>937</v>
      </c>
      <c r="D164" s="306" t="s">
        <v>938</v>
      </c>
      <c r="E164" s="306" t="s">
        <v>110</v>
      </c>
      <c r="F164" s="306">
        <v>707185854</v>
      </c>
      <c r="G164" s="306">
        <v>709690820</v>
      </c>
      <c r="H164" s="264">
        <v>5.8413870000000001</v>
      </c>
      <c r="I164" s="264">
        <v>-5.3405950000000004</v>
      </c>
      <c r="J164" s="306" t="s">
        <v>189</v>
      </c>
      <c r="K164" s="264" t="s">
        <v>274</v>
      </c>
      <c r="L164" s="264" t="s">
        <v>715</v>
      </c>
      <c r="M164" s="263" t="s">
        <v>949</v>
      </c>
      <c r="N164" s="263">
        <v>2150012029</v>
      </c>
      <c r="O164" s="314">
        <v>45720</v>
      </c>
      <c r="P164" s="313">
        <f t="shared" ca="1" si="3"/>
        <v>348</v>
      </c>
      <c r="Q164" s="314">
        <v>45721</v>
      </c>
      <c r="R164" s="264" t="s">
        <v>30</v>
      </c>
      <c r="S164" s="264"/>
      <c r="T164" s="264">
        <v>0</v>
      </c>
      <c r="U164" s="265">
        <v>45723</v>
      </c>
      <c r="V164" s="264" t="s">
        <v>310</v>
      </c>
      <c r="W164" s="264">
        <v>250</v>
      </c>
      <c r="X164" s="301" t="s">
        <v>32</v>
      </c>
      <c r="Y164" s="264" t="s">
        <v>245</v>
      </c>
      <c r="Z164" s="343"/>
      <c r="AA164" s="343" t="s">
        <v>532</v>
      </c>
      <c r="AB164" s="343" t="s">
        <v>16</v>
      </c>
      <c r="AC164" s="343"/>
    </row>
    <row r="165" spans="1:29" s="616" customFormat="1" ht="15" hidden="1" customHeight="1">
      <c r="A165" s="343" t="s">
        <v>25</v>
      </c>
      <c r="B165" s="246" t="s">
        <v>25</v>
      </c>
      <c r="C165" s="344" t="s">
        <v>332</v>
      </c>
      <c r="D165" s="344" t="s">
        <v>333</v>
      </c>
      <c r="E165" s="344" t="s">
        <v>334</v>
      </c>
      <c r="F165" s="344">
        <v>141389087</v>
      </c>
      <c r="G165" s="344">
        <v>707868267</v>
      </c>
      <c r="H165" s="343">
        <v>5.8328369999999996</v>
      </c>
      <c r="I165" s="343">
        <v>-5.3582939999999999</v>
      </c>
      <c r="J165" s="345" t="s">
        <v>36</v>
      </c>
      <c r="K165" s="343" t="s">
        <v>198</v>
      </c>
      <c r="L165" s="343" t="s">
        <v>950</v>
      </c>
      <c r="M165" s="343" t="s">
        <v>957</v>
      </c>
      <c r="N165" s="343">
        <v>2150011794</v>
      </c>
      <c r="O165" s="346">
        <v>45689</v>
      </c>
      <c r="P165" s="347">
        <f t="shared" ca="1" si="3"/>
        <v>376</v>
      </c>
      <c r="Q165" s="346">
        <v>45693</v>
      </c>
      <c r="R165" s="343" t="s">
        <v>30</v>
      </c>
      <c r="S165" s="344"/>
      <c r="T165" s="343">
        <v>0</v>
      </c>
      <c r="U165" s="348">
        <v>45724</v>
      </c>
      <c r="V165" s="343" t="s">
        <v>310</v>
      </c>
      <c r="W165" s="343">
        <v>200</v>
      </c>
      <c r="X165" s="349" t="s">
        <v>32</v>
      </c>
      <c r="Y165" s="343" t="s">
        <v>193</v>
      </c>
      <c r="Z165" s="42"/>
      <c r="AA165" s="42" t="s">
        <v>532</v>
      </c>
      <c r="AB165" s="42" t="s">
        <v>16</v>
      </c>
      <c r="AC165" s="42" t="s">
        <v>1001</v>
      </c>
    </row>
    <row r="166" spans="1:29" s="616" customFormat="1" ht="15" hidden="1" customHeight="1">
      <c r="A166" s="343" t="s">
        <v>25</v>
      </c>
      <c r="B166" s="246" t="s">
        <v>25</v>
      </c>
      <c r="C166" s="345" t="s">
        <v>454</v>
      </c>
      <c r="D166" s="345" t="s">
        <v>455</v>
      </c>
      <c r="E166" s="345" t="s">
        <v>84</v>
      </c>
      <c r="F166" s="345">
        <v>142946594</v>
      </c>
      <c r="G166" s="345">
        <v>757664993</v>
      </c>
      <c r="H166" s="345">
        <v>5.8342599999999996</v>
      </c>
      <c r="I166" s="343">
        <v>-5.3607100000000001</v>
      </c>
      <c r="J166" s="345" t="s">
        <v>36</v>
      </c>
      <c r="K166" s="346" t="s">
        <v>198</v>
      </c>
      <c r="L166" s="343" t="s">
        <v>952</v>
      </c>
      <c r="M166" s="350" t="s">
        <v>960</v>
      </c>
      <c r="N166" s="350">
        <v>2150012033</v>
      </c>
      <c r="O166" s="351">
        <v>45698</v>
      </c>
      <c r="P166" s="347">
        <f t="shared" ca="1" si="3"/>
        <v>370</v>
      </c>
      <c r="Q166" s="346">
        <v>45699</v>
      </c>
      <c r="R166" s="343" t="s">
        <v>30</v>
      </c>
      <c r="S166" s="343"/>
      <c r="T166" s="343">
        <v>0</v>
      </c>
      <c r="U166" s="348">
        <v>45724</v>
      </c>
      <c r="V166" s="343" t="s">
        <v>310</v>
      </c>
      <c r="W166" s="343">
        <v>150</v>
      </c>
      <c r="X166" s="349" t="s">
        <v>32</v>
      </c>
      <c r="Y166" s="343" t="s">
        <v>193</v>
      </c>
      <c r="Z166" s="42"/>
      <c r="AA166" s="42" t="s">
        <v>532</v>
      </c>
      <c r="AB166" s="42" t="s">
        <v>16</v>
      </c>
      <c r="AC166" s="42" t="s">
        <v>1052</v>
      </c>
    </row>
    <row r="167" spans="1:29" s="608" customFormat="1" ht="15" hidden="1" customHeight="1">
      <c r="A167" s="343" t="s">
        <v>25</v>
      </c>
      <c r="B167" s="246" t="s">
        <v>25</v>
      </c>
      <c r="C167" s="345" t="s">
        <v>886</v>
      </c>
      <c r="D167" s="345" t="s">
        <v>162</v>
      </c>
      <c r="E167" s="345" t="s">
        <v>240</v>
      </c>
      <c r="F167" s="345">
        <v>151437581</v>
      </c>
      <c r="G167" s="345">
        <v>748723737</v>
      </c>
      <c r="H167" s="343">
        <v>5.8307460000000004</v>
      </c>
      <c r="I167" s="343">
        <v>-5.3551770000000003</v>
      </c>
      <c r="J167" s="345" t="s">
        <v>36</v>
      </c>
      <c r="K167" s="343" t="s">
        <v>274</v>
      </c>
      <c r="L167" s="343" t="s">
        <v>538</v>
      </c>
      <c r="M167" s="350" t="s">
        <v>1019</v>
      </c>
      <c r="N167" s="350">
        <v>2150011799</v>
      </c>
      <c r="O167" s="351">
        <v>45717</v>
      </c>
      <c r="P167" s="347">
        <f t="shared" ca="1" si="3"/>
        <v>352</v>
      </c>
      <c r="Q167" s="346">
        <v>45717</v>
      </c>
      <c r="R167" s="343" t="s">
        <v>30</v>
      </c>
      <c r="S167" s="343"/>
      <c r="T167" s="343">
        <v>2</v>
      </c>
      <c r="U167" s="348">
        <v>45724</v>
      </c>
      <c r="V167" s="343" t="s">
        <v>310</v>
      </c>
      <c r="W167" s="343">
        <v>300</v>
      </c>
      <c r="X167" s="349" t="s">
        <v>32</v>
      </c>
      <c r="Y167" s="343" t="s">
        <v>245</v>
      </c>
      <c r="Z167" s="124"/>
      <c r="AA167" s="124" t="s">
        <v>532</v>
      </c>
      <c r="AB167" s="124" t="s">
        <v>16</v>
      </c>
      <c r="AC167" s="124" t="s">
        <v>1072</v>
      </c>
    </row>
    <row r="168" spans="1:29" s="608" customFormat="1" ht="15" hidden="1" customHeight="1">
      <c r="A168" s="343" t="s">
        <v>25</v>
      </c>
      <c r="B168" s="246" t="s">
        <v>25</v>
      </c>
      <c r="C168" s="344" t="s">
        <v>872</v>
      </c>
      <c r="D168" s="344" t="s">
        <v>873</v>
      </c>
      <c r="E168" s="344" t="s">
        <v>874</v>
      </c>
      <c r="F168" s="344">
        <v>101779020</v>
      </c>
      <c r="G168" s="344">
        <v>545485785</v>
      </c>
      <c r="H168" s="343">
        <v>5.8327980000000004</v>
      </c>
      <c r="I168" s="343">
        <v>-5.3598400000000002</v>
      </c>
      <c r="J168" s="345" t="s">
        <v>36</v>
      </c>
      <c r="K168" s="343" t="s">
        <v>198</v>
      </c>
      <c r="L168" s="343" t="s">
        <v>894</v>
      </c>
      <c r="M168" s="350" t="s">
        <v>991</v>
      </c>
      <c r="N168" s="350">
        <v>2150011794</v>
      </c>
      <c r="O168" s="346">
        <v>45716</v>
      </c>
      <c r="P168" s="347">
        <f t="shared" ca="1" si="3"/>
        <v>352</v>
      </c>
      <c r="Q168" s="346">
        <v>45717</v>
      </c>
      <c r="R168" s="343" t="s">
        <v>30</v>
      </c>
      <c r="S168" s="343"/>
      <c r="T168" s="343">
        <v>2</v>
      </c>
      <c r="U168" s="348">
        <v>45724</v>
      </c>
      <c r="V168" s="343" t="s">
        <v>310</v>
      </c>
      <c r="W168" s="343">
        <v>200</v>
      </c>
      <c r="X168" s="349" t="s">
        <v>32</v>
      </c>
      <c r="Y168" s="343" t="s">
        <v>193</v>
      </c>
      <c r="Z168" s="124"/>
      <c r="AA168" s="124" t="s">
        <v>532</v>
      </c>
      <c r="AB168" s="124" t="s">
        <v>16</v>
      </c>
      <c r="AC168" s="124" t="s">
        <v>1029</v>
      </c>
    </row>
    <row r="169" spans="1:29" s="608" customFormat="1" ht="15" hidden="1" customHeight="1">
      <c r="A169" s="42" t="s">
        <v>25</v>
      </c>
      <c r="B169" s="246" t="s">
        <v>25</v>
      </c>
      <c r="C169" s="25" t="s">
        <v>913</v>
      </c>
      <c r="D169" s="25" t="s">
        <v>99</v>
      </c>
      <c r="E169" s="25" t="s">
        <v>35</v>
      </c>
      <c r="F169" s="25">
        <v>140007760</v>
      </c>
      <c r="G169" s="25">
        <v>757747718</v>
      </c>
      <c r="H169" s="42">
        <v>5.8403739999999997</v>
      </c>
      <c r="I169" s="42">
        <v>-5.355302</v>
      </c>
      <c r="J169" s="25" t="s">
        <v>36</v>
      </c>
      <c r="K169" s="42" t="s">
        <v>190</v>
      </c>
      <c r="L169" s="42" t="s">
        <v>537</v>
      </c>
      <c r="M169" s="233" t="s">
        <v>1022</v>
      </c>
      <c r="N169" s="233">
        <v>2150011801</v>
      </c>
      <c r="O169" s="43">
        <v>45719</v>
      </c>
      <c r="P169" s="316">
        <f t="shared" ca="1" si="3"/>
        <v>349</v>
      </c>
      <c r="Q169" s="52">
        <v>45720</v>
      </c>
      <c r="R169" s="42" t="s">
        <v>30</v>
      </c>
      <c r="S169" s="42"/>
      <c r="T169" s="42">
        <v>1</v>
      </c>
      <c r="U169" s="315">
        <v>45726</v>
      </c>
      <c r="V169" s="42" t="s">
        <v>310</v>
      </c>
      <c r="W169" s="42">
        <v>200</v>
      </c>
      <c r="X169" s="46" t="s">
        <v>32</v>
      </c>
      <c r="Y169" s="42" t="s">
        <v>193</v>
      </c>
      <c r="Z169" s="124"/>
      <c r="AA169" s="124" t="s">
        <v>532</v>
      </c>
      <c r="AB169" s="124" t="s">
        <v>16</v>
      </c>
      <c r="AC169" s="124" t="s">
        <v>1069</v>
      </c>
    </row>
    <row r="170" spans="1:29" s="608" customFormat="1" ht="15" hidden="1" customHeight="1">
      <c r="A170" s="42" t="s">
        <v>25</v>
      </c>
      <c r="B170" s="246" t="s">
        <v>25</v>
      </c>
      <c r="C170" s="25" t="s">
        <v>984</v>
      </c>
      <c r="D170" s="25" t="s">
        <v>985</v>
      </c>
      <c r="E170" s="25" t="s">
        <v>621</v>
      </c>
      <c r="F170" s="25">
        <v>141606031</v>
      </c>
      <c r="G170" s="25">
        <v>575098706</v>
      </c>
      <c r="H170" s="42">
        <v>5.8501050000000001</v>
      </c>
      <c r="I170" s="42">
        <v>-5.3513080000000004</v>
      </c>
      <c r="J170" s="42" t="s">
        <v>189</v>
      </c>
      <c r="K170" s="42" t="s">
        <v>198</v>
      </c>
      <c r="L170" s="42" t="s">
        <v>1000</v>
      </c>
      <c r="M170" s="233" t="s">
        <v>1023</v>
      </c>
      <c r="N170" s="233">
        <v>2150011802</v>
      </c>
      <c r="O170" s="43">
        <v>45722</v>
      </c>
      <c r="P170" s="316">
        <f t="shared" ca="1" si="3"/>
        <v>347</v>
      </c>
      <c r="Q170" s="43">
        <v>45722</v>
      </c>
      <c r="R170" s="43" t="s">
        <v>30</v>
      </c>
      <c r="S170" s="42"/>
      <c r="T170" s="42">
        <v>0</v>
      </c>
      <c r="U170" s="315">
        <v>45726</v>
      </c>
      <c r="V170" s="42" t="s">
        <v>310</v>
      </c>
      <c r="W170" s="42">
        <v>200</v>
      </c>
      <c r="X170" s="46" t="s">
        <v>32</v>
      </c>
      <c r="Y170" s="42" t="s">
        <v>193</v>
      </c>
      <c r="Z170" s="124"/>
      <c r="AA170" s="124" t="s">
        <v>532</v>
      </c>
      <c r="AB170" s="124" t="s">
        <v>16</v>
      </c>
      <c r="AC170" s="124" t="s">
        <v>1070</v>
      </c>
    </row>
    <row r="171" spans="1:29" s="608" customFormat="1" ht="15" hidden="1" customHeight="1">
      <c r="A171" s="124" t="s">
        <v>25</v>
      </c>
      <c r="B171" s="124" t="s">
        <v>25</v>
      </c>
      <c r="C171" s="125" t="s">
        <v>865</v>
      </c>
      <c r="D171" s="125" t="s">
        <v>866</v>
      </c>
      <c r="E171" s="125" t="s">
        <v>867</v>
      </c>
      <c r="F171" s="125">
        <v>749453377</v>
      </c>
      <c r="G171" s="125">
        <v>749453377</v>
      </c>
      <c r="H171" s="124">
        <v>5.8402010000000004</v>
      </c>
      <c r="I171" s="124">
        <v>-5.3537610000000004</v>
      </c>
      <c r="J171" s="126" t="s">
        <v>189</v>
      </c>
      <c r="K171" s="124" t="s">
        <v>203</v>
      </c>
      <c r="L171" s="124" t="s">
        <v>322</v>
      </c>
      <c r="M171" s="296" t="s">
        <v>1018</v>
      </c>
      <c r="N171" s="296">
        <v>2150011798</v>
      </c>
      <c r="O171" s="128">
        <v>45716</v>
      </c>
      <c r="P171" s="331">
        <f t="shared" ca="1" si="3"/>
        <v>352</v>
      </c>
      <c r="Q171" s="128">
        <v>45717</v>
      </c>
      <c r="R171" s="124" t="s">
        <v>30</v>
      </c>
      <c r="S171" s="124"/>
      <c r="T171" s="124">
        <v>1</v>
      </c>
      <c r="U171" s="295">
        <v>45730</v>
      </c>
      <c r="V171" s="124" t="s">
        <v>310</v>
      </c>
      <c r="W171" s="124">
        <v>200</v>
      </c>
      <c r="X171" s="130" t="s">
        <v>32</v>
      </c>
      <c r="Y171" s="124" t="s">
        <v>245</v>
      </c>
      <c r="Z171" s="124"/>
      <c r="AA171" s="124" t="s">
        <v>532</v>
      </c>
      <c r="AB171" s="124" t="s">
        <v>16</v>
      </c>
      <c r="AC171" s="124" t="s">
        <v>916</v>
      </c>
    </row>
    <row r="172" spans="1:29" s="608" customFormat="1" ht="15" hidden="1" customHeight="1">
      <c r="A172" s="124" t="s">
        <v>25</v>
      </c>
      <c r="B172" s="124" t="s">
        <v>25</v>
      </c>
      <c r="C172" s="125" t="s">
        <v>901</v>
      </c>
      <c r="D172" s="125" t="s">
        <v>902</v>
      </c>
      <c r="E172" s="125" t="s">
        <v>903</v>
      </c>
      <c r="F172" s="125">
        <v>153486667</v>
      </c>
      <c r="G172" s="125">
        <v>709320701</v>
      </c>
      <c r="H172" s="124">
        <v>5.8398719999999997</v>
      </c>
      <c r="I172" s="124">
        <v>-5.35961</v>
      </c>
      <c r="J172" s="126" t="s">
        <v>36</v>
      </c>
      <c r="K172" s="124" t="s">
        <v>190</v>
      </c>
      <c r="L172" s="124" t="s">
        <v>537</v>
      </c>
      <c r="M172" s="296" t="s">
        <v>1038</v>
      </c>
      <c r="N172" s="296">
        <v>2150012039</v>
      </c>
      <c r="O172" s="128">
        <v>45719</v>
      </c>
      <c r="P172" s="331">
        <f t="shared" ca="1" si="3"/>
        <v>349</v>
      </c>
      <c r="Q172" s="128">
        <v>45720</v>
      </c>
      <c r="R172" s="124" t="s">
        <v>30</v>
      </c>
      <c r="S172" s="124"/>
      <c r="T172" s="124">
        <v>0</v>
      </c>
      <c r="U172" s="295">
        <v>45730</v>
      </c>
      <c r="V172" s="124" t="s">
        <v>310</v>
      </c>
      <c r="W172" s="124">
        <v>150</v>
      </c>
      <c r="X172" s="130" t="s">
        <v>32</v>
      </c>
      <c r="Y172" s="124" t="s">
        <v>533</v>
      </c>
      <c r="Z172" s="124"/>
      <c r="AA172" s="124" t="s">
        <v>532</v>
      </c>
      <c r="AB172" s="124" t="s">
        <v>16</v>
      </c>
      <c r="AC172" s="124" t="s">
        <v>1071</v>
      </c>
    </row>
    <row r="173" spans="1:29" s="608" customFormat="1" ht="15" hidden="1" customHeight="1">
      <c r="A173" s="124" t="s">
        <v>25</v>
      </c>
      <c r="B173" s="124" t="s">
        <v>25</v>
      </c>
      <c r="C173" s="126" t="s">
        <v>919</v>
      </c>
      <c r="D173" s="126" t="s">
        <v>920</v>
      </c>
      <c r="E173" s="126" t="s">
        <v>35</v>
      </c>
      <c r="F173" s="126">
        <v>150606060</v>
      </c>
      <c r="G173" s="126">
        <v>160606066</v>
      </c>
      <c r="H173" s="124">
        <v>5.841037</v>
      </c>
      <c r="I173" s="124">
        <v>-5.3573310000000003</v>
      </c>
      <c r="J173" s="126" t="s">
        <v>36</v>
      </c>
      <c r="K173" s="124" t="s">
        <v>190</v>
      </c>
      <c r="L173" s="124" t="s">
        <v>1024</v>
      </c>
      <c r="M173" s="296" t="s">
        <v>1039</v>
      </c>
      <c r="N173" s="296">
        <v>2150012038</v>
      </c>
      <c r="O173" s="141">
        <v>45720</v>
      </c>
      <c r="P173" s="331">
        <f t="shared" ca="1" si="3"/>
        <v>349</v>
      </c>
      <c r="Q173" s="141">
        <v>45720</v>
      </c>
      <c r="R173" s="124" t="s">
        <v>30</v>
      </c>
      <c r="S173" s="124"/>
      <c r="T173" s="124">
        <v>0</v>
      </c>
      <c r="U173" s="295">
        <v>45730</v>
      </c>
      <c r="V173" s="124" t="s">
        <v>310</v>
      </c>
      <c r="W173" s="124">
        <v>200</v>
      </c>
      <c r="X173" s="130" t="s">
        <v>32</v>
      </c>
      <c r="Y173" s="124" t="s">
        <v>533</v>
      </c>
      <c r="Z173" s="124"/>
      <c r="AA173" s="124" t="s">
        <v>532</v>
      </c>
      <c r="AB173" s="124" t="s">
        <v>16</v>
      </c>
      <c r="AC173" s="124" t="s">
        <v>1140</v>
      </c>
    </row>
    <row r="174" spans="1:29" s="608" customFormat="1" ht="15" hidden="1" customHeight="1">
      <c r="A174" s="126" t="s">
        <v>292</v>
      </c>
      <c r="B174" s="124" t="s">
        <v>25</v>
      </c>
      <c r="C174" s="126" t="s">
        <v>909</v>
      </c>
      <c r="D174" s="126" t="s">
        <v>910</v>
      </c>
      <c r="E174" s="126" t="s">
        <v>84</v>
      </c>
      <c r="F174" s="126">
        <v>150829297</v>
      </c>
      <c r="G174" s="126">
        <v>150829297</v>
      </c>
      <c r="H174" s="124">
        <v>5.8323960000000001</v>
      </c>
      <c r="I174" s="124">
        <v>-5.3606999999999996</v>
      </c>
      <c r="J174" s="126" t="s">
        <v>36</v>
      </c>
      <c r="K174" s="124" t="s">
        <v>198</v>
      </c>
      <c r="L174" s="124" t="s">
        <v>894</v>
      </c>
      <c r="M174" s="296" t="s">
        <v>1021</v>
      </c>
      <c r="N174" s="296">
        <v>2150011800</v>
      </c>
      <c r="O174" s="141">
        <v>45719</v>
      </c>
      <c r="P174" s="331">
        <f t="shared" ca="1" si="3"/>
        <v>349</v>
      </c>
      <c r="Q174" s="128">
        <v>45720</v>
      </c>
      <c r="R174" s="124" t="s">
        <v>30</v>
      </c>
      <c r="S174" s="124"/>
      <c r="T174" s="124">
        <v>1</v>
      </c>
      <c r="U174" s="295">
        <v>45730</v>
      </c>
      <c r="V174" s="124" t="s">
        <v>310</v>
      </c>
      <c r="W174" s="124">
        <v>150</v>
      </c>
      <c r="X174" s="130" t="s">
        <v>32</v>
      </c>
      <c r="Y174" s="124" t="s">
        <v>193</v>
      </c>
      <c r="Z174" s="124"/>
      <c r="AA174" s="124" t="s">
        <v>532</v>
      </c>
      <c r="AB174" s="124" t="s">
        <v>16</v>
      </c>
      <c r="AC174" s="124" t="s">
        <v>893</v>
      </c>
    </row>
    <row r="175" spans="1:29" s="608" customFormat="1" ht="15" hidden="1" customHeight="1">
      <c r="A175" s="124" t="s">
        <v>25</v>
      </c>
      <c r="B175" s="124" t="s">
        <v>25</v>
      </c>
      <c r="C175" s="126" t="s">
        <v>940</v>
      </c>
      <c r="D175" s="126" t="s">
        <v>941</v>
      </c>
      <c r="E175" s="126" t="s">
        <v>942</v>
      </c>
      <c r="F175" s="126">
        <v>173316913</v>
      </c>
      <c r="G175" s="126">
        <v>749417522</v>
      </c>
      <c r="H175" s="124">
        <v>5.8343829999999999</v>
      </c>
      <c r="I175" s="124">
        <v>-5.3521799999999997</v>
      </c>
      <c r="J175" s="126" t="s">
        <v>36</v>
      </c>
      <c r="K175" s="124" t="s">
        <v>274</v>
      </c>
      <c r="L175" s="124" t="s">
        <v>1030</v>
      </c>
      <c r="M175" s="296" t="s">
        <v>1040</v>
      </c>
      <c r="N175" s="296">
        <v>2150012035</v>
      </c>
      <c r="O175" s="141">
        <v>45720</v>
      </c>
      <c r="P175" s="331">
        <f t="shared" ca="1" si="3"/>
        <v>348</v>
      </c>
      <c r="Q175" s="141">
        <v>45721</v>
      </c>
      <c r="R175" s="124" t="s">
        <v>30</v>
      </c>
      <c r="S175" s="124"/>
      <c r="T175" s="124">
        <v>0</v>
      </c>
      <c r="U175" s="295">
        <v>45730</v>
      </c>
      <c r="V175" s="124" t="s">
        <v>310</v>
      </c>
      <c r="W175" s="124">
        <v>200</v>
      </c>
      <c r="X175" s="130" t="s">
        <v>32</v>
      </c>
      <c r="Y175" s="124" t="s">
        <v>228</v>
      </c>
      <c r="Z175" s="124"/>
      <c r="AA175" s="124" t="s">
        <v>532</v>
      </c>
      <c r="AB175" s="124" t="s">
        <v>16</v>
      </c>
      <c r="AC175" s="124" t="s">
        <v>1035</v>
      </c>
    </row>
    <row r="176" spans="1:29" s="608" customFormat="1" ht="15" hidden="1" customHeight="1">
      <c r="A176" s="124" t="s">
        <v>25</v>
      </c>
      <c r="B176" s="124" t="s">
        <v>25</v>
      </c>
      <c r="C176" s="126" t="s">
        <v>976</v>
      </c>
      <c r="D176" s="126" t="s">
        <v>977</v>
      </c>
      <c r="E176" s="126" t="s">
        <v>84</v>
      </c>
      <c r="F176" s="126">
        <v>749882353</v>
      </c>
      <c r="G176" s="126">
        <v>749882353</v>
      </c>
      <c r="H176" s="124">
        <v>5.8315849999999996</v>
      </c>
      <c r="I176" s="124">
        <v>-3.6103499999999999</v>
      </c>
      <c r="J176" s="124" t="s">
        <v>36</v>
      </c>
      <c r="K176" s="124" t="s">
        <v>198</v>
      </c>
      <c r="L176" s="124" t="s">
        <v>1028</v>
      </c>
      <c r="M176" s="296" t="s">
        <v>1041</v>
      </c>
      <c r="N176" s="296">
        <v>2150011803</v>
      </c>
      <c r="O176" s="141">
        <v>45721</v>
      </c>
      <c r="P176" s="331">
        <f t="shared" ca="1" si="3"/>
        <v>347</v>
      </c>
      <c r="Q176" s="141">
        <v>45722</v>
      </c>
      <c r="R176" s="141" t="s">
        <v>30</v>
      </c>
      <c r="S176" s="124"/>
      <c r="T176" s="124">
        <v>0</v>
      </c>
      <c r="U176" s="295">
        <v>45730</v>
      </c>
      <c r="V176" s="124" t="s">
        <v>310</v>
      </c>
      <c r="W176" s="124">
        <v>150</v>
      </c>
      <c r="X176" s="130" t="s">
        <v>32</v>
      </c>
      <c r="Y176" s="124" t="s">
        <v>193</v>
      </c>
      <c r="Z176" s="124"/>
      <c r="AA176" s="124" t="s">
        <v>532</v>
      </c>
      <c r="AB176" s="124" t="s">
        <v>16</v>
      </c>
      <c r="AC176" s="124" t="s">
        <v>1031</v>
      </c>
    </row>
    <row r="177" spans="1:29" s="608" customFormat="1" ht="15" hidden="1" customHeight="1">
      <c r="A177" s="124" t="s">
        <v>25</v>
      </c>
      <c r="B177" s="124" t="s">
        <v>25</v>
      </c>
      <c r="C177" s="126" t="s">
        <v>980</v>
      </c>
      <c r="D177" s="126" t="s">
        <v>981</v>
      </c>
      <c r="E177" s="126" t="s">
        <v>295</v>
      </c>
      <c r="F177" s="126">
        <v>779337838</v>
      </c>
      <c r="G177" s="126">
        <v>779337838</v>
      </c>
      <c r="H177" s="124">
        <v>5.834695</v>
      </c>
      <c r="I177" s="124">
        <v>-3.3533040000000001</v>
      </c>
      <c r="J177" s="124" t="s">
        <v>36</v>
      </c>
      <c r="K177" s="124" t="s">
        <v>274</v>
      </c>
      <c r="L177" s="124" t="s">
        <v>1032</v>
      </c>
      <c r="M177" s="296" t="s">
        <v>1152</v>
      </c>
      <c r="N177" s="296">
        <v>2150012063</v>
      </c>
      <c r="O177" s="141">
        <v>45722</v>
      </c>
      <c r="P177" s="331">
        <f t="shared" ca="1" si="3"/>
        <v>347</v>
      </c>
      <c r="Q177" s="141">
        <v>45722</v>
      </c>
      <c r="R177" s="141" t="s">
        <v>30</v>
      </c>
      <c r="S177" s="124"/>
      <c r="T177" s="124">
        <v>2</v>
      </c>
      <c r="U177" s="295">
        <v>45730</v>
      </c>
      <c r="V177" s="124" t="s">
        <v>310</v>
      </c>
      <c r="W177" s="124">
        <v>200</v>
      </c>
      <c r="X177" s="130" t="s">
        <v>32</v>
      </c>
      <c r="Y177" s="124" t="s">
        <v>193</v>
      </c>
      <c r="Z177" s="124"/>
      <c r="AA177" s="124" t="s">
        <v>532</v>
      </c>
      <c r="AB177" s="124" t="s">
        <v>16</v>
      </c>
      <c r="AC177" s="124" t="s">
        <v>1033</v>
      </c>
    </row>
    <row r="178" spans="1:29" s="621" customFormat="1" ht="15" hidden="1" customHeight="1">
      <c r="A178" s="124" t="s">
        <v>25</v>
      </c>
      <c r="B178" s="124" t="s">
        <v>25</v>
      </c>
      <c r="C178" s="126" t="s">
        <v>978</v>
      </c>
      <c r="D178" s="126" t="s">
        <v>979</v>
      </c>
      <c r="E178" s="126" t="s">
        <v>295</v>
      </c>
      <c r="F178" s="126">
        <v>504316304</v>
      </c>
      <c r="G178" s="126">
        <v>504316304</v>
      </c>
      <c r="H178" s="124">
        <v>5.8339670000000003</v>
      </c>
      <c r="I178" s="124">
        <v>-5.3525159999999996</v>
      </c>
      <c r="J178" s="124" t="s">
        <v>36</v>
      </c>
      <c r="K178" s="124" t="s">
        <v>274</v>
      </c>
      <c r="L178" s="124" t="s">
        <v>1030</v>
      </c>
      <c r="M178" s="296" t="s">
        <v>1151</v>
      </c>
      <c r="N178" s="296">
        <v>2150012062</v>
      </c>
      <c r="O178" s="141">
        <v>45722</v>
      </c>
      <c r="P178" s="331">
        <f t="shared" ca="1" si="3"/>
        <v>347</v>
      </c>
      <c r="Q178" s="141">
        <v>45722</v>
      </c>
      <c r="R178" s="141" t="s">
        <v>30</v>
      </c>
      <c r="S178" s="124"/>
      <c r="T178" s="124">
        <v>1</v>
      </c>
      <c r="U178" s="295">
        <v>45730</v>
      </c>
      <c r="V178" s="124" t="s">
        <v>310</v>
      </c>
      <c r="W178" s="124">
        <v>250</v>
      </c>
      <c r="X178" s="130" t="s">
        <v>32</v>
      </c>
      <c r="Y178" s="124" t="s">
        <v>193</v>
      </c>
      <c r="Z178" s="352"/>
      <c r="AA178" s="352" t="s">
        <v>532</v>
      </c>
      <c r="AB178" s="352" t="s">
        <v>16</v>
      </c>
      <c r="AC178" s="352" t="s">
        <v>1087</v>
      </c>
    </row>
    <row r="179" spans="1:29" s="621" customFormat="1" ht="15" hidden="1" customHeight="1">
      <c r="A179" s="124" t="s">
        <v>25</v>
      </c>
      <c r="B179" s="124" t="s">
        <v>25</v>
      </c>
      <c r="C179" s="126" t="s">
        <v>998</v>
      </c>
      <c r="D179" s="126" t="s">
        <v>68</v>
      </c>
      <c r="E179" s="126" t="s">
        <v>999</v>
      </c>
      <c r="F179" s="126">
        <v>143734035</v>
      </c>
      <c r="G179" s="126">
        <v>143734035</v>
      </c>
      <c r="H179" s="126">
        <v>5.8408990000000003</v>
      </c>
      <c r="I179" s="124">
        <v>-5.3576079999999999</v>
      </c>
      <c r="J179" s="124" t="s">
        <v>36</v>
      </c>
      <c r="K179" s="124" t="s">
        <v>190</v>
      </c>
      <c r="L179" s="124" t="s">
        <v>275</v>
      </c>
      <c r="M179" s="296" t="s">
        <v>1043</v>
      </c>
      <c r="N179" s="296">
        <v>2150012036</v>
      </c>
      <c r="O179" s="141">
        <v>45722</v>
      </c>
      <c r="P179" s="331">
        <f t="shared" ca="1" si="3"/>
        <v>346</v>
      </c>
      <c r="Q179" s="141">
        <v>45723</v>
      </c>
      <c r="R179" s="141" t="s">
        <v>30</v>
      </c>
      <c r="S179" s="124"/>
      <c r="T179" s="124">
        <v>0</v>
      </c>
      <c r="U179" s="295">
        <v>45730</v>
      </c>
      <c r="V179" s="124" t="s">
        <v>310</v>
      </c>
      <c r="W179" s="124">
        <v>200</v>
      </c>
      <c r="X179" s="130" t="s">
        <v>32</v>
      </c>
      <c r="Y179" s="124" t="s">
        <v>578</v>
      </c>
      <c r="Z179" s="352"/>
      <c r="AA179" s="352" t="s">
        <v>532</v>
      </c>
      <c r="AB179" s="352" t="s">
        <v>16</v>
      </c>
      <c r="AC179" s="352" t="s">
        <v>1078</v>
      </c>
    </row>
    <row r="180" spans="1:29" s="621" customFormat="1" ht="15" hidden="1" customHeight="1">
      <c r="A180" s="124" t="s">
        <v>25</v>
      </c>
      <c r="B180" s="124" t="s">
        <v>25</v>
      </c>
      <c r="C180" s="126" t="s">
        <v>1005</v>
      </c>
      <c r="D180" s="126" t="s">
        <v>1006</v>
      </c>
      <c r="E180" s="126" t="s">
        <v>1007</v>
      </c>
      <c r="F180" s="126">
        <v>140381940</v>
      </c>
      <c r="G180" s="126">
        <v>708858764</v>
      </c>
      <c r="H180" s="124">
        <v>5.8326279999999997</v>
      </c>
      <c r="I180" s="124">
        <v>-5.3597760000000001</v>
      </c>
      <c r="J180" s="124" t="s">
        <v>36</v>
      </c>
      <c r="K180" s="124" t="s">
        <v>198</v>
      </c>
      <c r="L180" s="124" t="s">
        <v>278</v>
      </c>
      <c r="M180" s="296" t="s">
        <v>1044</v>
      </c>
      <c r="N180" s="296">
        <v>2150012040</v>
      </c>
      <c r="O180" s="141">
        <v>45723</v>
      </c>
      <c r="P180" s="331">
        <f t="shared" ca="1" si="3"/>
        <v>346</v>
      </c>
      <c r="Q180" s="141">
        <v>45723</v>
      </c>
      <c r="R180" s="141" t="s">
        <v>30</v>
      </c>
      <c r="S180" s="124"/>
      <c r="T180" s="124">
        <v>0</v>
      </c>
      <c r="U180" s="295">
        <v>45730</v>
      </c>
      <c r="V180" s="124" t="s">
        <v>310</v>
      </c>
      <c r="W180" s="124">
        <v>150</v>
      </c>
      <c r="X180" s="130" t="s">
        <v>32</v>
      </c>
      <c r="Y180" s="124" t="s">
        <v>228</v>
      </c>
      <c r="Z180" s="352"/>
      <c r="AA180" s="352" t="s">
        <v>532</v>
      </c>
      <c r="AB180" s="352" t="s">
        <v>16</v>
      </c>
      <c r="AC180" s="352" t="s">
        <v>1034</v>
      </c>
    </row>
    <row r="181" spans="1:29" s="621" customFormat="1" ht="15" hidden="1" customHeight="1">
      <c r="A181" s="267" t="s">
        <v>25</v>
      </c>
      <c r="B181" s="267" t="s">
        <v>25</v>
      </c>
      <c r="C181" s="357" t="s">
        <v>924</v>
      </c>
      <c r="D181" s="358" t="s">
        <v>99</v>
      </c>
      <c r="E181" s="357" t="s">
        <v>925</v>
      </c>
      <c r="F181" s="357">
        <v>102515154</v>
      </c>
      <c r="G181" s="357">
        <v>757747718</v>
      </c>
      <c r="H181" s="352">
        <v>5.8469790000000001</v>
      </c>
      <c r="I181" s="352">
        <v>-5.3572309999999996</v>
      </c>
      <c r="J181" s="357" t="s">
        <v>189</v>
      </c>
      <c r="K181" s="352" t="s">
        <v>203</v>
      </c>
      <c r="L181" s="352" t="s">
        <v>495</v>
      </c>
      <c r="M181" s="353" t="s">
        <v>1142</v>
      </c>
      <c r="N181" s="353">
        <v>2150012042</v>
      </c>
      <c r="O181" s="359">
        <v>45719</v>
      </c>
      <c r="P181" s="354">
        <f t="shared" ca="1" si="3"/>
        <v>349</v>
      </c>
      <c r="Q181" s="359">
        <v>45720</v>
      </c>
      <c r="R181" s="352" t="s">
        <v>30</v>
      </c>
      <c r="S181" s="352"/>
      <c r="T181" s="352"/>
      <c r="U181" s="356">
        <v>45731</v>
      </c>
      <c r="V181" s="352" t="s">
        <v>310</v>
      </c>
      <c r="W181" s="352">
        <v>150</v>
      </c>
      <c r="X181" s="358" t="s">
        <v>32</v>
      </c>
      <c r="Y181" s="352" t="s">
        <v>343</v>
      </c>
      <c r="Z181" s="352"/>
      <c r="AA181" s="352" t="s">
        <v>532</v>
      </c>
      <c r="AB181" s="352" t="s">
        <v>16</v>
      </c>
      <c r="AC181" s="352" t="s">
        <v>1046</v>
      </c>
    </row>
    <row r="182" spans="1:29" s="621" customFormat="1" ht="15" hidden="1" customHeight="1">
      <c r="A182" s="267" t="s">
        <v>25</v>
      </c>
      <c r="B182" s="267" t="s">
        <v>25</v>
      </c>
      <c r="C182" s="272" t="s">
        <v>939</v>
      </c>
      <c r="D182" s="312" t="s">
        <v>936</v>
      </c>
      <c r="E182" s="272" t="s">
        <v>84</v>
      </c>
      <c r="F182" s="272">
        <v>140320823</v>
      </c>
      <c r="G182" s="272">
        <v>707914613</v>
      </c>
      <c r="H182" s="267">
        <v>5.8370939999999996</v>
      </c>
      <c r="I182" s="267">
        <v>-5.3636439999999999</v>
      </c>
      <c r="J182" s="272" t="s">
        <v>36</v>
      </c>
      <c r="K182" s="267" t="s">
        <v>203</v>
      </c>
      <c r="L182" s="267" t="s">
        <v>946</v>
      </c>
      <c r="M182" s="353" t="s">
        <v>1020</v>
      </c>
      <c r="N182" s="353">
        <v>2150011797</v>
      </c>
      <c r="O182" s="355">
        <v>45720</v>
      </c>
      <c r="P182" s="354">
        <f t="shared" ca="1" si="3"/>
        <v>348</v>
      </c>
      <c r="Q182" s="355">
        <v>45721</v>
      </c>
      <c r="R182" s="267" t="s">
        <v>30</v>
      </c>
      <c r="S182" s="267"/>
      <c r="T182" s="267">
        <v>1</v>
      </c>
      <c r="U182" s="356">
        <v>45731</v>
      </c>
      <c r="V182" s="267" t="s">
        <v>310</v>
      </c>
      <c r="W182" s="267">
        <v>100</v>
      </c>
      <c r="X182" s="312" t="s">
        <v>32</v>
      </c>
      <c r="Y182" s="352" t="s">
        <v>193</v>
      </c>
      <c r="Z182" s="352"/>
      <c r="AA182" s="352" t="s">
        <v>532</v>
      </c>
      <c r="AB182" s="352" t="s">
        <v>16</v>
      </c>
      <c r="AC182" s="352" t="s">
        <v>1133</v>
      </c>
    </row>
    <row r="183" spans="1:29" s="599" customFormat="1" ht="15" hidden="1" customHeight="1">
      <c r="A183" s="272" t="s">
        <v>25</v>
      </c>
      <c r="B183" s="267" t="s">
        <v>25</v>
      </c>
      <c r="C183" s="272" t="s">
        <v>986</v>
      </c>
      <c r="D183" s="312" t="s">
        <v>987</v>
      </c>
      <c r="E183" s="272" t="s">
        <v>295</v>
      </c>
      <c r="F183" s="272">
        <v>789855951</v>
      </c>
      <c r="G183" s="272">
        <v>789855951</v>
      </c>
      <c r="H183" s="352">
        <v>5.8378740000000002</v>
      </c>
      <c r="I183" s="352">
        <v>-5.3537980000000003</v>
      </c>
      <c r="J183" s="352" t="s">
        <v>189</v>
      </c>
      <c r="K183" s="352" t="s">
        <v>190</v>
      </c>
      <c r="L183" s="352" t="s">
        <v>514</v>
      </c>
      <c r="M183" s="353" t="s">
        <v>1149</v>
      </c>
      <c r="N183" s="353">
        <v>2150012060</v>
      </c>
      <c r="O183" s="355">
        <v>45722</v>
      </c>
      <c r="P183" s="354">
        <f t="shared" ca="1" si="3"/>
        <v>347</v>
      </c>
      <c r="Q183" s="355">
        <v>45722</v>
      </c>
      <c r="R183" s="355" t="s">
        <v>30</v>
      </c>
      <c r="S183" s="352"/>
      <c r="T183" s="352">
        <v>3</v>
      </c>
      <c r="U183" s="356">
        <v>45731</v>
      </c>
      <c r="V183" s="267" t="s">
        <v>310</v>
      </c>
      <c r="W183" s="352">
        <v>300</v>
      </c>
      <c r="X183" s="312" t="s">
        <v>32</v>
      </c>
      <c r="Y183" s="352" t="s">
        <v>245</v>
      </c>
      <c r="Z183" s="267"/>
      <c r="AA183" s="352" t="s">
        <v>532</v>
      </c>
      <c r="AB183" s="352" t="s">
        <v>16</v>
      </c>
      <c r="AC183" s="352" t="s">
        <v>1049</v>
      </c>
    </row>
    <row r="184" spans="1:29" s="621" customFormat="1" ht="15" hidden="1" customHeight="1">
      <c r="A184" s="267" t="s">
        <v>25</v>
      </c>
      <c r="B184" s="267" t="s">
        <v>25</v>
      </c>
      <c r="C184" s="272" t="s">
        <v>994</v>
      </c>
      <c r="D184" s="312" t="s">
        <v>995</v>
      </c>
      <c r="E184" s="272" t="s">
        <v>996</v>
      </c>
      <c r="F184" s="272">
        <v>789591474</v>
      </c>
      <c r="G184" s="272">
        <v>555306263</v>
      </c>
      <c r="H184" s="272">
        <v>5.8431170000000003</v>
      </c>
      <c r="I184" s="352">
        <v>-5.3576879999999996</v>
      </c>
      <c r="J184" s="352" t="s">
        <v>189</v>
      </c>
      <c r="K184" s="352" t="s">
        <v>203</v>
      </c>
      <c r="L184" s="352" t="s">
        <v>1048</v>
      </c>
      <c r="M184" s="353" t="s">
        <v>1150</v>
      </c>
      <c r="N184" s="353">
        <v>2150012061</v>
      </c>
      <c r="O184" s="355">
        <v>45722</v>
      </c>
      <c r="P184" s="354">
        <f t="shared" ca="1" si="3"/>
        <v>346</v>
      </c>
      <c r="Q184" s="355">
        <v>45723</v>
      </c>
      <c r="R184" s="355" t="s">
        <v>30</v>
      </c>
      <c r="S184" s="352"/>
      <c r="T184" s="352">
        <v>1</v>
      </c>
      <c r="U184" s="356">
        <v>45731</v>
      </c>
      <c r="V184" s="267" t="s">
        <v>310</v>
      </c>
      <c r="W184" s="352">
        <v>350</v>
      </c>
      <c r="X184" s="312" t="s">
        <v>32</v>
      </c>
      <c r="Y184" s="267" t="s">
        <v>193</v>
      </c>
      <c r="Z184" s="352"/>
      <c r="AA184" s="352" t="s">
        <v>532</v>
      </c>
      <c r="AB184" s="267" t="s">
        <v>16</v>
      </c>
      <c r="AC184" s="267" t="s">
        <v>947</v>
      </c>
    </row>
    <row r="185" spans="1:29" s="624" customFormat="1" ht="15" hidden="1" customHeight="1">
      <c r="A185" s="124" t="s">
        <v>25</v>
      </c>
      <c r="B185" s="124" t="s">
        <v>25</v>
      </c>
      <c r="C185" s="266" t="s">
        <v>1013</v>
      </c>
      <c r="D185" s="312" t="s">
        <v>1014</v>
      </c>
      <c r="E185" s="266" t="s">
        <v>1015</v>
      </c>
      <c r="F185" s="266">
        <v>749094993</v>
      </c>
      <c r="G185" s="266">
        <v>749094993</v>
      </c>
      <c r="H185" s="352">
        <v>5.8409690000000003</v>
      </c>
      <c r="I185" s="352">
        <v>-5.3553810000000004</v>
      </c>
      <c r="J185" s="352" t="s">
        <v>189</v>
      </c>
      <c r="K185" s="352" t="s">
        <v>203</v>
      </c>
      <c r="L185" s="352" t="s">
        <v>479</v>
      </c>
      <c r="M185" s="353" t="s">
        <v>1155</v>
      </c>
      <c r="N185" s="353">
        <v>2150012050</v>
      </c>
      <c r="O185" s="269">
        <v>45706</v>
      </c>
      <c r="P185" s="354">
        <f t="shared" ca="1" si="3"/>
        <v>345</v>
      </c>
      <c r="Q185" s="269">
        <v>45724</v>
      </c>
      <c r="R185" s="355" t="s">
        <v>30</v>
      </c>
      <c r="S185" s="352"/>
      <c r="T185" s="352">
        <v>0</v>
      </c>
      <c r="U185" s="356">
        <v>45731</v>
      </c>
      <c r="V185" s="267" t="s">
        <v>310</v>
      </c>
      <c r="W185" s="352">
        <v>150</v>
      </c>
      <c r="X185" s="312" t="s">
        <v>32</v>
      </c>
      <c r="Y185" s="352" t="s">
        <v>533</v>
      </c>
      <c r="Z185" s="232"/>
      <c r="AA185" s="232" t="s">
        <v>532</v>
      </c>
      <c r="AB185" s="232" t="s">
        <v>16</v>
      </c>
      <c r="AC185" s="232" t="s">
        <v>1187</v>
      </c>
    </row>
    <row r="186" spans="1:29" s="624" customFormat="1" ht="15" hidden="1" customHeight="1">
      <c r="A186" s="267" t="s">
        <v>25</v>
      </c>
      <c r="B186" s="267" t="s">
        <v>25</v>
      </c>
      <c r="C186" s="272" t="s">
        <v>1066</v>
      </c>
      <c r="D186" s="312" t="s">
        <v>1067</v>
      </c>
      <c r="E186" s="272" t="s">
        <v>1068</v>
      </c>
      <c r="F186" s="272">
        <v>504105745</v>
      </c>
      <c r="G186" s="272">
        <v>504105745</v>
      </c>
      <c r="H186" s="352">
        <v>5.8395469999999996</v>
      </c>
      <c r="I186" s="352">
        <v>-5.361364</v>
      </c>
      <c r="J186" s="352" t="s">
        <v>36</v>
      </c>
      <c r="K186" s="352" t="s">
        <v>190</v>
      </c>
      <c r="L186" s="352" t="s">
        <v>1077</v>
      </c>
      <c r="M186" s="353" t="s">
        <v>1159</v>
      </c>
      <c r="N186" s="353">
        <v>2150012046</v>
      </c>
      <c r="O186" s="355">
        <v>45727</v>
      </c>
      <c r="P186" s="354">
        <f t="shared" ca="1" si="3"/>
        <v>342</v>
      </c>
      <c r="Q186" s="355">
        <v>45727</v>
      </c>
      <c r="R186" s="352" t="s">
        <v>30</v>
      </c>
      <c r="S186" s="352"/>
      <c r="T186" s="352">
        <v>0</v>
      </c>
      <c r="U186" s="356">
        <v>45731</v>
      </c>
      <c r="V186" s="267" t="s">
        <v>310</v>
      </c>
      <c r="W186" s="352">
        <v>150</v>
      </c>
      <c r="X186" s="312" t="s">
        <v>32</v>
      </c>
      <c r="Y186" s="352" t="s">
        <v>193</v>
      </c>
      <c r="Z186" s="232"/>
      <c r="AA186" s="232" t="s">
        <v>532</v>
      </c>
      <c r="AB186" s="232" t="s">
        <v>16</v>
      </c>
      <c r="AC186" s="232" t="s">
        <v>1135</v>
      </c>
    </row>
    <row r="187" spans="1:29" s="624" customFormat="1" ht="15" hidden="1" customHeight="1">
      <c r="A187" s="352" t="s">
        <v>25</v>
      </c>
      <c r="B187" s="267" t="s">
        <v>25</v>
      </c>
      <c r="C187" s="272" t="s">
        <v>1093</v>
      </c>
      <c r="D187" s="312" t="s">
        <v>1094</v>
      </c>
      <c r="E187" s="272" t="s">
        <v>375</v>
      </c>
      <c r="F187" s="272">
        <v>171166878</v>
      </c>
      <c r="G187" s="272">
        <v>710125934</v>
      </c>
      <c r="H187" s="352">
        <v>5.8409700000000004</v>
      </c>
      <c r="I187" s="352">
        <v>-5.3669789999999997</v>
      </c>
      <c r="J187" s="352" t="s">
        <v>36</v>
      </c>
      <c r="K187" s="352" t="s">
        <v>203</v>
      </c>
      <c r="L187" s="352" t="s">
        <v>1132</v>
      </c>
      <c r="M187" s="353" t="s">
        <v>1160</v>
      </c>
      <c r="N187" s="353">
        <v>2150012047</v>
      </c>
      <c r="O187" s="355">
        <v>45727</v>
      </c>
      <c r="P187" s="354">
        <f t="shared" ca="1" si="3"/>
        <v>341</v>
      </c>
      <c r="Q187" s="355">
        <v>45728</v>
      </c>
      <c r="R187" s="352" t="s">
        <v>30</v>
      </c>
      <c r="S187" s="352"/>
      <c r="T187" s="352">
        <v>0</v>
      </c>
      <c r="U187" s="356">
        <v>45731</v>
      </c>
      <c r="V187" s="352" t="s">
        <v>310</v>
      </c>
      <c r="W187" s="352">
        <v>150</v>
      </c>
      <c r="X187" s="312" t="s">
        <v>32</v>
      </c>
      <c r="Y187" s="352" t="s">
        <v>193</v>
      </c>
      <c r="Z187" s="232"/>
      <c r="AA187" s="232" t="s">
        <v>532</v>
      </c>
      <c r="AB187" s="232" t="s">
        <v>16</v>
      </c>
      <c r="AC187" s="232" t="s">
        <v>1045</v>
      </c>
    </row>
    <row r="188" spans="1:29" s="624" customFormat="1" ht="15" hidden="1" customHeight="1">
      <c r="A188" s="272" t="s">
        <v>25</v>
      </c>
      <c r="B188" s="267" t="s">
        <v>25</v>
      </c>
      <c r="C188" s="126" t="s">
        <v>1097</v>
      </c>
      <c r="D188" s="126" t="s">
        <v>1098</v>
      </c>
      <c r="E188" s="126" t="s">
        <v>25</v>
      </c>
      <c r="F188" s="126">
        <v>102003002</v>
      </c>
      <c r="G188" s="126">
        <v>779513229</v>
      </c>
      <c r="H188" s="124">
        <v>5.8301701000000001</v>
      </c>
      <c r="I188" s="124">
        <v>-5.3558490000000001</v>
      </c>
      <c r="J188" s="124" t="s">
        <v>36</v>
      </c>
      <c r="K188" s="126" t="s">
        <v>274</v>
      </c>
      <c r="L188" s="126" t="s">
        <v>1139</v>
      </c>
      <c r="M188" s="124" t="s">
        <v>1190</v>
      </c>
      <c r="N188" s="124">
        <v>2150016555</v>
      </c>
      <c r="O188" s="141">
        <v>45727</v>
      </c>
      <c r="P188" s="331">
        <f t="shared" ref="P188:P219" ca="1" si="4">TODAY()-Q188</f>
        <v>341</v>
      </c>
      <c r="Q188" s="141">
        <v>45728</v>
      </c>
      <c r="R188" s="124" t="s">
        <v>30</v>
      </c>
      <c r="S188" s="124"/>
      <c r="T188" s="124">
        <v>1</v>
      </c>
      <c r="U188" s="295">
        <v>45731</v>
      </c>
      <c r="V188" s="124" t="s">
        <v>310</v>
      </c>
      <c r="W188" s="124">
        <v>150</v>
      </c>
      <c r="X188" s="130" t="s">
        <v>32</v>
      </c>
      <c r="Y188" s="124" t="s">
        <v>228</v>
      </c>
      <c r="Z188" s="232"/>
      <c r="AA188" s="232" t="s">
        <v>532</v>
      </c>
      <c r="AB188" s="264" t="s">
        <v>16</v>
      </c>
      <c r="AC188" s="264" t="s">
        <v>947</v>
      </c>
    </row>
    <row r="189" spans="1:29" s="624" customFormat="1" ht="15" hidden="1" customHeight="1">
      <c r="A189" s="264" t="s">
        <v>25</v>
      </c>
      <c r="B189" s="264" t="s">
        <v>25</v>
      </c>
      <c r="C189" s="3" t="s">
        <v>904</v>
      </c>
      <c r="D189" s="3" t="s">
        <v>905</v>
      </c>
      <c r="E189" s="3" t="s">
        <v>35</v>
      </c>
      <c r="F189" s="3">
        <v>151362242</v>
      </c>
      <c r="G189" s="3">
        <v>748944756</v>
      </c>
      <c r="H189" s="1">
        <v>5.8409659999999999</v>
      </c>
      <c r="I189" s="1">
        <v>-5.3480689999999997</v>
      </c>
      <c r="J189" s="3" t="s">
        <v>189</v>
      </c>
      <c r="K189" s="1" t="s">
        <v>190</v>
      </c>
      <c r="L189" s="1" t="s">
        <v>1089</v>
      </c>
      <c r="M189" s="4" t="s">
        <v>1141</v>
      </c>
      <c r="N189" s="4">
        <v>2150012043</v>
      </c>
      <c r="O189" s="5">
        <v>45719</v>
      </c>
      <c r="P189" s="6">
        <f t="shared" ca="1" si="4"/>
        <v>349</v>
      </c>
      <c r="Q189" s="7">
        <v>45720</v>
      </c>
      <c r="R189" s="1" t="s">
        <v>30</v>
      </c>
      <c r="S189" s="1"/>
      <c r="T189" s="1">
        <v>0</v>
      </c>
      <c r="U189" s="8">
        <v>45734</v>
      </c>
      <c r="V189" s="1" t="s">
        <v>310</v>
      </c>
      <c r="W189" s="1">
        <v>150</v>
      </c>
      <c r="X189" s="9" t="s">
        <v>32</v>
      </c>
      <c r="Y189" s="1" t="s">
        <v>193</v>
      </c>
      <c r="Z189" s="232"/>
      <c r="AA189" s="232" t="s">
        <v>532</v>
      </c>
      <c r="AB189" s="232" t="s">
        <v>16</v>
      </c>
      <c r="AC189" s="232" t="s">
        <v>1134</v>
      </c>
    </row>
    <row r="190" spans="1:29" s="624" customFormat="1" ht="15" hidden="1" customHeight="1">
      <c r="A190" s="10" t="s">
        <v>25</v>
      </c>
      <c r="B190" s="2" t="s">
        <v>25</v>
      </c>
      <c r="C190" s="306" t="s">
        <v>935</v>
      </c>
      <c r="D190" s="306" t="s">
        <v>936</v>
      </c>
      <c r="E190" s="306" t="s">
        <v>84</v>
      </c>
      <c r="F190" s="306">
        <v>707914613</v>
      </c>
      <c r="G190" s="306">
        <v>709995755</v>
      </c>
      <c r="H190" s="264">
        <v>5.8370939999999996</v>
      </c>
      <c r="I190" s="264">
        <v>-5.3636439999999999</v>
      </c>
      <c r="J190" s="306" t="s">
        <v>36</v>
      </c>
      <c r="K190" s="264" t="s">
        <v>203</v>
      </c>
      <c r="L190" s="264" t="s">
        <v>946</v>
      </c>
      <c r="M190" s="89" t="s">
        <v>1145</v>
      </c>
      <c r="N190" s="89">
        <v>2150012056</v>
      </c>
      <c r="O190" s="314">
        <v>45720</v>
      </c>
      <c r="P190" s="360">
        <f t="shared" ca="1" si="4"/>
        <v>348</v>
      </c>
      <c r="Q190" s="314">
        <v>45721</v>
      </c>
      <c r="R190" s="264" t="s">
        <v>30</v>
      </c>
      <c r="S190" s="264"/>
      <c r="T190" s="264">
        <v>1</v>
      </c>
      <c r="U190" s="361">
        <v>45734</v>
      </c>
      <c r="V190" s="264" t="s">
        <v>310</v>
      </c>
      <c r="W190" s="264">
        <v>100</v>
      </c>
      <c r="X190" s="301" t="s">
        <v>32</v>
      </c>
      <c r="Y190" s="232" t="s">
        <v>193</v>
      </c>
      <c r="Z190" s="232"/>
      <c r="AA190" s="232" t="s">
        <v>532</v>
      </c>
      <c r="AB190" s="232" t="s">
        <v>16</v>
      </c>
      <c r="AC190" s="232" t="s">
        <v>1056</v>
      </c>
    </row>
    <row r="191" spans="1:29" s="624" customFormat="1" ht="15" hidden="1" customHeight="1">
      <c r="A191" s="1" t="s">
        <v>25</v>
      </c>
      <c r="B191" s="2" t="s">
        <v>25</v>
      </c>
      <c r="C191" s="306" t="s">
        <v>1011</v>
      </c>
      <c r="D191" s="306" t="s">
        <v>1012</v>
      </c>
      <c r="E191" s="306" t="s">
        <v>434</v>
      </c>
      <c r="F191" s="306">
        <v>103126972</v>
      </c>
      <c r="G191" s="306">
        <v>707983938</v>
      </c>
      <c r="H191" s="232">
        <v>5.8446959999999999</v>
      </c>
      <c r="I191" s="232">
        <v>-5.3563980000000004</v>
      </c>
      <c r="J191" s="232" t="s">
        <v>189</v>
      </c>
      <c r="K191" s="232" t="s">
        <v>203</v>
      </c>
      <c r="L191" s="232" t="s">
        <v>541</v>
      </c>
      <c r="M191" s="89" t="s">
        <v>1154</v>
      </c>
      <c r="N191" s="89">
        <v>2150012053</v>
      </c>
      <c r="O191" s="314">
        <v>45722</v>
      </c>
      <c r="P191" s="360">
        <f t="shared" ca="1" si="4"/>
        <v>346</v>
      </c>
      <c r="Q191" s="314">
        <v>45723</v>
      </c>
      <c r="R191" s="314" t="s">
        <v>30</v>
      </c>
      <c r="S191" s="232"/>
      <c r="T191" s="232">
        <v>1</v>
      </c>
      <c r="U191" s="361">
        <v>45734</v>
      </c>
      <c r="V191" s="264" t="s">
        <v>310</v>
      </c>
      <c r="W191" s="232">
        <v>300</v>
      </c>
      <c r="X191" s="301" t="s">
        <v>32</v>
      </c>
      <c r="Y191" s="232" t="s">
        <v>245</v>
      </c>
      <c r="Z191" s="1"/>
      <c r="AA191" s="1" t="s">
        <v>532</v>
      </c>
      <c r="AB191" s="1" t="s">
        <v>16</v>
      </c>
      <c r="AC191" s="1" t="s">
        <v>1090</v>
      </c>
    </row>
    <row r="192" spans="1:29" s="624" customFormat="1" ht="15" hidden="1" customHeight="1">
      <c r="A192" s="306" t="s">
        <v>25</v>
      </c>
      <c r="B192" s="264" t="s">
        <v>25</v>
      </c>
      <c r="C192" s="306" t="s">
        <v>1050</v>
      </c>
      <c r="D192" s="306" t="s">
        <v>1051</v>
      </c>
      <c r="E192" s="306" t="s">
        <v>117</v>
      </c>
      <c r="F192" s="306">
        <v>545972990</v>
      </c>
      <c r="G192" s="306">
        <v>759168554</v>
      </c>
      <c r="H192" s="306">
        <v>5.8473379999999997</v>
      </c>
      <c r="I192" s="232">
        <v>-5.3516529999999998</v>
      </c>
      <c r="J192" s="306" t="s">
        <v>189</v>
      </c>
      <c r="K192" s="232" t="s">
        <v>198</v>
      </c>
      <c r="L192" s="232" t="s">
        <v>1047</v>
      </c>
      <c r="M192" s="89" t="s">
        <v>1158</v>
      </c>
      <c r="N192" s="89">
        <v>2150012049</v>
      </c>
      <c r="O192" s="314">
        <v>45723</v>
      </c>
      <c r="P192" s="360">
        <f t="shared" ca="1" si="4"/>
        <v>343</v>
      </c>
      <c r="Q192" s="314">
        <v>45726</v>
      </c>
      <c r="R192" s="232" t="s">
        <v>30</v>
      </c>
      <c r="S192" s="232"/>
      <c r="T192" s="232">
        <v>1</v>
      </c>
      <c r="U192" s="361">
        <v>45734</v>
      </c>
      <c r="V192" s="264" t="s">
        <v>310</v>
      </c>
      <c r="W192" s="232">
        <v>150</v>
      </c>
      <c r="X192" s="301" t="s">
        <v>32</v>
      </c>
      <c r="Y192" s="232" t="s">
        <v>245</v>
      </c>
      <c r="Z192" s="1"/>
      <c r="AA192" s="1" t="s">
        <v>532</v>
      </c>
      <c r="AB192" s="1" t="s">
        <v>16</v>
      </c>
      <c r="AC192" s="1" t="s">
        <v>1185</v>
      </c>
    </row>
    <row r="193" spans="1:29" s="624" customFormat="1" ht="15" hidden="1" customHeight="1">
      <c r="A193" s="306" t="s">
        <v>25</v>
      </c>
      <c r="B193" s="264" t="s">
        <v>25</v>
      </c>
      <c r="C193" s="10" t="s">
        <v>1058</v>
      </c>
      <c r="D193" s="10" t="s">
        <v>1059</v>
      </c>
      <c r="E193" s="10" t="s">
        <v>1060</v>
      </c>
      <c r="F193" s="10">
        <v>102766723</v>
      </c>
      <c r="G193" s="10">
        <v>594511676</v>
      </c>
      <c r="H193" s="10">
        <v>5.8524310000000002</v>
      </c>
      <c r="I193" s="1">
        <v>-5.3486890000000002</v>
      </c>
      <c r="J193" s="1" t="s">
        <v>189</v>
      </c>
      <c r="K193" s="1" t="s">
        <v>198</v>
      </c>
      <c r="L193" s="1" t="s">
        <v>1085</v>
      </c>
      <c r="M193" s="4" t="s">
        <v>1207</v>
      </c>
      <c r="N193" s="4">
        <v>2150016556</v>
      </c>
      <c r="O193" s="11">
        <v>45726</v>
      </c>
      <c r="P193" s="6">
        <f t="shared" ca="1" si="4"/>
        <v>342</v>
      </c>
      <c r="Q193" s="11">
        <v>45727</v>
      </c>
      <c r="R193" s="1" t="s">
        <v>30</v>
      </c>
      <c r="S193" s="1"/>
      <c r="T193" s="1">
        <v>1</v>
      </c>
      <c r="U193" s="8">
        <v>45734</v>
      </c>
      <c r="V193" s="2" t="s">
        <v>310</v>
      </c>
      <c r="W193" s="1">
        <v>200</v>
      </c>
      <c r="X193" s="12" t="s">
        <v>32</v>
      </c>
      <c r="Y193" s="1" t="s">
        <v>193</v>
      </c>
      <c r="Z193" s="1"/>
      <c r="AA193" s="1" t="s">
        <v>532</v>
      </c>
      <c r="AB193" s="1" t="s">
        <v>16</v>
      </c>
      <c r="AC193" s="1" t="s">
        <v>1086</v>
      </c>
    </row>
    <row r="194" spans="1:29" s="624" customFormat="1" ht="15" hidden="1" customHeight="1">
      <c r="A194" s="306" t="s">
        <v>25</v>
      </c>
      <c r="B194" s="264" t="s">
        <v>25</v>
      </c>
      <c r="C194" s="306" t="s">
        <v>1099</v>
      </c>
      <c r="D194" s="306" t="s">
        <v>1100</v>
      </c>
      <c r="E194" s="306" t="s">
        <v>89</v>
      </c>
      <c r="F194" s="306">
        <v>758044090</v>
      </c>
      <c r="G194" s="306">
        <v>504597069</v>
      </c>
      <c r="H194" s="232">
        <v>5.8391590000000004</v>
      </c>
      <c r="I194" s="232">
        <v>-5.3517910000000004</v>
      </c>
      <c r="J194" s="232" t="s">
        <v>1129</v>
      </c>
      <c r="K194" s="306" t="s">
        <v>190</v>
      </c>
      <c r="L194" s="306" t="s">
        <v>1130</v>
      </c>
      <c r="M194" s="89" t="s">
        <v>1206</v>
      </c>
      <c r="N194" s="89">
        <v>2150016562</v>
      </c>
      <c r="O194" s="314">
        <v>45727</v>
      </c>
      <c r="P194" s="360">
        <f t="shared" ca="1" si="4"/>
        <v>341</v>
      </c>
      <c r="Q194" s="314">
        <v>45728</v>
      </c>
      <c r="R194" s="232" t="s">
        <v>30</v>
      </c>
      <c r="S194" s="232"/>
      <c r="T194" s="232">
        <v>2</v>
      </c>
      <c r="U194" s="361">
        <v>45734</v>
      </c>
      <c r="V194" s="232" t="s">
        <v>310</v>
      </c>
      <c r="W194" s="232">
        <v>200</v>
      </c>
      <c r="X194" s="301" t="s">
        <v>32</v>
      </c>
      <c r="Y194" s="232" t="s">
        <v>193</v>
      </c>
      <c r="Z194" s="1"/>
      <c r="AA194" s="1" t="s">
        <v>532</v>
      </c>
      <c r="AB194" s="1" t="s">
        <v>16</v>
      </c>
      <c r="AC194" s="1" t="s">
        <v>1136</v>
      </c>
    </row>
    <row r="195" spans="1:29" s="626" customFormat="1" ht="15" hidden="1" customHeight="1">
      <c r="A195" s="264" t="s">
        <v>25</v>
      </c>
      <c r="B195" s="264" t="s">
        <v>25</v>
      </c>
      <c r="C195" s="10" t="s">
        <v>1116</v>
      </c>
      <c r="D195" s="10" t="s">
        <v>1117</v>
      </c>
      <c r="E195" s="10" t="s">
        <v>89</v>
      </c>
      <c r="F195" s="10">
        <v>170928805</v>
      </c>
      <c r="G195" s="10">
        <v>757048632</v>
      </c>
      <c r="H195" s="1">
        <v>5.8406079999999996</v>
      </c>
      <c r="I195" s="1">
        <v>-5.3483729999999996</v>
      </c>
      <c r="J195" s="10" t="s">
        <v>189</v>
      </c>
      <c r="K195" s="1" t="s">
        <v>190</v>
      </c>
      <c r="L195" s="1" t="s">
        <v>1089</v>
      </c>
      <c r="M195" s="4" t="s">
        <v>1238</v>
      </c>
      <c r="N195" s="4">
        <v>2150016560</v>
      </c>
      <c r="O195" s="11">
        <v>45728</v>
      </c>
      <c r="P195" s="6">
        <f t="shared" ca="1" si="4"/>
        <v>340</v>
      </c>
      <c r="Q195" s="11">
        <v>45729</v>
      </c>
      <c r="R195" s="1" t="s">
        <v>30</v>
      </c>
      <c r="S195" s="1"/>
      <c r="T195" s="1">
        <v>0</v>
      </c>
      <c r="U195" s="8">
        <v>45734</v>
      </c>
      <c r="V195" s="1" t="s">
        <v>310</v>
      </c>
      <c r="W195" s="1">
        <v>150</v>
      </c>
      <c r="X195" s="12" t="s">
        <v>32</v>
      </c>
      <c r="Y195" s="1" t="s">
        <v>193</v>
      </c>
      <c r="Z195" s="16"/>
      <c r="AA195" s="16" t="s">
        <v>532</v>
      </c>
      <c r="AB195" s="16" t="s">
        <v>16</v>
      </c>
      <c r="AC195" s="16" t="s">
        <v>1189</v>
      </c>
    </row>
    <row r="196" spans="1:29" s="626" customFormat="1" ht="15" hidden="1" customHeight="1">
      <c r="A196" s="264" t="s">
        <v>25</v>
      </c>
      <c r="B196" s="264" t="s">
        <v>25</v>
      </c>
      <c r="C196" s="306" t="s">
        <v>1118</v>
      </c>
      <c r="D196" s="306" t="s">
        <v>1119</v>
      </c>
      <c r="E196" s="306" t="s">
        <v>1120</v>
      </c>
      <c r="F196" s="306">
        <v>103041066</v>
      </c>
      <c r="G196" s="306">
        <v>709610251</v>
      </c>
      <c r="H196" s="232">
        <v>5.8437700000000001</v>
      </c>
      <c r="I196" s="232">
        <v>-5.3561230000000002</v>
      </c>
      <c r="J196" s="306" t="s">
        <v>36</v>
      </c>
      <c r="K196" s="232" t="s">
        <v>203</v>
      </c>
      <c r="L196" s="232" t="s">
        <v>1131</v>
      </c>
      <c r="M196" s="89" t="s">
        <v>1161</v>
      </c>
      <c r="N196" s="89">
        <v>2150012044</v>
      </c>
      <c r="O196" s="314">
        <v>45728</v>
      </c>
      <c r="P196" s="360">
        <f t="shared" ca="1" si="4"/>
        <v>340</v>
      </c>
      <c r="Q196" s="314">
        <v>45729</v>
      </c>
      <c r="R196" s="232" t="s">
        <v>30</v>
      </c>
      <c r="S196" s="232"/>
      <c r="T196" s="232">
        <v>0</v>
      </c>
      <c r="U196" s="361">
        <v>45734</v>
      </c>
      <c r="V196" s="232" t="s">
        <v>310</v>
      </c>
      <c r="W196" s="232">
        <v>150</v>
      </c>
      <c r="X196" s="301" t="s">
        <v>32</v>
      </c>
      <c r="Y196" s="232" t="s">
        <v>245</v>
      </c>
      <c r="Z196" s="16"/>
      <c r="AA196" s="16" t="s">
        <v>532</v>
      </c>
      <c r="AB196" s="16" t="s">
        <v>16</v>
      </c>
      <c r="AC196" s="16" t="s">
        <v>1057</v>
      </c>
    </row>
    <row r="197" spans="1:29" s="626" customFormat="1" ht="15" hidden="1" customHeight="1">
      <c r="A197" s="10" t="s">
        <v>25</v>
      </c>
      <c r="B197" s="2" t="s">
        <v>25</v>
      </c>
      <c r="C197" s="10" t="s">
        <v>1121</v>
      </c>
      <c r="D197" s="10" t="s">
        <v>1122</v>
      </c>
      <c r="E197" s="10" t="s">
        <v>394</v>
      </c>
      <c r="F197" s="10">
        <v>103110878</v>
      </c>
      <c r="G197" s="10">
        <v>789286119</v>
      </c>
      <c r="H197" s="1">
        <v>5.8383320000000003</v>
      </c>
      <c r="I197" s="1">
        <v>-5.3508750000000003</v>
      </c>
      <c r="J197" s="10" t="s">
        <v>189</v>
      </c>
      <c r="K197" s="1" t="s">
        <v>190</v>
      </c>
      <c r="L197" s="1" t="s">
        <v>279</v>
      </c>
      <c r="M197" s="4" t="s">
        <v>1245</v>
      </c>
      <c r="N197" s="4">
        <v>2150016368</v>
      </c>
      <c r="O197" s="11">
        <v>45728</v>
      </c>
      <c r="P197" s="6">
        <f t="shared" ca="1" si="4"/>
        <v>340</v>
      </c>
      <c r="Q197" s="11">
        <v>45729</v>
      </c>
      <c r="R197" s="1" t="s">
        <v>30</v>
      </c>
      <c r="S197" s="1"/>
      <c r="T197" s="1">
        <v>1</v>
      </c>
      <c r="U197" s="8">
        <v>45734</v>
      </c>
      <c r="V197" s="1" t="s">
        <v>310</v>
      </c>
      <c r="W197" s="1">
        <v>150</v>
      </c>
      <c r="X197" s="12" t="s">
        <v>32</v>
      </c>
      <c r="Y197" s="1" t="s">
        <v>533</v>
      </c>
      <c r="Z197" s="16"/>
      <c r="AA197" s="16" t="s">
        <v>532</v>
      </c>
      <c r="AB197" s="16" t="s">
        <v>16</v>
      </c>
      <c r="AC197" s="16" t="s">
        <v>1166</v>
      </c>
    </row>
    <row r="198" spans="1:29" s="626" customFormat="1" ht="15" hidden="1" customHeight="1">
      <c r="A198" s="2" t="s">
        <v>25</v>
      </c>
      <c r="B198" s="2" t="s">
        <v>25</v>
      </c>
      <c r="C198" s="305" t="s">
        <v>1172</v>
      </c>
      <c r="D198" s="305" t="s">
        <v>1173</v>
      </c>
      <c r="E198" s="305" t="s">
        <v>402</v>
      </c>
      <c r="F198" s="305">
        <v>141067134</v>
      </c>
      <c r="G198" s="305">
        <v>707523039</v>
      </c>
      <c r="H198" s="232">
        <v>5.8431920000000002</v>
      </c>
      <c r="I198" s="232">
        <v>-5.3641490000000003</v>
      </c>
      <c r="J198" s="305" t="s">
        <v>36</v>
      </c>
      <c r="K198" s="232" t="s">
        <v>190</v>
      </c>
      <c r="L198" s="232" t="s">
        <v>423</v>
      </c>
      <c r="M198" s="89" t="s">
        <v>1208</v>
      </c>
      <c r="N198" s="89">
        <v>2150016563</v>
      </c>
      <c r="O198" s="307">
        <v>45729</v>
      </c>
      <c r="P198" s="360">
        <f t="shared" ca="1" si="4"/>
        <v>339</v>
      </c>
      <c r="Q198" s="314">
        <v>45730</v>
      </c>
      <c r="R198" s="232" t="s">
        <v>30</v>
      </c>
      <c r="S198" s="232"/>
      <c r="T198" s="232">
        <v>1</v>
      </c>
      <c r="U198" s="361">
        <v>45734</v>
      </c>
      <c r="V198" s="232" t="s">
        <v>310</v>
      </c>
      <c r="W198" s="232">
        <v>250</v>
      </c>
      <c r="X198" s="301" t="s">
        <v>32</v>
      </c>
      <c r="Y198" s="232" t="s">
        <v>245</v>
      </c>
      <c r="Z198" s="16"/>
      <c r="AA198" s="16" t="s">
        <v>532</v>
      </c>
      <c r="AB198" s="16" t="s">
        <v>16</v>
      </c>
      <c r="AC198" s="16" t="s">
        <v>1230</v>
      </c>
    </row>
    <row r="199" spans="1:29" s="626" customFormat="1" ht="15" hidden="1" customHeight="1">
      <c r="A199" s="13" t="s">
        <v>25</v>
      </c>
      <c r="B199" s="14" t="s">
        <v>25</v>
      </c>
      <c r="C199" s="16" t="s">
        <v>668</v>
      </c>
      <c r="D199" s="16" t="s">
        <v>669</v>
      </c>
      <c r="E199" s="855" t="s">
        <v>402</v>
      </c>
      <c r="F199" s="16">
        <v>101084827</v>
      </c>
      <c r="G199" s="13">
        <v>778703043</v>
      </c>
      <c r="H199" s="13">
        <v>5.8457910000000002</v>
      </c>
      <c r="I199" s="16">
        <v>-5.3646929999999999</v>
      </c>
      <c r="J199" s="16" t="s">
        <v>36</v>
      </c>
      <c r="K199" s="16" t="s">
        <v>190</v>
      </c>
      <c r="L199" s="16" t="s">
        <v>579</v>
      </c>
      <c r="M199" s="22" t="s">
        <v>1241</v>
      </c>
      <c r="N199" s="22">
        <v>2150016372</v>
      </c>
      <c r="O199" s="20">
        <v>45709</v>
      </c>
      <c r="P199" s="18">
        <f t="shared" ca="1" si="4"/>
        <v>359</v>
      </c>
      <c r="Q199" s="20">
        <v>45710</v>
      </c>
      <c r="R199" s="16" t="s">
        <v>30</v>
      </c>
      <c r="S199" s="16"/>
      <c r="T199" s="16">
        <v>3</v>
      </c>
      <c r="U199" s="20">
        <v>45735</v>
      </c>
      <c r="V199" s="14" t="s">
        <v>310</v>
      </c>
      <c r="W199" s="16">
        <v>250</v>
      </c>
      <c r="X199" s="21" t="s">
        <v>32</v>
      </c>
      <c r="Y199" s="16" t="s">
        <v>228</v>
      </c>
      <c r="Z199" s="16"/>
      <c r="AA199" s="16" t="s">
        <v>532</v>
      </c>
      <c r="AB199" s="16" t="s">
        <v>16</v>
      </c>
      <c r="AC199" s="16" t="s">
        <v>1231</v>
      </c>
    </row>
    <row r="200" spans="1:29" s="626" customFormat="1" ht="15" hidden="1" customHeight="1">
      <c r="A200" s="13" t="s">
        <v>25</v>
      </c>
      <c r="B200" s="14" t="s">
        <v>25</v>
      </c>
      <c r="C200" s="13" t="s">
        <v>968</v>
      </c>
      <c r="D200" s="13" t="s">
        <v>969</v>
      </c>
      <c r="E200" s="13" t="s">
        <v>970</v>
      </c>
      <c r="F200" s="13">
        <v>142892983</v>
      </c>
      <c r="G200" s="13">
        <v>708456803</v>
      </c>
      <c r="H200" s="16">
        <v>5.8365289999999996</v>
      </c>
      <c r="I200" s="16" t="s">
        <v>1075</v>
      </c>
      <c r="J200" s="16" t="s">
        <v>36</v>
      </c>
      <c r="K200" s="16" t="s">
        <v>198</v>
      </c>
      <c r="L200" s="16" t="s">
        <v>581</v>
      </c>
      <c r="M200" s="22" t="s">
        <v>1143</v>
      </c>
      <c r="N200" s="22">
        <v>2150012041</v>
      </c>
      <c r="O200" s="19">
        <v>45721</v>
      </c>
      <c r="P200" s="18">
        <f t="shared" ca="1" si="4"/>
        <v>347</v>
      </c>
      <c r="Q200" s="19">
        <v>45722</v>
      </c>
      <c r="R200" s="16" t="s">
        <v>30</v>
      </c>
      <c r="S200" s="16"/>
      <c r="T200" s="16">
        <v>0</v>
      </c>
      <c r="U200" s="20">
        <v>45735</v>
      </c>
      <c r="V200" s="14" t="s">
        <v>310</v>
      </c>
      <c r="W200" s="16">
        <v>150</v>
      </c>
      <c r="X200" s="21" t="s">
        <v>32</v>
      </c>
      <c r="Y200" s="16" t="s">
        <v>228</v>
      </c>
      <c r="Z200" s="16"/>
      <c r="AA200" s="16" t="s">
        <v>532</v>
      </c>
      <c r="AB200" s="16" t="s">
        <v>16</v>
      </c>
      <c r="AC200" s="16" t="s">
        <v>1182</v>
      </c>
    </row>
    <row r="201" spans="1:29" s="626" customFormat="1" ht="15" hidden="1" customHeight="1">
      <c r="A201" s="13" t="s">
        <v>25</v>
      </c>
      <c r="B201" s="14" t="s">
        <v>25</v>
      </c>
      <c r="C201" s="13" t="s">
        <v>1103</v>
      </c>
      <c r="D201" s="13" t="s">
        <v>1104</v>
      </c>
      <c r="E201" s="13" t="s">
        <v>295</v>
      </c>
      <c r="F201" s="13">
        <v>103463874</v>
      </c>
      <c r="G201" s="13">
        <v>749254087</v>
      </c>
      <c r="H201" s="16">
        <v>5.8365720000000003</v>
      </c>
      <c r="I201" s="16">
        <v>-5.3586549999999997</v>
      </c>
      <c r="J201" s="16" t="s">
        <v>36</v>
      </c>
      <c r="K201" s="13" t="s">
        <v>198</v>
      </c>
      <c r="L201" s="13" t="s">
        <v>1165</v>
      </c>
      <c r="M201" s="22" t="s">
        <v>1234</v>
      </c>
      <c r="N201" s="22">
        <v>2150012045</v>
      </c>
      <c r="O201" s="19">
        <v>45727</v>
      </c>
      <c r="P201" s="18">
        <f t="shared" ca="1" si="4"/>
        <v>341</v>
      </c>
      <c r="Q201" s="19">
        <v>45728</v>
      </c>
      <c r="R201" s="16" t="s">
        <v>30</v>
      </c>
      <c r="S201" s="16"/>
      <c r="T201" s="16">
        <v>0</v>
      </c>
      <c r="U201" s="20">
        <v>45735</v>
      </c>
      <c r="V201" s="16" t="s">
        <v>310</v>
      </c>
      <c r="W201" s="16">
        <v>100</v>
      </c>
      <c r="X201" s="21" t="s">
        <v>32</v>
      </c>
      <c r="Y201" s="16" t="s">
        <v>626</v>
      </c>
      <c r="Z201" s="16"/>
      <c r="AA201" s="16" t="s">
        <v>532</v>
      </c>
      <c r="AB201" s="16" t="s">
        <v>16</v>
      </c>
      <c r="AC201" s="16" t="s">
        <v>1076</v>
      </c>
    </row>
    <row r="202" spans="1:29" s="627" customFormat="1" ht="15" hidden="1" customHeight="1">
      <c r="A202" s="13" t="s">
        <v>25</v>
      </c>
      <c r="B202" s="14" t="s">
        <v>25</v>
      </c>
      <c r="C202" s="15" t="s">
        <v>1174</v>
      </c>
      <c r="D202" s="15" t="s">
        <v>1175</v>
      </c>
      <c r="E202" s="15" t="s">
        <v>1004</v>
      </c>
      <c r="F202" s="15">
        <v>707489669</v>
      </c>
      <c r="G202" s="15">
        <v>747664345</v>
      </c>
      <c r="H202" s="16">
        <v>5.8399130000000001</v>
      </c>
      <c r="I202" s="16">
        <v>-5.3665200000000004</v>
      </c>
      <c r="J202" s="15" t="s">
        <v>36</v>
      </c>
      <c r="K202" s="16" t="s">
        <v>203</v>
      </c>
      <c r="L202" s="16" t="s">
        <v>1188</v>
      </c>
      <c r="M202" s="22" t="s">
        <v>1235</v>
      </c>
      <c r="N202" s="22">
        <v>2150016557</v>
      </c>
      <c r="O202" s="17">
        <v>45729</v>
      </c>
      <c r="P202" s="18">
        <f t="shared" ca="1" si="4"/>
        <v>339</v>
      </c>
      <c r="Q202" s="19">
        <v>45730</v>
      </c>
      <c r="R202" s="16" t="s">
        <v>30</v>
      </c>
      <c r="S202" s="16"/>
      <c r="T202" s="16">
        <v>0</v>
      </c>
      <c r="U202" s="20">
        <v>45735</v>
      </c>
      <c r="V202" s="16" t="s">
        <v>310</v>
      </c>
      <c r="W202" s="16">
        <v>100</v>
      </c>
      <c r="X202" s="21" t="s">
        <v>32</v>
      </c>
      <c r="Y202" s="16" t="s">
        <v>1293</v>
      </c>
      <c r="Z202" s="24"/>
      <c r="AA202" s="24" t="s">
        <v>532</v>
      </c>
      <c r="AB202" s="24" t="s">
        <v>16</v>
      </c>
      <c r="AC202" s="24" t="s">
        <v>1164</v>
      </c>
    </row>
    <row r="203" spans="1:29" s="627" customFormat="1" ht="15" hidden="1" customHeight="1">
      <c r="A203" s="14" t="s">
        <v>25</v>
      </c>
      <c r="B203" s="14" t="s">
        <v>25</v>
      </c>
      <c r="C203" s="15" t="s">
        <v>1176</v>
      </c>
      <c r="D203" s="15" t="s">
        <v>1177</v>
      </c>
      <c r="E203" s="15" t="s">
        <v>1178</v>
      </c>
      <c r="F203" s="15">
        <v>747260581</v>
      </c>
      <c r="G203" s="15">
        <v>758972550</v>
      </c>
      <c r="H203" s="16">
        <v>5.8371320000000004</v>
      </c>
      <c r="I203" s="16">
        <v>-5.3596640000000004</v>
      </c>
      <c r="J203" s="15" t="s">
        <v>36</v>
      </c>
      <c r="K203" s="16" t="s">
        <v>198</v>
      </c>
      <c r="L203" s="16" t="s">
        <v>581</v>
      </c>
      <c r="M203" s="22" t="s">
        <v>1239</v>
      </c>
      <c r="N203" s="22">
        <v>2150016561</v>
      </c>
      <c r="O203" s="17">
        <v>45729</v>
      </c>
      <c r="P203" s="18">
        <f t="shared" ca="1" si="4"/>
        <v>339</v>
      </c>
      <c r="Q203" s="19">
        <v>45730</v>
      </c>
      <c r="R203" s="16" t="s">
        <v>30</v>
      </c>
      <c r="S203" s="16"/>
      <c r="T203" s="16">
        <v>0</v>
      </c>
      <c r="U203" s="20">
        <v>45735</v>
      </c>
      <c r="V203" s="16" t="s">
        <v>310</v>
      </c>
      <c r="W203" s="16">
        <v>150</v>
      </c>
      <c r="X203" s="21" t="s">
        <v>32</v>
      </c>
      <c r="Y203" s="16" t="s">
        <v>245</v>
      </c>
      <c r="Z203" s="24"/>
      <c r="AA203" s="24" t="s">
        <v>532</v>
      </c>
      <c r="AB203" s="24" t="s">
        <v>16</v>
      </c>
      <c r="AC203" s="34" t="s">
        <v>1288</v>
      </c>
    </row>
    <row r="204" spans="1:29" s="627" customFormat="1" ht="15" hidden="1" customHeight="1">
      <c r="A204" s="14" t="s">
        <v>25</v>
      </c>
      <c r="B204" s="14" t="s">
        <v>25</v>
      </c>
      <c r="C204" s="13" t="s">
        <v>1212</v>
      </c>
      <c r="D204" s="13" t="s">
        <v>1213</v>
      </c>
      <c r="E204" s="13" t="s">
        <v>1223</v>
      </c>
      <c r="F204" s="13">
        <v>504754654</v>
      </c>
      <c r="G204" s="13">
        <v>788828654</v>
      </c>
      <c r="H204" s="16">
        <v>5.8440969999999997</v>
      </c>
      <c r="I204" s="16">
        <v>-5.3669570000000002</v>
      </c>
      <c r="J204" s="13" t="s">
        <v>36</v>
      </c>
      <c r="K204" s="16" t="s">
        <v>190</v>
      </c>
      <c r="L204" s="16" t="s">
        <v>544</v>
      </c>
      <c r="M204" s="22" t="s">
        <v>1248</v>
      </c>
      <c r="N204" s="22">
        <v>2150016370</v>
      </c>
      <c r="O204" s="19">
        <v>45733</v>
      </c>
      <c r="P204" s="18">
        <f t="shared" ca="1" si="4"/>
        <v>336</v>
      </c>
      <c r="Q204" s="19">
        <v>45733</v>
      </c>
      <c r="R204" s="16" t="s">
        <v>30</v>
      </c>
      <c r="S204" s="16"/>
      <c r="T204" s="16">
        <v>0</v>
      </c>
      <c r="U204" s="20">
        <v>45735</v>
      </c>
      <c r="V204" s="16" t="s">
        <v>310</v>
      </c>
      <c r="W204" s="16">
        <v>100</v>
      </c>
      <c r="X204" s="21" t="s">
        <v>32</v>
      </c>
      <c r="Y204" s="16" t="s">
        <v>626</v>
      </c>
      <c r="Z204" s="24"/>
      <c r="AA204" s="24" t="s">
        <v>532</v>
      </c>
      <c r="AB204" s="24" t="s">
        <v>16</v>
      </c>
      <c r="AC204" s="24" t="s">
        <v>1276</v>
      </c>
    </row>
    <row r="205" spans="1:29" s="627" customFormat="1" ht="15" hidden="1" customHeight="1">
      <c r="A205" s="13" t="s">
        <v>25</v>
      </c>
      <c r="B205" s="14" t="s">
        <v>25</v>
      </c>
      <c r="C205" s="13" t="s">
        <v>1214</v>
      </c>
      <c r="D205" s="13" t="s">
        <v>1215</v>
      </c>
      <c r="E205" s="13" t="s">
        <v>375</v>
      </c>
      <c r="F205" s="13">
        <v>748294315</v>
      </c>
      <c r="G205" s="13">
        <v>748294315</v>
      </c>
      <c r="H205" s="16">
        <v>5.8408639999999998</v>
      </c>
      <c r="I205" s="16">
        <v>-5.3670210000000003</v>
      </c>
      <c r="J205" s="13" t="s">
        <v>36</v>
      </c>
      <c r="K205" s="16" t="s">
        <v>203</v>
      </c>
      <c r="L205" s="13" t="s">
        <v>1132</v>
      </c>
      <c r="M205" s="22" t="s">
        <v>1249</v>
      </c>
      <c r="N205" s="22">
        <v>2150016369</v>
      </c>
      <c r="O205" s="19">
        <v>45733</v>
      </c>
      <c r="P205" s="18">
        <f t="shared" ca="1" si="4"/>
        <v>336</v>
      </c>
      <c r="Q205" s="19">
        <v>45733</v>
      </c>
      <c r="R205" s="16" t="s">
        <v>30</v>
      </c>
      <c r="S205" s="16"/>
      <c r="T205" s="16">
        <v>0</v>
      </c>
      <c r="U205" s="20">
        <v>45735</v>
      </c>
      <c r="V205" s="16" t="s">
        <v>310</v>
      </c>
      <c r="W205" s="16">
        <v>100</v>
      </c>
      <c r="X205" s="21" t="s">
        <v>32</v>
      </c>
      <c r="Y205" s="16" t="s">
        <v>626</v>
      </c>
      <c r="Z205" s="24"/>
      <c r="AA205" s="24" t="s">
        <v>532</v>
      </c>
      <c r="AB205" s="24" t="s">
        <v>16</v>
      </c>
      <c r="AC205" s="24" t="s">
        <v>1037</v>
      </c>
    </row>
    <row r="206" spans="1:29" s="627" customFormat="1" ht="15" hidden="1" customHeight="1">
      <c r="A206" s="23" t="s">
        <v>25</v>
      </c>
      <c r="B206" s="28" t="s">
        <v>25</v>
      </c>
      <c r="C206" s="29" t="s">
        <v>922</v>
      </c>
      <c r="D206" s="29" t="s">
        <v>923</v>
      </c>
      <c r="E206" s="29" t="s">
        <v>125</v>
      </c>
      <c r="F206" s="29">
        <v>142887437</v>
      </c>
      <c r="G206" s="29">
        <v>747500995</v>
      </c>
      <c r="H206" s="24">
        <v>5.8440529999999997</v>
      </c>
      <c r="I206" s="24">
        <f>--5.346406</f>
        <v>5.346406</v>
      </c>
      <c r="J206" s="29" t="s">
        <v>189</v>
      </c>
      <c r="K206" s="24" t="s">
        <v>274</v>
      </c>
      <c r="L206" s="24" t="s">
        <v>735</v>
      </c>
      <c r="M206" s="36" t="s">
        <v>1148</v>
      </c>
      <c r="N206" s="36">
        <v>2150012059</v>
      </c>
      <c r="O206" s="40">
        <v>45720</v>
      </c>
      <c r="P206" s="31">
        <f t="shared" ca="1" si="4"/>
        <v>349</v>
      </c>
      <c r="Q206" s="40">
        <v>45720</v>
      </c>
      <c r="R206" s="24" t="s">
        <v>30</v>
      </c>
      <c r="S206" s="24"/>
      <c r="T206" s="24">
        <v>0</v>
      </c>
      <c r="U206" s="32">
        <v>45736</v>
      </c>
      <c r="V206" s="24" t="s">
        <v>310</v>
      </c>
      <c r="W206" s="24">
        <v>150</v>
      </c>
      <c r="X206" s="41" t="s">
        <v>32</v>
      </c>
      <c r="Y206" s="24" t="s">
        <v>245</v>
      </c>
      <c r="Z206" s="24"/>
      <c r="AA206" s="24" t="s">
        <v>532</v>
      </c>
      <c r="AB206" s="24" t="s">
        <v>16</v>
      </c>
      <c r="AC206" s="24" t="s">
        <v>1162</v>
      </c>
    </row>
    <row r="207" spans="1:29" s="627" customFormat="1" ht="15" hidden="1" customHeight="1">
      <c r="A207" s="23" t="s">
        <v>25</v>
      </c>
      <c r="B207" s="28" t="s">
        <v>25</v>
      </c>
      <c r="C207" s="23" t="s">
        <v>1108</v>
      </c>
      <c r="D207" s="23" t="s">
        <v>1109</v>
      </c>
      <c r="E207" s="23" t="s">
        <v>25</v>
      </c>
      <c r="F207" s="23">
        <v>709000306</v>
      </c>
      <c r="G207" s="23">
        <v>103866044</v>
      </c>
      <c r="H207" s="24">
        <v>5.8349089999999997</v>
      </c>
      <c r="I207" s="24">
        <v>-5.3616770000000002</v>
      </c>
      <c r="J207" s="29" t="s">
        <v>36</v>
      </c>
      <c r="K207" s="24" t="s">
        <v>198</v>
      </c>
      <c r="L207" s="24" t="s">
        <v>950</v>
      </c>
      <c r="M207" s="36" t="s">
        <v>1240</v>
      </c>
      <c r="N207" s="36">
        <v>2150016371</v>
      </c>
      <c r="O207" s="30">
        <v>45727</v>
      </c>
      <c r="P207" s="31">
        <f t="shared" ca="1" si="4"/>
        <v>341</v>
      </c>
      <c r="Q207" s="30">
        <v>45728</v>
      </c>
      <c r="R207" s="24" t="s">
        <v>30</v>
      </c>
      <c r="S207" s="24"/>
      <c r="T207" s="24">
        <v>0</v>
      </c>
      <c r="U207" s="32">
        <v>45736</v>
      </c>
      <c r="V207" s="24" t="s">
        <v>310</v>
      </c>
      <c r="W207" s="24">
        <v>200</v>
      </c>
      <c r="X207" s="33" t="s">
        <v>32</v>
      </c>
      <c r="Y207" s="24" t="s">
        <v>228</v>
      </c>
      <c r="Z207" s="24"/>
      <c r="AA207" s="24" t="s">
        <v>532</v>
      </c>
      <c r="AB207" s="24" t="s">
        <v>16</v>
      </c>
      <c r="AC207" s="24" t="s">
        <v>1266</v>
      </c>
    </row>
    <row r="208" spans="1:29" s="627" customFormat="1" ht="15" hidden="1" customHeight="1">
      <c r="A208" s="23" t="s">
        <v>25</v>
      </c>
      <c r="B208" s="28" t="s">
        <v>25</v>
      </c>
      <c r="C208" s="23" t="s">
        <v>1095</v>
      </c>
      <c r="D208" s="23" t="s">
        <v>1096</v>
      </c>
      <c r="E208" s="23" t="s">
        <v>35</v>
      </c>
      <c r="F208" s="23">
        <v>788151023</v>
      </c>
      <c r="G208" s="23">
        <v>171074357</v>
      </c>
      <c r="H208" s="24">
        <v>5.8402589999999996</v>
      </c>
      <c r="I208" s="24">
        <v>-5.3578770000000002</v>
      </c>
      <c r="J208" s="24" t="s">
        <v>36</v>
      </c>
      <c r="K208" s="24" t="s">
        <v>190</v>
      </c>
      <c r="L208" s="24" t="s">
        <v>639</v>
      </c>
      <c r="M208" s="36" t="s">
        <v>1237</v>
      </c>
      <c r="N208" s="36">
        <v>2150016559</v>
      </c>
      <c r="O208" s="30">
        <v>45727</v>
      </c>
      <c r="P208" s="31">
        <f t="shared" ca="1" si="4"/>
        <v>341</v>
      </c>
      <c r="Q208" s="30">
        <v>45728</v>
      </c>
      <c r="R208" s="24" t="s">
        <v>30</v>
      </c>
      <c r="S208" s="24"/>
      <c r="T208" s="24">
        <v>0</v>
      </c>
      <c r="U208" s="32">
        <v>45736</v>
      </c>
      <c r="V208" s="24" t="s">
        <v>310</v>
      </c>
      <c r="W208" s="24">
        <v>150</v>
      </c>
      <c r="X208" s="33" t="s">
        <v>32</v>
      </c>
      <c r="Y208" s="24" t="s">
        <v>533</v>
      </c>
      <c r="Z208" s="24"/>
      <c r="AA208" s="24" t="s">
        <v>532</v>
      </c>
      <c r="AB208" s="24" t="s">
        <v>16</v>
      </c>
      <c r="AC208" s="24" t="s">
        <v>1054</v>
      </c>
    </row>
    <row r="209" spans="1:29" s="624" customFormat="1" ht="15" hidden="1" customHeight="1">
      <c r="A209" s="23" t="s">
        <v>25</v>
      </c>
      <c r="B209" s="28" t="s">
        <v>25</v>
      </c>
      <c r="C209" s="23" t="s">
        <v>1123</v>
      </c>
      <c r="D209" s="23" t="s">
        <v>1124</v>
      </c>
      <c r="E209" s="23" t="s">
        <v>1125</v>
      </c>
      <c r="F209" s="23">
        <v>757296279</v>
      </c>
      <c r="G209" s="23">
        <v>171828394</v>
      </c>
      <c r="H209" s="24">
        <v>5.8322849999999997</v>
      </c>
      <c r="I209" s="24">
        <v>-5.3604789999999998</v>
      </c>
      <c r="J209" s="23" t="s">
        <v>36</v>
      </c>
      <c r="K209" s="24" t="s">
        <v>198</v>
      </c>
      <c r="L209" s="24" t="s">
        <v>894</v>
      </c>
      <c r="M209" s="24" t="s">
        <v>1295</v>
      </c>
      <c r="N209" s="24">
        <v>2150016356</v>
      </c>
      <c r="O209" s="30">
        <v>45727</v>
      </c>
      <c r="P209" s="31">
        <f t="shared" ca="1" si="4"/>
        <v>340</v>
      </c>
      <c r="Q209" s="30">
        <v>45729</v>
      </c>
      <c r="R209" s="24" t="s">
        <v>30</v>
      </c>
      <c r="S209" s="24"/>
      <c r="T209" s="24">
        <v>0</v>
      </c>
      <c r="U209" s="32">
        <v>45736</v>
      </c>
      <c r="V209" s="24" t="s">
        <v>310</v>
      </c>
      <c r="W209" s="24">
        <v>100</v>
      </c>
      <c r="X209" s="33" t="s">
        <v>32</v>
      </c>
      <c r="Y209" s="24" t="s">
        <v>533</v>
      </c>
      <c r="Z209" s="26"/>
      <c r="AA209" s="26" t="s">
        <v>532</v>
      </c>
      <c r="AB209" s="26" t="s">
        <v>16</v>
      </c>
      <c r="AC209" s="26" t="s">
        <v>1138</v>
      </c>
    </row>
    <row r="210" spans="1:29" s="624" customFormat="1" ht="15" hidden="1" customHeight="1">
      <c r="A210" s="28" t="s">
        <v>25</v>
      </c>
      <c r="B210" s="28" t="s">
        <v>25</v>
      </c>
      <c r="C210" s="38" t="s">
        <v>1203</v>
      </c>
      <c r="D210" s="38" t="s">
        <v>1204</v>
      </c>
      <c r="E210" s="38" t="s">
        <v>1205</v>
      </c>
      <c r="F210" s="38">
        <v>152911358</v>
      </c>
      <c r="G210" s="38">
        <v>748368887</v>
      </c>
      <c r="H210" s="24">
        <v>5.8403390000000002</v>
      </c>
      <c r="I210" s="24">
        <v>-5.3565339999999999</v>
      </c>
      <c r="J210" s="38" t="s">
        <v>36</v>
      </c>
      <c r="K210" s="24" t="s">
        <v>190</v>
      </c>
      <c r="L210" s="24" t="s">
        <v>537</v>
      </c>
      <c r="M210" s="24" t="s">
        <v>1298</v>
      </c>
      <c r="N210" s="24">
        <v>2150016359</v>
      </c>
      <c r="O210" s="39">
        <v>45731</v>
      </c>
      <c r="P210" s="31">
        <f t="shared" ca="1" si="4"/>
        <v>337</v>
      </c>
      <c r="Q210" s="39">
        <v>45732</v>
      </c>
      <c r="R210" s="24" t="s">
        <v>30</v>
      </c>
      <c r="S210" s="24"/>
      <c r="T210" s="24">
        <v>0</v>
      </c>
      <c r="U210" s="32">
        <v>45736</v>
      </c>
      <c r="V210" s="24" t="s">
        <v>310</v>
      </c>
      <c r="W210" s="24">
        <v>250</v>
      </c>
      <c r="X210" s="33" t="s">
        <v>32</v>
      </c>
      <c r="Y210" s="24" t="s">
        <v>627</v>
      </c>
      <c r="Z210" s="26"/>
      <c r="AA210" s="26" t="s">
        <v>532</v>
      </c>
      <c r="AB210" s="26" t="s">
        <v>16</v>
      </c>
      <c r="AC210" s="26" t="s">
        <v>1184</v>
      </c>
    </row>
    <row r="211" spans="1:29" s="624" customFormat="1" ht="15" hidden="1" customHeight="1">
      <c r="A211" s="23" t="s">
        <v>25</v>
      </c>
      <c r="B211" s="28" t="s">
        <v>25</v>
      </c>
      <c r="C211" s="23" t="s">
        <v>1221</v>
      </c>
      <c r="D211" s="23" t="s">
        <v>1222</v>
      </c>
      <c r="E211" s="23" t="s">
        <v>84</v>
      </c>
      <c r="F211" s="23">
        <v>143007676</v>
      </c>
      <c r="G211" s="23">
        <v>769554652</v>
      </c>
      <c r="H211" s="24">
        <v>5.8355829999999997</v>
      </c>
      <c r="I211" s="24">
        <v>-5.3611760000000004</v>
      </c>
      <c r="J211" s="23" t="s">
        <v>36</v>
      </c>
      <c r="K211" s="24" t="s">
        <v>198</v>
      </c>
      <c r="L211" s="24" t="s">
        <v>1287</v>
      </c>
      <c r="M211" s="24" t="s">
        <v>1300</v>
      </c>
      <c r="N211" s="24">
        <v>2150016361</v>
      </c>
      <c r="O211" s="30">
        <v>45733</v>
      </c>
      <c r="P211" s="31">
        <f t="shared" ca="1" si="4"/>
        <v>336</v>
      </c>
      <c r="Q211" s="30">
        <v>45733</v>
      </c>
      <c r="R211" s="24" t="s">
        <v>30</v>
      </c>
      <c r="S211" s="24"/>
      <c r="T211" s="24">
        <v>0</v>
      </c>
      <c r="U211" s="32">
        <v>45736</v>
      </c>
      <c r="V211" s="24" t="s">
        <v>310</v>
      </c>
      <c r="W211" s="24">
        <v>200</v>
      </c>
      <c r="X211" s="33" t="s">
        <v>32</v>
      </c>
      <c r="Y211" s="24" t="s">
        <v>193</v>
      </c>
      <c r="Z211" s="26"/>
      <c r="AA211" s="26" t="s">
        <v>532</v>
      </c>
      <c r="AB211" s="26" t="s">
        <v>16</v>
      </c>
      <c r="AC211" s="26" t="s">
        <v>1055</v>
      </c>
    </row>
    <row r="212" spans="1:29" s="624" customFormat="1" ht="15" hidden="1" customHeight="1">
      <c r="A212" s="25" t="s">
        <v>25</v>
      </c>
      <c r="B212" s="42" t="s">
        <v>25</v>
      </c>
      <c r="C212" s="26" t="s">
        <v>926</v>
      </c>
      <c r="D212" s="26" t="s">
        <v>483</v>
      </c>
      <c r="E212" s="26" t="s">
        <v>927</v>
      </c>
      <c r="F212" s="26">
        <v>102508930</v>
      </c>
      <c r="G212" s="26">
        <v>102508930</v>
      </c>
      <c r="H212" s="26">
        <v>5.8422689999999999</v>
      </c>
      <c r="I212" s="26">
        <v>-5.3426600000000004</v>
      </c>
      <c r="J212" s="47" t="s">
        <v>189</v>
      </c>
      <c r="K212" s="26" t="s">
        <v>274</v>
      </c>
      <c r="L212" s="26" t="s">
        <v>261</v>
      </c>
      <c r="M212" s="48" t="s">
        <v>1144</v>
      </c>
      <c r="N212" s="48">
        <v>2150012055</v>
      </c>
      <c r="O212" s="45">
        <v>45719</v>
      </c>
      <c r="P212" s="44">
        <f t="shared" ca="1" si="4"/>
        <v>349</v>
      </c>
      <c r="Q212" s="45">
        <v>45720</v>
      </c>
      <c r="R212" s="26" t="s">
        <v>30</v>
      </c>
      <c r="S212" s="26"/>
      <c r="T212" s="26">
        <v>2</v>
      </c>
      <c r="U212" s="45">
        <v>45737</v>
      </c>
      <c r="V212" s="26" t="s">
        <v>310</v>
      </c>
      <c r="W212" s="26">
        <v>200</v>
      </c>
      <c r="X212" s="49" t="s">
        <v>32</v>
      </c>
      <c r="Y212" s="26" t="s">
        <v>697</v>
      </c>
      <c r="Z212" s="26"/>
      <c r="AA212" s="26" t="s">
        <v>532</v>
      </c>
      <c r="AB212" s="26" t="s">
        <v>16</v>
      </c>
      <c r="AC212" s="26" t="s">
        <v>1088</v>
      </c>
    </row>
    <row r="213" spans="1:29" s="624" customFormat="1" ht="15" hidden="1" customHeight="1">
      <c r="A213" s="25" t="s">
        <v>25</v>
      </c>
      <c r="B213" s="42" t="s">
        <v>25</v>
      </c>
      <c r="C213" s="25" t="s">
        <v>961</v>
      </c>
      <c r="D213" s="25" t="s">
        <v>962</v>
      </c>
      <c r="E213" s="25" t="s">
        <v>84</v>
      </c>
      <c r="F213" s="25">
        <v>152058353</v>
      </c>
      <c r="G213" s="25">
        <v>709321304</v>
      </c>
      <c r="H213" s="26">
        <v>5.8321730000000001</v>
      </c>
      <c r="I213" s="26">
        <v>-5.3599519999999998</v>
      </c>
      <c r="J213" s="26" t="s">
        <v>36</v>
      </c>
      <c r="K213" s="26" t="s">
        <v>198</v>
      </c>
      <c r="L213" s="26" t="s">
        <v>894</v>
      </c>
      <c r="M213" s="26" t="s">
        <v>1315</v>
      </c>
      <c r="N213" s="26">
        <v>2150016537</v>
      </c>
      <c r="O213" s="43">
        <v>45720</v>
      </c>
      <c r="P213" s="44">
        <f t="shared" ca="1" si="4"/>
        <v>347</v>
      </c>
      <c r="Q213" s="43">
        <v>45722</v>
      </c>
      <c r="R213" s="26" t="s">
        <v>30</v>
      </c>
      <c r="S213" s="26"/>
      <c r="T213" s="42">
        <v>1</v>
      </c>
      <c r="U213" s="45">
        <v>45737</v>
      </c>
      <c r="V213" s="42" t="s">
        <v>310</v>
      </c>
      <c r="W213" s="26">
        <v>250</v>
      </c>
      <c r="X213" s="46" t="s">
        <v>32</v>
      </c>
      <c r="Y213" s="26" t="s">
        <v>245</v>
      </c>
      <c r="Z213" s="26"/>
      <c r="AA213" s="26" t="s">
        <v>532</v>
      </c>
      <c r="AB213" s="26" t="s">
        <v>16</v>
      </c>
      <c r="AC213" s="26" t="s">
        <v>1313</v>
      </c>
    </row>
    <row r="214" spans="1:29" s="624" customFormat="1" ht="15" hidden="1" customHeight="1">
      <c r="A214" s="25" t="s">
        <v>25</v>
      </c>
      <c r="B214" s="42" t="s">
        <v>25</v>
      </c>
      <c r="C214" s="25" t="s">
        <v>1062</v>
      </c>
      <c r="D214" s="25" t="s">
        <v>1063</v>
      </c>
      <c r="E214" s="25" t="s">
        <v>621</v>
      </c>
      <c r="F214" s="25">
        <v>171851685</v>
      </c>
      <c r="G214" s="25">
        <v>748051567</v>
      </c>
      <c r="H214" s="26">
        <v>5.8503119999999997</v>
      </c>
      <c r="I214" s="26">
        <v>-5.3462249999999996</v>
      </c>
      <c r="J214" s="26" t="s">
        <v>189</v>
      </c>
      <c r="K214" s="26" t="s">
        <v>198</v>
      </c>
      <c r="L214" s="26" t="s">
        <v>1137</v>
      </c>
      <c r="M214" s="48" t="s">
        <v>1236</v>
      </c>
      <c r="N214" s="48">
        <v>2150016558</v>
      </c>
      <c r="O214" s="43">
        <v>45726</v>
      </c>
      <c r="P214" s="44">
        <f t="shared" ca="1" si="4"/>
        <v>342</v>
      </c>
      <c r="Q214" s="43">
        <v>45727</v>
      </c>
      <c r="R214" s="26" t="s">
        <v>30</v>
      </c>
      <c r="S214" s="26"/>
      <c r="T214" s="26">
        <v>1</v>
      </c>
      <c r="U214" s="45">
        <v>45737</v>
      </c>
      <c r="V214" s="42" t="s">
        <v>310</v>
      </c>
      <c r="W214" s="26">
        <v>150</v>
      </c>
      <c r="X214" s="46" t="s">
        <v>32</v>
      </c>
      <c r="Y214" s="26" t="s">
        <v>696</v>
      </c>
      <c r="Z214" s="26"/>
      <c r="AA214" s="26" t="s">
        <v>532</v>
      </c>
      <c r="AB214" s="51" t="s">
        <v>16</v>
      </c>
      <c r="AC214" s="26" t="s">
        <v>1289</v>
      </c>
    </row>
    <row r="215" spans="1:29" s="624" customFormat="1" ht="15" hidden="1" customHeight="1">
      <c r="A215" s="26" t="s">
        <v>25</v>
      </c>
      <c r="B215" s="42" t="s">
        <v>25</v>
      </c>
      <c r="C215" s="25" t="s">
        <v>1082</v>
      </c>
      <c r="D215" s="25" t="s">
        <v>618</v>
      </c>
      <c r="E215" s="25" t="s">
        <v>35</v>
      </c>
      <c r="F215" s="25">
        <v>151225122</v>
      </c>
      <c r="G215" s="25">
        <v>505964005</v>
      </c>
      <c r="H215" s="25">
        <v>5.8398450000000004</v>
      </c>
      <c r="I215" s="26">
        <v>-5.357996</v>
      </c>
      <c r="J215" s="26" t="s">
        <v>36</v>
      </c>
      <c r="K215" s="26" t="s">
        <v>190</v>
      </c>
      <c r="L215" s="26" t="s">
        <v>37</v>
      </c>
      <c r="M215" s="26" t="s">
        <v>1316</v>
      </c>
      <c r="N215" s="26">
        <v>2150016544</v>
      </c>
      <c r="O215" s="43">
        <v>45727</v>
      </c>
      <c r="P215" s="44">
        <f t="shared" ca="1" si="4"/>
        <v>341</v>
      </c>
      <c r="Q215" s="43">
        <v>45728</v>
      </c>
      <c r="R215" s="26" t="s">
        <v>30</v>
      </c>
      <c r="S215" s="26"/>
      <c r="T215" s="26">
        <v>1</v>
      </c>
      <c r="U215" s="45">
        <v>45737</v>
      </c>
      <c r="V215" s="26" t="s">
        <v>310</v>
      </c>
      <c r="W215" s="26">
        <v>150</v>
      </c>
      <c r="X215" s="46" t="s">
        <v>32</v>
      </c>
      <c r="Y215" s="26" t="s">
        <v>578</v>
      </c>
      <c r="Z215" s="26"/>
      <c r="AA215" s="26" t="s">
        <v>532</v>
      </c>
      <c r="AB215" s="26" t="s">
        <v>16</v>
      </c>
      <c r="AC215" s="26" t="s">
        <v>1074</v>
      </c>
    </row>
    <row r="216" spans="1:29" s="624" customFormat="1" ht="15" hidden="1" customHeight="1">
      <c r="A216" s="42" t="s">
        <v>25</v>
      </c>
      <c r="B216" s="42" t="s">
        <v>25</v>
      </c>
      <c r="C216" s="25" t="s">
        <v>1091</v>
      </c>
      <c r="D216" s="25" t="s">
        <v>1092</v>
      </c>
      <c r="E216" s="25" t="s">
        <v>35</v>
      </c>
      <c r="F216" s="25">
        <v>140826262</v>
      </c>
      <c r="G216" s="25">
        <v>709595540</v>
      </c>
      <c r="H216" s="26">
        <v>5.8401360000000002</v>
      </c>
      <c r="I216" s="26">
        <v>-5.3582280000000004</v>
      </c>
      <c r="J216" s="26" t="s">
        <v>36</v>
      </c>
      <c r="K216" s="26" t="s">
        <v>190</v>
      </c>
      <c r="L216" s="26" t="s">
        <v>639</v>
      </c>
      <c r="M216" s="26" t="s">
        <v>1317</v>
      </c>
      <c r="N216" s="26">
        <v>2150016542</v>
      </c>
      <c r="O216" s="43">
        <v>45727</v>
      </c>
      <c r="P216" s="44">
        <f t="shared" ca="1" si="4"/>
        <v>341</v>
      </c>
      <c r="Q216" s="43">
        <v>45728</v>
      </c>
      <c r="R216" s="26" t="s">
        <v>30</v>
      </c>
      <c r="S216" s="26"/>
      <c r="T216" s="26">
        <v>4</v>
      </c>
      <c r="U216" s="45">
        <v>45737</v>
      </c>
      <c r="V216" s="26" t="s">
        <v>310</v>
      </c>
      <c r="W216" s="26">
        <v>250</v>
      </c>
      <c r="X216" s="46" t="s">
        <v>32</v>
      </c>
      <c r="Y216" s="26" t="s">
        <v>578</v>
      </c>
      <c r="Z216" s="26"/>
      <c r="AA216" s="26" t="s">
        <v>532</v>
      </c>
      <c r="AB216" s="26" t="s">
        <v>16</v>
      </c>
      <c r="AC216" s="26" t="s">
        <v>1183</v>
      </c>
    </row>
    <row r="217" spans="1:29" s="629" customFormat="1" ht="15" hidden="1" customHeight="1">
      <c r="A217" s="25" t="s">
        <v>25</v>
      </c>
      <c r="B217" s="42" t="s">
        <v>25</v>
      </c>
      <c r="C217" s="25" t="s">
        <v>1113</v>
      </c>
      <c r="D217" s="25" t="s">
        <v>1114</v>
      </c>
      <c r="E217" s="25" t="s">
        <v>1115</v>
      </c>
      <c r="F217" s="25">
        <v>170928975</v>
      </c>
      <c r="G217" s="25">
        <v>758133939</v>
      </c>
      <c r="H217" s="26">
        <v>5.8371320000000004</v>
      </c>
      <c r="I217" s="26">
        <v>-5.3596640000000004</v>
      </c>
      <c r="J217" s="25" t="s">
        <v>189</v>
      </c>
      <c r="K217" s="26" t="s">
        <v>190</v>
      </c>
      <c r="L217" s="26" t="s">
        <v>625</v>
      </c>
      <c r="M217" s="48" t="s">
        <v>1246</v>
      </c>
      <c r="N217" s="48">
        <v>2150016367</v>
      </c>
      <c r="O217" s="43">
        <v>45728</v>
      </c>
      <c r="P217" s="44">
        <f t="shared" ca="1" si="4"/>
        <v>340</v>
      </c>
      <c r="Q217" s="43">
        <v>45729</v>
      </c>
      <c r="R217" s="26" t="s">
        <v>30</v>
      </c>
      <c r="S217" s="26"/>
      <c r="T217" s="26">
        <v>6</v>
      </c>
      <c r="U217" s="45">
        <v>45737</v>
      </c>
      <c r="V217" s="26" t="s">
        <v>310</v>
      </c>
      <c r="W217" s="26">
        <v>500</v>
      </c>
      <c r="X217" s="46" t="s">
        <v>32</v>
      </c>
      <c r="Y217" s="26" t="s">
        <v>697</v>
      </c>
      <c r="Z217" s="55"/>
      <c r="AA217" s="55" t="s">
        <v>532</v>
      </c>
      <c r="AB217" s="55" t="s">
        <v>16</v>
      </c>
      <c r="AC217" s="55" t="s">
        <v>1186</v>
      </c>
    </row>
    <row r="218" spans="1:29" s="629" customFormat="1" ht="15" hidden="1" customHeight="1">
      <c r="A218" s="25" t="s">
        <v>25</v>
      </c>
      <c r="B218" s="42" t="s">
        <v>25</v>
      </c>
      <c r="C218" s="27" t="s">
        <v>1167</v>
      </c>
      <c r="D218" s="27" t="s">
        <v>1168</v>
      </c>
      <c r="E218" s="27" t="s">
        <v>1169</v>
      </c>
      <c r="F218" s="27">
        <v>143198233</v>
      </c>
      <c r="G218" s="27">
        <v>152057918</v>
      </c>
      <c r="H218" s="26">
        <v>5.8320299999999996</v>
      </c>
      <c r="I218" s="26">
        <v>-5.3599870000000003</v>
      </c>
      <c r="J218" s="27" t="s">
        <v>36</v>
      </c>
      <c r="K218" s="26" t="s">
        <v>198</v>
      </c>
      <c r="L218" s="26" t="s">
        <v>894</v>
      </c>
      <c r="M218" s="26" t="s">
        <v>1318</v>
      </c>
      <c r="N218" s="26">
        <v>2150016541</v>
      </c>
      <c r="O218" s="52">
        <v>45727</v>
      </c>
      <c r="P218" s="44">
        <f t="shared" ca="1" si="4"/>
        <v>339</v>
      </c>
      <c r="Q218" s="43">
        <v>45730</v>
      </c>
      <c r="R218" s="26" t="s">
        <v>30</v>
      </c>
      <c r="S218" s="26"/>
      <c r="T218" s="26">
        <v>1</v>
      </c>
      <c r="U218" s="45">
        <v>45737</v>
      </c>
      <c r="V218" s="26" t="s">
        <v>310</v>
      </c>
      <c r="W218" s="26">
        <v>250</v>
      </c>
      <c r="X218" s="46" t="s">
        <v>32</v>
      </c>
      <c r="Y218" s="26" t="s">
        <v>343</v>
      </c>
      <c r="Z218" s="55"/>
      <c r="AA218" s="55" t="s">
        <v>532</v>
      </c>
      <c r="AB218" s="55" t="s">
        <v>16</v>
      </c>
      <c r="AC218" s="55" t="s">
        <v>1264</v>
      </c>
    </row>
    <row r="219" spans="1:29" s="629" customFormat="1" ht="15" hidden="1" customHeight="1">
      <c r="A219" s="24" t="s">
        <v>25</v>
      </c>
      <c r="B219" s="28" t="s">
        <v>25</v>
      </c>
      <c r="C219" s="91" t="s">
        <v>1282</v>
      </c>
      <c r="D219" s="91" t="s">
        <v>1283</v>
      </c>
      <c r="E219" s="91" t="s">
        <v>35</v>
      </c>
      <c r="F219" s="91">
        <v>150839043</v>
      </c>
      <c r="G219" s="91">
        <v>789147515</v>
      </c>
      <c r="H219" s="26">
        <v>5.8402830000000003</v>
      </c>
      <c r="I219" s="26">
        <v>-5.358479</v>
      </c>
      <c r="J219" s="91" t="s">
        <v>36</v>
      </c>
      <c r="K219" s="26" t="s">
        <v>190</v>
      </c>
      <c r="L219" s="26" t="s">
        <v>639</v>
      </c>
      <c r="M219" s="26" t="s">
        <v>1321</v>
      </c>
      <c r="N219" s="26">
        <v>2150016364</v>
      </c>
      <c r="O219" s="50">
        <v>45734</v>
      </c>
      <c r="P219" s="44">
        <f t="shared" ca="1" si="4"/>
        <v>334</v>
      </c>
      <c r="Q219" s="50">
        <v>45735</v>
      </c>
      <c r="R219" s="26" t="s">
        <v>30</v>
      </c>
      <c r="S219" s="26"/>
      <c r="T219" s="26">
        <v>1</v>
      </c>
      <c r="U219" s="45">
        <v>45737</v>
      </c>
      <c r="V219" s="26" t="s">
        <v>310</v>
      </c>
      <c r="W219" s="26">
        <v>200</v>
      </c>
      <c r="X219" s="46" t="s">
        <v>32</v>
      </c>
      <c r="Y219" s="26" t="s">
        <v>627</v>
      </c>
      <c r="Z219" s="55"/>
      <c r="AA219" s="55" t="s">
        <v>532</v>
      </c>
      <c r="AB219" s="55" t="s">
        <v>16</v>
      </c>
      <c r="AC219" s="55" t="s">
        <v>1053</v>
      </c>
    </row>
    <row r="220" spans="1:29" s="629" customFormat="1" ht="15" hidden="1" customHeight="1">
      <c r="A220" s="55" t="s">
        <v>25</v>
      </c>
      <c r="B220" s="54" t="s">
        <v>25</v>
      </c>
      <c r="C220" s="62" t="s">
        <v>862</v>
      </c>
      <c r="D220" s="62" t="s">
        <v>863</v>
      </c>
      <c r="E220" s="62" t="s">
        <v>864</v>
      </c>
      <c r="F220" s="62">
        <v>101882411</v>
      </c>
      <c r="G220" s="62">
        <v>708000795</v>
      </c>
      <c r="H220" s="55">
        <v>5.8317870000000003</v>
      </c>
      <c r="I220" s="55">
        <v>-5.3597580000000002</v>
      </c>
      <c r="J220" s="63" t="s">
        <v>36</v>
      </c>
      <c r="K220" s="55" t="s">
        <v>198</v>
      </c>
      <c r="L220" s="55" t="s">
        <v>278</v>
      </c>
      <c r="M220" s="55" t="s">
        <v>1314</v>
      </c>
      <c r="N220" s="55">
        <v>2150016538</v>
      </c>
      <c r="O220" s="64">
        <v>45716</v>
      </c>
      <c r="P220" s="57">
        <f t="shared" ref="P220:P251" ca="1" si="5">TODAY()-Q220</f>
        <v>352</v>
      </c>
      <c r="Q220" s="64">
        <v>45717</v>
      </c>
      <c r="R220" s="55" t="s">
        <v>30</v>
      </c>
      <c r="S220" s="55"/>
      <c r="T220" s="55">
        <v>1</v>
      </c>
      <c r="U220" s="58">
        <v>45738</v>
      </c>
      <c r="V220" s="55" t="s">
        <v>310</v>
      </c>
      <c r="W220" s="55">
        <v>300</v>
      </c>
      <c r="X220" s="65" t="s">
        <v>32</v>
      </c>
      <c r="Y220" s="55" t="s">
        <v>245</v>
      </c>
      <c r="Z220" s="55"/>
      <c r="AA220" s="55" t="s">
        <v>532</v>
      </c>
      <c r="AB220" s="55" t="s">
        <v>16</v>
      </c>
      <c r="AC220" s="55" t="s">
        <v>1073</v>
      </c>
    </row>
    <row r="221" spans="1:29" s="629" customFormat="1" ht="15" hidden="1" customHeight="1">
      <c r="A221" s="25" t="s">
        <v>25</v>
      </c>
      <c r="B221" s="42" t="s">
        <v>25</v>
      </c>
      <c r="C221" s="53" t="s">
        <v>963</v>
      </c>
      <c r="D221" s="53" t="s">
        <v>964</v>
      </c>
      <c r="E221" s="53" t="s">
        <v>55</v>
      </c>
      <c r="F221" s="53">
        <v>101821002</v>
      </c>
      <c r="G221" s="53">
        <v>101821002</v>
      </c>
      <c r="H221" s="55">
        <v>5.8416790000000001</v>
      </c>
      <c r="I221" s="55">
        <v>-5.3418780000000003</v>
      </c>
      <c r="J221" s="55" t="s">
        <v>189</v>
      </c>
      <c r="K221" s="55" t="s">
        <v>274</v>
      </c>
      <c r="L221" s="55" t="s">
        <v>283</v>
      </c>
      <c r="M221" s="61" t="s">
        <v>1146</v>
      </c>
      <c r="N221" s="61">
        <v>2150012057</v>
      </c>
      <c r="O221" s="56">
        <v>45721</v>
      </c>
      <c r="P221" s="57">
        <f t="shared" ca="1" si="5"/>
        <v>347</v>
      </c>
      <c r="Q221" s="56">
        <v>45722</v>
      </c>
      <c r="R221" s="55" t="s">
        <v>30</v>
      </c>
      <c r="S221" s="55"/>
      <c r="T221" s="55">
        <v>1</v>
      </c>
      <c r="U221" s="58">
        <v>45738</v>
      </c>
      <c r="V221" s="54" t="s">
        <v>310</v>
      </c>
      <c r="W221" s="55">
        <v>300</v>
      </c>
      <c r="X221" s="59" t="s">
        <v>32</v>
      </c>
      <c r="Y221" s="55" t="s">
        <v>533</v>
      </c>
      <c r="Z221" s="55"/>
      <c r="AA221" s="55" t="s">
        <v>532</v>
      </c>
      <c r="AB221" s="55" t="s">
        <v>16</v>
      </c>
      <c r="AC221" s="55" t="s">
        <v>972</v>
      </c>
    </row>
    <row r="222" spans="1:29" s="630" customFormat="1" ht="15" hidden="1" customHeight="1">
      <c r="A222" s="53" t="s">
        <v>25</v>
      </c>
      <c r="B222" s="54" t="s">
        <v>25</v>
      </c>
      <c r="C222" s="53" t="s">
        <v>1008</v>
      </c>
      <c r="D222" s="53" t="s">
        <v>1006</v>
      </c>
      <c r="E222" s="53" t="s">
        <v>110</v>
      </c>
      <c r="F222" s="53">
        <v>140381940</v>
      </c>
      <c r="G222" s="53">
        <v>708858764</v>
      </c>
      <c r="H222" s="55">
        <v>5.8400319999999999</v>
      </c>
      <c r="I222" s="55">
        <v>-5.340541</v>
      </c>
      <c r="J222" s="55" t="s">
        <v>189</v>
      </c>
      <c r="K222" s="55" t="s">
        <v>274</v>
      </c>
      <c r="L222" s="55" t="s">
        <v>715</v>
      </c>
      <c r="M222" s="61" t="s">
        <v>1153</v>
      </c>
      <c r="N222" s="61">
        <v>2150012052</v>
      </c>
      <c r="O222" s="56">
        <v>45723</v>
      </c>
      <c r="P222" s="57">
        <f t="shared" ca="1" si="5"/>
        <v>346</v>
      </c>
      <c r="Q222" s="56">
        <v>45723</v>
      </c>
      <c r="R222" s="56" t="s">
        <v>30</v>
      </c>
      <c r="S222" s="55"/>
      <c r="T222" s="55">
        <v>1</v>
      </c>
      <c r="U222" s="58">
        <v>45738</v>
      </c>
      <c r="V222" s="54" t="s">
        <v>310</v>
      </c>
      <c r="W222" s="55">
        <v>150</v>
      </c>
      <c r="X222" s="59" t="s">
        <v>32</v>
      </c>
      <c r="Y222" s="55" t="s">
        <v>343</v>
      </c>
      <c r="Z222" s="68"/>
      <c r="AA222" s="68" t="s">
        <v>532</v>
      </c>
      <c r="AB222" s="68" t="s">
        <v>16</v>
      </c>
      <c r="AC222" s="68" t="s">
        <v>1227</v>
      </c>
    </row>
    <row r="223" spans="1:29" s="630" customFormat="1" ht="15" hidden="1" customHeight="1">
      <c r="A223" s="54" t="s">
        <v>25</v>
      </c>
      <c r="B223" s="54" t="s">
        <v>25</v>
      </c>
      <c r="C223" s="53" t="s">
        <v>1179</v>
      </c>
      <c r="D223" s="53" t="s">
        <v>1180</v>
      </c>
      <c r="E223" s="53" t="s">
        <v>1181</v>
      </c>
      <c r="F223" s="53">
        <v>102281351</v>
      </c>
      <c r="G223" s="53">
        <v>707104362</v>
      </c>
      <c r="H223" s="55">
        <v>5.839156</v>
      </c>
      <c r="I223" s="55">
        <v>-5.3418489999999998</v>
      </c>
      <c r="J223" s="53" t="s">
        <v>189</v>
      </c>
      <c r="K223" s="55" t="s">
        <v>274</v>
      </c>
      <c r="L223" s="55" t="s">
        <v>715</v>
      </c>
      <c r="M223" s="55" t="s">
        <v>1297</v>
      </c>
      <c r="N223" s="55">
        <v>2150016360</v>
      </c>
      <c r="O223" s="56">
        <v>45729</v>
      </c>
      <c r="P223" s="57">
        <f t="shared" ca="1" si="5"/>
        <v>339</v>
      </c>
      <c r="Q223" s="56">
        <v>45730</v>
      </c>
      <c r="R223" s="55" t="s">
        <v>30</v>
      </c>
      <c r="S223" s="55"/>
      <c r="T223" s="55">
        <v>6</v>
      </c>
      <c r="U223" s="58">
        <v>45738</v>
      </c>
      <c r="V223" s="55" t="s">
        <v>310</v>
      </c>
      <c r="W223" s="55">
        <v>400</v>
      </c>
      <c r="X223" s="59" t="s">
        <v>32</v>
      </c>
      <c r="Y223" s="55" t="s">
        <v>343</v>
      </c>
      <c r="Z223" s="68"/>
      <c r="AA223" s="68" t="s">
        <v>532</v>
      </c>
      <c r="AB223" s="68" t="s">
        <v>16</v>
      </c>
      <c r="AC223" s="68" t="s">
        <v>1323</v>
      </c>
    </row>
    <row r="224" spans="1:29" s="630" customFormat="1" ht="15" hidden="1" customHeight="1">
      <c r="A224" s="53" t="s">
        <v>25</v>
      </c>
      <c r="B224" s="54" t="s">
        <v>25</v>
      </c>
      <c r="C224" s="53" t="s">
        <v>1250</v>
      </c>
      <c r="D224" s="53" t="s">
        <v>1251</v>
      </c>
      <c r="E224" s="53" t="s">
        <v>571</v>
      </c>
      <c r="F224" s="53">
        <v>170687001</v>
      </c>
      <c r="G224" s="53">
        <v>170687001</v>
      </c>
      <c r="H224" s="55">
        <v>5.8405699999999996</v>
      </c>
      <c r="I224" s="55">
        <v>-5.3590679999999997</v>
      </c>
      <c r="J224" s="53" t="s">
        <v>36</v>
      </c>
      <c r="K224" s="55" t="s">
        <v>190</v>
      </c>
      <c r="L224" s="55" t="s">
        <v>1263</v>
      </c>
      <c r="M224" s="55" t="s">
        <v>1320</v>
      </c>
      <c r="N224" s="55">
        <v>2150016539</v>
      </c>
      <c r="O224" s="56">
        <v>45734</v>
      </c>
      <c r="P224" s="57">
        <f t="shared" ca="1" si="5"/>
        <v>335</v>
      </c>
      <c r="Q224" s="60">
        <v>45734</v>
      </c>
      <c r="R224" s="55" t="s">
        <v>30</v>
      </c>
      <c r="S224" s="55"/>
      <c r="T224" s="55">
        <v>1</v>
      </c>
      <c r="U224" s="58">
        <v>45738</v>
      </c>
      <c r="V224" s="55" t="s">
        <v>310</v>
      </c>
      <c r="W224" s="55">
        <v>200</v>
      </c>
      <c r="X224" s="59" t="s">
        <v>32</v>
      </c>
      <c r="Y224" s="55" t="s">
        <v>193</v>
      </c>
      <c r="Z224" s="68"/>
      <c r="AA224" s="68" t="s">
        <v>532</v>
      </c>
      <c r="AB224" s="68" t="s">
        <v>16</v>
      </c>
      <c r="AC224" s="68" t="s">
        <v>971</v>
      </c>
    </row>
    <row r="225" spans="1:29" s="630" customFormat="1" ht="15" hidden="1" customHeight="1">
      <c r="A225" s="54" t="s">
        <v>25</v>
      </c>
      <c r="B225" s="54" t="s">
        <v>25</v>
      </c>
      <c r="C225" s="73" t="s">
        <v>875</v>
      </c>
      <c r="D225" s="73" t="s">
        <v>876</v>
      </c>
      <c r="E225" s="73" t="s">
        <v>110</v>
      </c>
      <c r="F225" s="73">
        <v>142314493</v>
      </c>
      <c r="G225" s="73">
        <v>759115554</v>
      </c>
      <c r="H225" s="68">
        <v>5.8428950000000004</v>
      </c>
      <c r="I225" s="68">
        <v>-5.3455139999999997</v>
      </c>
      <c r="J225" s="74" t="s">
        <v>189</v>
      </c>
      <c r="K225" s="68" t="s">
        <v>274</v>
      </c>
      <c r="L225" s="68" t="s">
        <v>539</v>
      </c>
      <c r="M225" s="68" t="s">
        <v>856</v>
      </c>
      <c r="N225" s="68">
        <v>2150012024</v>
      </c>
      <c r="O225" s="75">
        <v>45716</v>
      </c>
      <c r="P225" s="70">
        <f t="shared" ca="1" si="5"/>
        <v>352</v>
      </c>
      <c r="Q225" s="75">
        <v>45717</v>
      </c>
      <c r="R225" s="68" t="s">
        <v>30</v>
      </c>
      <c r="S225" s="68"/>
      <c r="T225" s="68">
        <v>0</v>
      </c>
      <c r="U225" s="71">
        <v>45740</v>
      </c>
      <c r="V225" s="68" t="s">
        <v>310</v>
      </c>
      <c r="W225" s="68">
        <v>200</v>
      </c>
      <c r="X225" s="76" t="s">
        <v>32</v>
      </c>
      <c r="Y225" s="68" t="s">
        <v>533</v>
      </c>
      <c r="Z225" s="68"/>
      <c r="AA225" s="68" t="s">
        <v>532</v>
      </c>
      <c r="AB225" s="68" t="s">
        <v>16</v>
      </c>
      <c r="AC225" s="68" t="s">
        <v>1275</v>
      </c>
    </row>
    <row r="226" spans="1:29" s="624" customFormat="1" ht="15" hidden="1" customHeight="1">
      <c r="A226" s="67" t="s">
        <v>25</v>
      </c>
      <c r="B226" s="67" t="s">
        <v>25</v>
      </c>
      <c r="C226" s="66" t="s">
        <v>965</v>
      </c>
      <c r="D226" s="66" t="s">
        <v>966</v>
      </c>
      <c r="E226" s="66" t="s">
        <v>967</v>
      </c>
      <c r="F226" s="66">
        <v>142696924</v>
      </c>
      <c r="G226" s="66">
        <v>768646169</v>
      </c>
      <c r="H226" s="68">
        <v>-5.3481709999999998</v>
      </c>
      <c r="I226" s="68">
        <v>-5.3481709999999998</v>
      </c>
      <c r="J226" s="68" t="s">
        <v>189</v>
      </c>
      <c r="K226" s="68" t="s">
        <v>274</v>
      </c>
      <c r="L226" s="68" t="s">
        <v>603</v>
      </c>
      <c r="M226" s="77" t="s">
        <v>1147</v>
      </c>
      <c r="N226" s="77">
        <v>2150012058</v>
      </c>
      <c r="O226" s="69">
        <v>45721</v>
      </c>
      <c r="P226" s="70">
        <f t="shared" ca="1" si="5"/>
        <v>347</v>
      </c>
      <c r="Q226" s="69">
        <v>45722</v>
      </c>
      <c r="R226" s="68" t="s">
        <v>30</v>
      </c>
      <c r="S226" s="68"/>
      <c r="T226" s="68">
        <v>3</v>
      </c>
      <c r="U226" s="71">
        <v>45740</v>
      </c>
      <c r="V226" s="67" t="s">
        <v>310</v>
      </c>
      <c r="W226" s="68">
        <v>200</v>
      </c>
      <c r="X226" s="72" t="s">
        <v>32</v>
      </c>
      <c r="Y226" s="68" t="s">
        <v>245</v>
      </c>
      <c r="Z226" s="1"/>
      <c r="AA226" s="93" t="s">
        <v>532</v>
      </c>
      <c r="AB226" s="93" t="s">
        <v>16</v>
      </c>
      <c r="AC226" s="1" t="s">
        <v>1292</v>
      </c>
    </row>
    <row r="227" spans="1:29" s="624" customFormat="1" ht="15" hidden="1" customHeight="1">
      <c r="A227" s="68" t="s">
        <v>25</v>
      </c>
      <c r="B227" s="67" t="s">
        <v>25</v>
      </c>
      <c r="C227" s="78" t="s">
        <v>1199</v>
      </c>
      <c r="D227" s="78" t="s">
        <v>1200</v>
      </c>
      <c r="E227" s="78" t="s">
        <v>110</v>
      </c>
      <c r="F227" s="78">
        <v>152521109</v>
      </c>
      <c r="G227" s="78">
        <v>705751485</v>
      </c>
      <c r="H227" s="68">
        <v>5.8420230000000002</v>
      </c>
      <c r="I227" s="68">
        <v>-5.3455490000000001</v>
      </c>
      <c r="J227" s="78" t="s">
        <v>189</v>
      </c>
      <c r="K227" s="68" t="s">
        <v>274</v>
      </c>
      <c r="L227" s="68" t="s">
        <v>539</v>
      </c>
      <c r="M227" s="77" t="s">
        <v>1365</v>
      </c>
      <c r="N227" s="77">
        <v>2150016553</v>
      </c>
      <c r="O227" s="79">
        <v>45731</v>
      </c>
      <c r="P227" s="70">
        <f t="shared" ca="1" si="5"/>
        <v>337</v>
      </c>
      <c r="Q227" s="79">
        <v>45732</v>
      </c>
      <c r="R227" s="68" t="s">
        <v>30</v>
      </c>
      <c r="S227" s="68"/>
      <c r="T227" s="68">
        <v>3</v>
      </c>
      <c r="U227" s="71">
        <v>45740</v>
      </c>
      <c r="V227" s="68" t="s">
        <v>310</v>
      </c>
      <c r="W227" s="68">
        <v>300</v>
      </c>
      <c r="X227" s="72" t="s">
        <v>32</v>
      </c>
      <c r="Y227" s="68" t="s">
        <v>696</v>
      </c>
      <c r="Z227" s="1"/>
      <c r="AA227" s="93" t="s">
        <v>532</v>
      </c>
      <c r="AB227" s="93" t="s">
        <v>16</v>
      </c>
      <c r="AC227" s="1" t="s">
        <v>1337</v>
      </c>
    </row>
    <row r="228" spans="1:29" s="624" customFormat="1" ht="15" hidden="1" customHeight="1">
      <c r="A228" s="66" t="s">
        <v>25</v>
      </c>
      <c r="B228" s="67" t="s">
        <v>25</v>
      </c>
      <c r="C228" s="66" t="s">
        <v>1216</v>
      </c>
      <c r="D228" s="66" t="s">
        <v>1217</v>
      </c>
      <c r="E228" s="66" t="s">
        <v>1224</v>
      </c>
      <c r="F228" s="66">
        <v>505122092</v>
      </c>
      <c r="G228" s="66">
        <v>505122092</v>
      </c>
      <c r="H228" s="68">
        <v>5.8417519999999996</v>
      </c>
      <c r="I228" s="68">
        <v>-5.3395970000000004</v>
      </c>
      <c r="J228" s="66" t="s">
        <v>189</v>
      </c>
      <c r="K228" s="68" t="s">
        <v>274</v>
      </c>
      <c r="L228" s="68" t="s">
        <v>715</v>
      </c>
      <c r="M228" s="68" t="s">
        <v>1299</v>
      </c>
      <c r="N228" s="68">
        <v>2150016358</v>
      </c>
      <c r="O228" s="69">
        <v>45733</v>
      </c>
      <c r="P228" s="70">
        <f t="shared" ca="1" si="5"/>
        <v>336</v>
      </c>
      <c r="Q228" s="69">
        <v>45733</v>
      </c>
      <c r="R228" s="68" t="s">
        <v>30</v>
      </c>
      <c r="S228" s="68"/>
      <c r="T228" s="68">
        <v>3</v>
      </c>
      <c r="U228" s="71">
        <v>45740</v>
      </c>
      <c r="V228" s="68" t="s">
        <v>310</v>
      </c>
      <c r="W228" s="68">
        <v>550</v>
      </c>
      <c r="X228" s="72" t="s">
        <v>32</v>
      </c>
      <c r="Y228" s="68" t="s">
        <v>533</v>
      </c>
      <c r="Z228" s="1"/>
      <c r="AA228" s="93" t="s">
        <v>532</v>
      </c>
      <c r="AB228" s="1" t="s">
        <v>16</v>
      </c>
      <c r="AC228" s="1" t="s">
        <v>1312</v>
      </c>
    </row>
    <row r="229" spans="1:29" s="624" customFormat="1" ht="15" hidden="1" customHeight="1">
      <c r="A229" s="10" t="s">
        <v>25</v>
      </c>
      <c r="B229" s="2" t="s">
        <v>25</v>
      </c>
      <c r="C229" s="10" t="s">
        <v>1191</v>
      </c>
      <c r="D229" s="10" t="s">
        <v>1192</v>
      </c>
      <c r="E229" s="10" t="s">
        <v>35</v>
      </c>
      <c r="F229" s="10">
        <v>757658377</v>
      </c>
      <c r="G229" s="10">
        <v>707520743</v>
      </c>
      <c r="H229" s="10">
        <v>5.8381239999999996</v>
      </c>
      <c r="I229" s="1">
        <v>-5.3581880000000002</v>
      </c>
      <c r="J229" s="10" t="s">
        <v>36</v>
      </c>
      <c r="K229" s="1" t="s">
        <v>190</v>
      </c>
      <c r="L229" s="1" t="s">
        <v>1163</v>
      </c>
      <c r="M229" s="4" t="s">
        <v>1247</v>
      </c>
      <c r="N229" s="4">
        <v>2150016374</v>
      </c>
      <c r="O229" s="11">
        <v>45730</v>
      </c>
      <c r="P229" s="6">
        <f t="shared" ca="1" si="5"/>
        <v>338</v>
      </c>
      <c r="Q229" s="11">
        <v>45731</v>
      </c>
      <c r="R229" s="1" t="s">
        <v>30</v>
      </c>
      <c r="S229" s="1"/>
      <c r="T229" s="1">
        <v>1</v>
      </c>
      <c r="U229" s="8">
        <v>45741</v>
      </c>
      <c r="V229" s="1" t="s">
        <v>310</v>
      </c>
      <c r="W229" s="1">
        <v>150</v>
      </c>
      <c r="X229" s="12" t="s">
        <v>32</v>
      </c>
      <c r="Y229" s="1" t="s">
        <v>228</v>
      </c>
      <c r="Z229" s="1"/>
      <c r="AA229" s="93" t="s">
        <v>532</v>
      </c>
      <c r="AB229" s="93" t="s">
        <v>16</v>
      </c>
      <c r="AC229" s="1" t="s">
        <v>1309</v>
      </c>
    </row>
    <row r="230" spans="1:29" s="629" customFormat="1" ht="15" hidden="1" customHeight="1">
      <c r="A230" s="10" t="s">
        <v>25</v>
      </c>
      <c r="B230" s="2" t="s">
        <v>25</v>
      </c>
      <c r="C230" s="94" t="s">
        <v>1277</v>
      </c>
      <c r="D230" s="94" t="s">
        <v>1278</v>
      </c>
      <c r="E230" s="94" t="s">
        <v>89</v>
      </c>
      <c r="F230" s="94">
        <v>161128743</v>
      </c>
      <c r="G230" s="94">
        <v>161128743</v>
      </c>
      <c r="H230" s="1">
        <v>5.8394870000000001</v>
      </c>
      <c r="I230" s="1">
        <v>-5.3521770000000002</v>
      </c>
      <c r="J230" s="94" t="s">
        <v>189</v>
      </c>
      <c r="K230" s="1" t="s">
        <v>190</v>
      </c>
      <c r="L230" s="1" t="s">
        <v>1291</v>
      </c>
      <c r="M230" s="4" t="s">
        <v>1364</v>
      </c>
      <c r="N230" s="4">
        <v>2150016535</v>
      </c>
      <c r="O230" s="95">
        <v>45734</v>
      </c>
      <c r="P230" s="6">
        <f t="shared" ca="1" si="5"/>
        <v>334</v>
      </c>
      <c r="Q230" s="95">
        <v>45735</v>
      </c>
      <c r="R230" s="1" t="s">
        <v>30</v>
      </c>
      <c r="S230" s="1"/>
      <c r="T230" s="1">
        <v>1</v>
      </c>
      <c r="U230" s="8">
        <v>45741</v>
      </c>
      <c r="V230" s="1" t="s">
        <v>310</v>
      </c>
      <c r="W230" s="1">
        <v>250</v>
      </c>
      <c r="X230" s="12" t="s">
        <v>32</v>
      </c>
      <c r="Y230" s="1" t="s">
        <v>228</v>
      </c>
      <c r="Z230" s="55"/>
      <c r="AA230" s="55" t="s">
        <v>1427</v>
      </c>
      <c r="AB230" s="55" t="s">
        <v>16</v>
      </c>
      <c r="AC230" s="55" t="s">
        <v>1290</v>
      </c>
    </row>
    <row r="231" spans="1:29" s="629" customFormat="1" ht="15" hidden="1" customHeight="1">
      <c r="A231" s="10" t="s">
        <v>25</v>
      </c>
      <c r="B231" s="2" t="s">
        <v>25</v>
      </c>
      <c r="C231" s="10" t="s">
        <v>1301</v>
      </c>
      <c r="D231" s="10" t="s">
        <v>1302</v>
      </c>
      <c r="E231" s="10" t="s">
        <v>402</v>
      </c>
      <c r="F231" s="10">
        <v>141051610</v>
      </c>
      <c r="G231" s="10">
        <v>709052348</v>
      </c>
      <c r="H231" s="1">
        <v>5.8454319999999997</v>
      </c>
      <c r="I231" s="1">
        <v>-5.3642459999999996</v>
      </c>
      <c r="J231" s="10" t="s">
        <v>36</v>
      </c>
      <c r="K231" s="1" t="s">
        <v>190</v>
      </c>
      <c r="L231" s="1" t="s">
        <v>579</v>
      </c>
      <c r="M231" s="4" t="s">
        <v>1360</v>
      </c>
      <c r="N231" s="4">
        <v>2150016554</v>
      </c>
      <c r="O231" s="11">
        <v>45735</v>
      </c>
      <c r="P231" s="6">
        <f t="shared" ca="1" si="5"/>
        <v>333</v>
      </c>
      <c r="Q231" s="11">
        <v>45736</v>
      </c>
      <c r="R231" s="1" t="s">
        <v>30</v>
      </c>
      <c r="S231" s="1"/>
      <c r="T231" s="1">
        <v>1</v>
      </c>
      <c r="U231" s="8">
        <v>45741</v>
      </c>
      <c r="V231" s="1" t="s">
        <v>310</v>
      </c>
      <c r="W231" s="1">
        <v>250</v>
      </c>
      <c r="X231" s="12" t="s">
        <v>32</v>
      </c>
      <c r="Y231" s="1" t="s">
        <v>245</v>
      </c>
      <c r="Z231" s="55"/>
      <c r="AA231" s="55" t="s">
        <v>532</v>
      </c>
      <c r="AB231" s="55" t="s">
        <v>16</v>
      </c>
      <c r="AC231" s="55" t="s">
        <v>1271</v>
      </c>
    </row>
    <row r="232" spans="1:29" s="629" customFormat="1" ht="15" hidden="1" customHeight="1">
      <c r="A232" s="66" t="s">
        <v>25</v>
      </c>
      <c r="B232" s="67" t="s">
        <v>25</v>
      </c>
      <c r="C232" s="10" t="s">
        <v>1332</v>
      </c>
      <c r="D232" s="10" t="s">
        <v>1333</v>
      </c>
      <c r="E232" s="10" t="s">
        <v>110</v>
      </c>
      <c r="F232" s="10">
        <v>707897039</v>
      </c>
      <c r="G232" s="10">
        <v>747288466</v>
      </c>
      <c r="H232" s="1">
        <v>5.8451709999999997</v>
      </c>
      <c r="I232" s="1">
        <v>-5.3446569999999998</v>
      </c>
      <c r="J232" s="10" t="s">
        <v>189</v>
      </c>
      <c r="K232" s="1" t="s">
        <v>274</v>
      </c>
      <c r="L232" s="1" t="s">
        <v>1336</v>
      </c>
      <c r="M232" s="4" t="s">
        <v>1357</v>
      </c>
      <c r="N232" s="4">
        <v>2150016362</v>
      </c>
      <c r="O232" s="11">
        <v>45736</v>
      </c>
      <c r="P232" s="6">
        <f t="shared" ca="1" si="5"/>
        <v>332</v>
      </c>
      <c r="Q232" s="92">
        <v>45737</v>
      </c>
      <c r="R232" s="1" t="s">
        <v>30</v>
      </c>
      <c r="S232" s="1"/>
      <c r="T232" s="1">
        <v>2</v>
      </c>
      <c r="U232" s="8">
        <v>45741</v>
      </c>
      <c r="V232" s="1" t="s">
        <v>310</v>
      </c>
      <c r="W232" s="1">
        <v>150</v>
      </c>
      <c r="X232" s="12" t="s">
        <v>32</v>
      </c>
      <c r="Y232" s="1" t="s">
        <v>193</v>
      </c>
      <c r="Z232" s="55"/>
      <c r="AA232" s="55" t="s">
        <v>532</v>
      </c>
      <c r="AB232" s="55" t="s">
        <v>16</v>
      </c>
      <c r="AC232" s="55" t="s">
        <v>1273</v>
      </c>
    </row>
    <row r="233" spans="1:29" s="629" customFormat="1" ht="15" hidden="1" customHeight="1">
      <c r="A233" s="53" t="s">
        <v>25</v>
      </c>
      <c r="B233" s="54" t="s">
        <v>25</v>
      </c>
      <c r="C233" s="99" t="s">
        <v>1170</v>
      </c>
      <c r="D233" s="99" t="s">
        <v>1171</v>
      </c>
      <c r="E233" s="99" t="s">
        <v>35</v>
      </c>
      <c r="F233" s="99">
        <v>153002085</v>
      </c>
      <c r="G233" s="99">
        <v>707761205</v>
      </c>
      <c r="H233" s="55">
        <v>5.8403159999999996</v>
      </c>
      <c r="I233" s="55">
        <v>-5.3565370000000003</v>
      </c>
      <c r="J233" s="99" t="s">
        <v>36</v>
      </c>
      <c r="K233" s="55" t="s">
        <v>190</v>
      </c>
      <c r="L233" s="55" t="s">
        <v>537</v>
      </c>
      <c r="M233" s="55" t="s">
        <v>1296</v>
      </c>
      <c r="N233" s="55">
        <v>2150016355</v>
      </c>
      <c r="O233" s="100">
        <v>45729</v>
      </c>
      <c r="P233" s="57">
        <f t="shared" ca="1" si="5"/>
        <v>339</v>
      </c>
      <c r="Q233" s="56">
        <v>45730</v>
      </c>
      <c r="R233" s="55" t="s">
        <v>30</v>
      </c>
      <c r="S233" s="55"/>
      <c r="T233" s="55">
        <v>1</v>
      </c>
      <c r="U233" s="58">
        <v>45742</v>
      </c>
      <c r="V233" s="55" t="s">
        <v>310</v>
      </c>
      <c r="W233" s="55">
        <v>300</v>
      </c>
      <c r="X233" s="59" t="s">
        <v>32</v>
      </c>
      <c r="Y233" s="55" t="s">
        <v>627</v>
      </c>
      <c r="Z233" s="55"/>
      <c r="AA233" s="55" t="s">
        <v>532</v>
      </c>
      <c r="AB233" s="101" t="s">
        <v>16</v>
      </c>
      <c r="AC233" s="55" t="s">
        <v>1308</v>
      </c>
    </row>
    <row r="234" spans="1:29" s="629" customFormat="1" ht="15" hidden="1" customHeight="1">
      <c r="A234" s="53" t="s">
        <v>25</v>
      </c>
      <c r="B234" s="54" t="s">
        <v>25</v>
      </c>
      <c r="C234" s="53" t="s">
        <v>1220</v>
      </c>
      <c r="D234" s="53" t="s">
        <v>455</v>
      </c>
      <c r="E234" s="53" t="s">
        <v>1226</v>
      </c>
      <c r="F234" s="53">
        <v>757664993</v>
      </c>
      <c r="G234" s="53">
        <v>142946594</v>
      </c>
      <c r="H234" s="55">
        <v>5.8353010000000003</v>
      </c>
      <c r="I234" s="55">
        <v>-5.3652490000000004</v>
      </c>
      <c r="J234" s="53" t="s">
        <v>36</v>
      </c>
      <c r="K234" s="55" t="s">
        <v>203</v>
      </c>
      <c r="L234" s="55" t="s">
        <v>1270</v>
      </c>
      <c r="M234" s="61" t="s">
        <v>1362</v>
      </c>
      <c r="N234" s="61">
        <v>2150016549</v>
      </c>
      <c r="O234" s="56">
        <v>45727</v>
      </c>
      <c r="P234" s="57">
        <f t="shared" ca="1" si="5"/>
        <v>336</v>
      </c>
      <c r="Q234" s="56">
        <v>45733</v>
      </c>
      <c r="R234" s="55" t="s">
        <v>30</v>
      </c>
      <c r="S234" s="55"/>
      <c r="T234" s="55">
        <v>1</v>
      </c>
      <c r="U234" s="58">
        <v>45742</v>
      </c>
      <c r="V234" s="55" t="s">
        <v>310</v>
      </c>
      <c r="W234" s="55">
        <v>150</v>
      </c>
      <c r="X234" s="59" t="s">
        <v>32</v>
      </c>
      <c r="Y234" s="55" t="s">
        <v>696</v>
      </c>
      <c r="Z234" s="55"/>
      <c r="AA234" s="55" t="s">
        <v>532</v>
      </c>
      <c r="AB234" s="55" t="s">
        <v>16</v>
      </c>
      <c r="AC234" s="55" t="s">
        <v>1354</v>
      </c>
    </row>
    <row r="235" spans="1:29" s="631" customFormat="1" ht="15" hidden="1" customHeight="1">
      <c r="A235" s="53" t="s">
        <v>25</v>
      </c>
      <c r="B235" s="54" t="s">
        <v>25</v>
      </c>
      <c r="C235" s="98" t="s">
        <v>1260</v>
      </c>
      <c r="D235" s="98" t="s">
        <v>1261</v>
      </c>
      <c r="E235" s="98" t="s">
        <v>1262</v>
      </c>
      <c r="F235" s="98">
        <v>141428740</v>
      </c>
      <c r="G235" s="98">
        <v>769155510</v>
      </c>
      <c r="H235" s="55">
        <v>5.851324</v>
      </c>
      <c r="I235" s="55">
        <v>-5.349685</v>
      </c>
      <c r="J235" s="98" t="s">
        <v>189</v>
      </c>
      <c r="K235" s="55" t="s">
        <v>198</v>
      </c>
      <c r="L235" s="55" t="s">
        <v>712</v>
      </c>
      <c r="M235" s="61" t="s">
        <v>1370</v>
      </c>
      <c r="N235" s="61">
        <v>2150016550</v>
      </c>
      <c r="O235" s="60">
        <v>45733</v>
      </c>
      <c r="P235" s="57">
        <f t="shared" ca="1" si="5"/>
        <v>335</v>
      </c>
      <c r="Q235" s="60">
        <v>45734</v>
      </c>
      <c r="R235" s="55" t="s">
        <v>30</v>
      </c>
      <c r="S235" s="55"/>
      <c r="T235" s="55">
        <v>3</v>
      </c>
      <c r="U235" s="58">
        <v>45742</v>
      </c>
      <c r="V235" s="55" t="s">
        <v>310</v>
      </c>
      <c r="W235" s="55">
        <v>250</v>
      </c>
      <c r="X235" s="59" t="s">
        <v>32</v>
      </c>
      <c r="Y235" s="55" t="s">
        <v>228</v>
      </c>
      <c r="Z235" s="103"/>
      <c r="AA235" s="103" t="s">
        <v>532</v>
      </c>
      <c r="AB235" s="103" t="s">
        <v>16</v>
      </c>
      <c r="AC235" s="103" t="s">
        <v>1233</v>
      </c>
    </row>
    <row r="236" spans="1:29" s="631" customFormat="1" ht="15" hidden="1" customHeight="1">
      <c r="A236" s="53" t="s">
        <v>25</v>
      </c>
      <c r="B236" s="54" t="s">
        <v>25</v>
      </c>
      <c r="C236" s="98" t="s">
        <v>1279</v>
      </c>
      <c r="D236" s="98" t="s">
        <v>1280</v>
      </c>
      <c r="E236" s="98" t="s">
        <v>1281</v>
      </c>
      <c r="F236" s="98">
        <v>102779399</v>
      </c>
      <c r="G236" s="98">
        <v>707434304</v>
      </c>
      <c r="H236" s="55">
        <v>5.8532710000000003</v>
      </c>
      <c r="I236" s="55">
        <v>-5.3561860000000001</v>
      </c>
      <c r="J236" s="98" t="s">
        <v>189</v>
      </c>
      <c r="K236" s="55" t="s">
        <v>198</v>
      </c>
      <c r="L236" s="55" t="s">
        <v>1307</v>
      </c>
      <c r="M236" s="61" t="s">
        <v>1355</v>
      </c>
      <c r="N236" s="61">
        <v>2150016543</v>
      </c>
      <c r="O236" s="60">
        <v>45734</v>
      </c>
      <c r="P236" s="57">
        <f t="shared" ca="1" si="5"/>
        <v>334</v>
      </c>
      <c r="Q236" s="60">
        <v>45735</v>
      </c>
      <c r="R236" s="55" t="s">
        <v>30</v>
      </c>
      <c r="S236" s="55"/>
      <c r="T236" s="55">
        <v>0</v>
      </c>
      <c r="U236" s="58">
        <v>45742</v>
      </c>
      <c r="V236" s="55" t="s">
        <v>310</v>
      </c>
      <c r="W236" s="55">
        <v>200</v>
      </c>
      <c r="X236" s="59" t="s">
        <v>32</v>
      </c>
      <c r="Y236" s="55" t="s">
        <v>193</v>
      </c>
      <c r="Z236" s="103"/>
      <c r="AA236" s="103" t="s">
        <v>532</v>
      </c>
      <c r="AB236" s="103" t="s">
        <v>16</v>
      </c>
      <c r="AC236" s="103" t="s">
        <v>1211</v>
      </c>
    </row>
    <row r="237" spans="1:29" s="631" customFormat="1" ht="15" hidden="1" customHeight="1">
      <c r="A237" s="10" t="s">
        <v>25</v>
      </c>
      <c r="B237" s="2" t="s">
        <v>25</v>
      </c>
      <c r="C237" s="96" t="s">
        <v>1340</v>
      </c>
      <c r="D237" s="55" t="s">
        <v>1344</v>
      </c>
      <c r="E237" s="96" t="s">
        <v>1348</v>
      </c>
      <c r="F237" s="96">
        <v>161426800</v>
      </c>
      <c r="G237" s="96">
        <v>759256321</v>
      </c>
      <c r="H237" s="55">
        <v>5.8367389999999997</v>
      </c>
      <c r="I237" s="55">
        <v>-5.3536130000000002</v>
      </c>
      <c r="J237" s="96" t="s">
        <v>189</v>
      </c>
      <c r="K237" s="55" t="s">
        <v>190</v>
      </c>
      <c r="L237" s="55" t="s">
        <v>1353</v>
      </c>
      <c r="M237" s="61" t="s">
        <v>1403</v>
      </c>
      <c r="N237" s="61">
        <v>2150016524</v>
      </c>
      <c r="O237" s="97">
        <v>45737</v>
      </c>
      <c r="P237" s="57">
        <f t="shared" ca="1" si="5"/>
        <v>331</v>
      </c>
      <c r="Q237" s="97">
        <v>45738</v>
      </c>
      <c r="R237" s="55" t="s">
        <v>30</v>
      </c>
      <c r="S237" s="55"/>
      <c r="T237" s="55">
        <v>3</v>
      </c>
      <c r="U237" s="58">
        <v>45742</v>
      </c>
      <c r="V237" s="55" t="s">
        <v>310</v>
      </c>
      <c r="W237" s="55">
        <v>300</v>
      </c>
      <c r="X237" s="59" t="s">
        <v>32</v>
      </c>
      <c r="Y237" s="55" t="s">
        <v>193</v>
      </c>
      <c r="Z237" s="103"/>
      <c r="AA237" s="103" t="s">
        <v>532</v>
      </c>
      <c r="AB237" s="103" t="s">
        <v>16</v>
      </c>
      <c r="AC237" s="103" t="s">
        <v>1433</v>
      </c>
    </row>
    <row r="238" spans="1:29" s="631" customFormat="1" ht="15" hidden="1" customHeight="1">
      <c r="A238" s="103" t="s">
        <v>25</v>
      </c>
      <c r="B238" s="109" t="s">
        <v>25</v>
      </c>
      <c r="C238" s="114" t="s">
        <v>846</v>
      </c>
      <c r="D238" s="114" t="s">
        <v>847</v>
      </c>
      <c r="E238" s="114" t="s">
        <v>848</v>
      </c>
      <c r="F238" s="114">
        <v>151545456</v>
      </c>
      <c r="G238" s="114">
        <v>151545456</v>
      </c>
      <c r="H238" s="103">
        <v>5.8406919999999998</v>
      </c>
      <c r="I238" s="103">
        <v>-5.3580030000000001</v>
      </c>
      <c r="J238" s="103" t="s">
        <v>36</v>
      </c>
      <c r="K238" s="103" t="s">
        <v>190</v>
      </c>
      <c r="L238" s="103" t="s">
        <v>474</v>
      </c>
      <c r="M238" s="104" t="s">
        <v>1431</v>
      </c>
      <c r="N238" s="104">
        <v>2150016526</v>
      </c>
      <c r="O238" s="112">
        <v>45714</v>
      </c>
      <c r="P238" s="106">
        <f t="shared" ca="1" si="5"/>
        <v>354</v>
      </c>
      <c r="Q238" s="112">
        <v>45715</v>
      </c>
      <c r="R238" s="103" t="s">
        <v>30</v>
      </c>
      <c r="S238" s="103"/>
      <c r="T238" s="103">
        <v>0</v>
      </c>
      <c r="U238" s="107">
        <v>45743</v>
      </c>
      <c r="V238" s="103" t="s">
        <v>310</v>
      </c>
      <c r="W238" s="103">
        <v>150</v>
      </c>
      <c r="X238" s="113" t="s">
        <v>32</v>
      </c>
      <c r="Y238" s="103" t="s">
        <v>627</v>
      </c>
      <c r="Z238" s="103"/>
      <c r="AA238" s="103" t="s">
        <v>532</v>
      </c>
      <c r="AB238" s="103" t="s">
        <v>16</v>
      </c>
      <c r="AC238" s="103" t="s">
        <v>1432</v>
      </c>
    </row>
    <row r="239" spans="1:29" s="631" customFormat="1" ht="15" hidden="1" customHeight="1">
      <c r="A239" s="103" t="s">
        <v>25</v>
      </c>
      <c r="B239" s="109" t="s">
        <v>25</v>
      </c>
      <c r="C239" s="110" t="s">
        <v>911</v>
      </c>
      <c r="D239" s="110" t="s">
        <v>847</v>
      </c>
      <c r="E239" s="110" t="s">
        <v>912</v>
      </c>
      <c r="F239" s="110">
        <v>151545456</v>
      </c>
      <c r="G239" s="110">
        <v>151545456</v>
      </c>
      <c r="H239" s="103">
        <v>5.8408090000000001</v>
      </c>
      <c r="I239" s="103">
        <v>-5.3589279999999997</v>
      </c>
      <c r="J239" s="110" t="s">
        <v>36</v>
      </c>
      <c r="K239" s="103" t="s">
        <v>190</v>
      </c>
      <c r="L239" s="103" t="s">
        <v>275</v>
      </c>
      <c r="M239" s="104" t="s">
        <v>1402</v>
      </c>
      <c r="N239" s="104">
        <v>2150016545</v>
      </c>
      <c r="O239" s="111">
        <v>45719</v>
      </c>
      <c r="P239" s="106">
        <f t="shared" ca="1" si="5"/>
        <v>349</v>
      </c>
      <c r="Q239" s="112">
        <v>45720</v>
      </c>
      <c r="R239" s="103" t="s">
        <v>30</v>
      </c>
      <c r="S239" s="103"/>
      <c r="T239" s="103">
        <v>0</v>
      </c>
      <c r="U239" s="107">
        <v>45743</v>
      </c>
      <c r="V239" s="103" t="s">
        <v>310</v>
      </c>
      <c r="W239" s="103">
        <v>150</v>
      </c>
      <c r="X239" s="113" t="s">
        <v>32</v>
      </c>
      <c r="Y239" s="103" t="s">
        <v>228</v>
      </c>
      <c r="Z239" s="103"/>
      <c r="AA239" s="103" t="s">
        <v>532</v>
      </c>
      <c r="AB239" s="117" t="s">
        <v>16</v>
      </c>
      <c r="AC239" s="103" t="s">
        <v>1311</v>
      </c>
    </row>
    <row r="240" spans="1:29" s="631" customFormat="1" ht="15" hidden="1" customHeight="1">
      <c r="A240" s="102" t="s">
        <v>25</v>
      </c>
      <c r="B240" s="109" t="s">
        <v>25</v>
      </c>
      <c r="C240" s="102" t="s">
        <v>1111</v>
      </c>
      <c r="D240" s="102" t="s">
        <v>1112</v>
      </c>
      <c r="E240" s="102" t="s">
        <v>46</v>
      </c>
      <c r="F240" s="102">
        <v>101486688</v>
      </c>
      <c r="G240" s="102">
        <v>707780183</v>
      </c>
      <c r="H240" s="103">
        <v>5.8527639999999996</v>
      </c>
      <c r="I240" s="103">
        <v>-5.353815</v>
      </c>
      <c r="J240" s="102" t="s">
        <v>189</v>
      </c>
      <c r="K240" s="103" t="s">
        <v>198</v>
      </c>
      <c r="L240" s="103" t="s">
        <v>1232</v>
      </c>
      <c r="M240" s="104" t="s">
        <v>1243</v>
      </c>
      <c r="N240" s="104">
        <v>2150016366</v>
      </c>
      <c r="O240" s="105">
        <v>45727</v>
      </c>
      <c r="P240" s="106">
        <f t="shared" ca="1" si="5"/>
        <v>340</v>
      </c>
      <c r="Q240" s="105">
        <v>45729</v>
      </c>
      <c r="R240" s="103" t="s">
        <v>30</v>
      </c>
      <c r="S240" s="103"/>
      <c r="T240" s="103">
        <v>2</v>
      </c>
      <c r="U240" s="107">
        <v>45743</v>
      </c>
      <c r="V240" s="103" t="s">
        <v>310</v>
      </c>
      <c r="W240" s="103">
        <v>300</v>
      </c>
      <c r="X240" s="108" t="s">
        <v>32</v>
      </c>
      <c r="Y240" s="103" t="s">
        <v>193</v>
      </c>
      <c r="Z240" s="103"/>
      <c r="AA240" s="103" t="s">
        <v>532</v>
      </c>
      <c r="AB240" s="103" t="s">
        <v>16</v>
      </c>
      <c r="AC240" s="103" t="s">
        <v>1367</v>
      </c>
    </row>
    <row r="241" spans="1:29" s="631" customFormat="1" ht="15" hidden="1" customHeight="1">
      <c r="A241" s="102" t="s">
        <v>25</v>
      </c>
      <c r="B241" s="109" t="s">
        <v>25</v>
      </c>
      <c r="C241" s="102" t="s">
        <v>1126</v>
      </c>
      <c r="D241" s="102" t="s">
        <v>1127</v>
      </c>
      <c r="E241" s="102" t="s">
        <v>621</v>
      </c>
      <c r="F241" s="102">
        <v>153317675</v>
      </c>
      <c r="G241" s="102">
        <v>704477693</v>
      </c>
      <c r="H241" s="103">
        <v>5.8531880000000003</v>
      </c>
      <c r="I241" s="103">
        <v>-3.3525499999999999</v>
      </c>
      <c r="J241" s="102" t="s">
        <v>189</v>
      </c>
      <c r="K241" s="103" t="s">
        <v>198</v>
      </c>
      <c r="L241" s="103" t="s">
        <v>1210</v>
      </c>
      <c r="M241" s="104" t="s">
        <v>1244</v>
      </c>
      <c r="N241" s="104">
        <v>2150016365</v>
      </c>
      <c r="O241" s="105">
        <v>45728</v>
      </c>
      <c r="P241" s="106">
        <f t="shared" ca="1" si="5"/>
        <v>340</v>
      </c>
      <c r="Q241" s="105">
        <v>45729</v>
      </c>
      <c r="R241" s="103" t="s">
        <v>30</v>
      </c>
      <c r="S241" s="103"/>
      <c r="T241" s="103">
        <v>0</v>
      </c>
      <c r="U241" s="107">
        <v>45743</v>
      </c>
      <c r="V241" s="103" t="s">
        <v>310</v>
      </c>
      <c r="W241" s="103">
        <v>200</v>
      </c>
      <c r="X241" s="108" t="s">
        <v>32</v>
      </c>
      <c r="Y241" s="103" t="s">
        <v>193</v>
      </c>
      <c r="Z241" s="103"/>
      <c r="AA241" s="103" t="s">
        <v>532</v>
      </c>
      <c r="AB241" s="103" t="s">
        <v>16</v>
      </c>
      <c r="AC241" s="103" t="s">
        <v>1265</v>
      </c>
    </row>
    <row r="242" spans="1:29" s="631" customFormat="1" ht="15" hidden="1" customHeight="1">
      <c r="A242" s="53" t="s">
        <v>25</v>
      </c>
      <c r="B242" s="54" t="s">
        <v>25</v>
      </c>
      <c r="C242" s="102" t="s">
        <v>1303</v>
      </c>
      <c r="D242" s="102" t="s">
        <v>1304</v>
      </c>
      <c r="E242" s="102" t="s">
        <v>84</v>
      </c>
      <c r="F242" s="102">
        <v>504744394</v>
      </c>
      <c r="G242" s="102">
        <v>102540355</v>
      </c>
      <c r="H242" s="103">
        <v>5.833005</v>
      </c>
      <c r="I242" s="103">
        <v>-5.3619469999999998</v>
      </c>
      <c r="J242" s="102" t="s">
        <v>36</v>
      </c>
      <c r="K242" s="103" t="s">
        <v>198</v>
      </c>
      <c r="L242" s="103" t="s">
        <v>950</v>
      </c>
      <c r="M242" s="104" t="s">
        <v>1363</v>
      </c>
      <c r="N242" s="104">
        <v>2150016536</v>
      </c>
      <c r="O242" s="105">
        <v>45735</v>
      </c>
      <c r="P242" s="106">
        <f t="shared" ca="1" si="5"/>
        <v>333</v>
      </c>
      <c r="Q242" s="105">
        <v>45736</v>
      </c>
      <c r="R242" s="103" t="s">
        <v>30</v>
      </c>
      <c r="S242" s="103"/>
      <c r="T242" s="103">
        <v>1</v>
      </c>
      <c r="U242" s="107">
        <v>45743</v>
      </c>
      <c r="V242" s="103" t="s">
        <v>310</v>
      </c>
      <c r="W242" s="103">
        <v>300</v>
      </c>
      <c r="X242" s="108" t="s">
        <v>32</v>
      </c>
      <c r="Y242" s="103" t="s">
        <v>245</v>
      </c>
      <c r="Z242" s="103"/>
      <c r="AA242" s="103" t="s">
        <v>532</v>
      </c>
      <c r="AB242" s="103" t="s">
        <v>16</v>
      </c>
      <c r="AC242" s="103" t="s">
        <v>1229</v>
      </c>
    </row>
    <row r="243" spans="1:29" s="631" customFormat="1" ht="15" hidden="1" customHeight="1">
      <c r="A243" s="102" t="s">
        <v>25</v>
      </c>
      <c r="B243" s="109" t="s">
        <v>25</v>
      </c>
      <c r="C243" s="110" t="s">
        <v>686</v>
      </c>
      <c r="D243" s="110" t="s">
        <v>687</v>
      </c>
      <c r="E243" s="110" t="s">
        <v>621</v>
      </c>
      <c r="F243" s="110">
        <v>101818614</v>
      </c>
      <c r="G243" s="110">
        <v>777294991</v>
      </c>
      <c r="H243" s="103">
        <v>5.8504329999999998</v>
      </c>
      <c r="I243" s="103">
        <v>-5.3533010000000001</v>
      </c>
      <c r="J243" s="103" t="s">
        <v>189</v>
      </c>
      <c r="K243" s="103" t="s">
        <v>198</v>
      </c>
      <c r="L243" s="103" t="s">
        <v>1000</v>
      </c>
      <c r="M243" s="103" t="s">
        <v>1445</v>
      </c>
      <c r="N243" s="109">
        <v>2150016548</v>
      </c>
      <c r="O243" s="111">
        <v>45710</v>
      </c>
      <c r="P243" s="106">
        <f t="shared" ca="1" si="5"/>
        <v>357</v>
      </c>
      <c r="Q243" s="111">
        <v>45712</v>
      </c>
      <c r="R243" s="103" t="s">
        <v>30</v>
      </c>
      <c r="S243" s="103"/>
      <c r="T243" s="103">
        <v>0</v>
      </c>
      <c r="U243" s="107">
        <v>45744</v>
      </c>
      <c r="V243" s="103" t="s">
        <v>310</v>
      </c>
      <c r="W243" s="103">
        <v>350</v>
      </c>
      <c r="X243" s="113" t="s">
        <v>32</v>
      </c>
      <c r="Y243" s="103" t="s">
        <v>193</v>
      </c>
      <c r="Z243" s="103"/>
      <c r="AA243" s="103" t="s">
        <v>532</v>
      </c>
      <c r="AB243" s="103" t="s">
        <v>16</v>
      </c>
      <c r="AC243" s="103" t="s">
        <v>1339</v>
      </c>
    </row>
    <row r="244" spans="1:29" s="631" customFormat="1" ht="15" hidden="1" customHeight="1">
      <c r="A244" s="103" t="s">
        <v>25</v>
      </c>
      <c r="B244" s="109" t="s">
        <v>25</v>
      </c>
      <c r="C244" s="102" t="s">
        <v>1218</v>
      </c>
      <c r="D244" s="102" t="s">
        <v>1219</v>
      </c>
      <c r="E244" s="102" t="s">
        <v>1225</v>
      </c>
      <c r="F244" s="102">
        <v>160713657</v>
      </c>
      <c r="G244" s="102">
        <v>778464709</v>
      </c>
      <c r="H244" s="103">
        <v>5.8415080000000001</v>
      </c>
      <c r="I244" s="103">
        <v>-5.3674470000000003</v>
      </c>
      <c r="J244" s="102" t="s">
        <v>36</v>
      </c>
      <c r="K244" s="103" t="s">
        <v>203</v>
      </c>
      <c r="L244" s="103" t="s">
        <v>1228</v>
      </c>
      <c r="M244" s="104" t="s">
        <v>1358</v>
      </c>
      <c r="N244" s="104">
        <v>2150016547</v>
      </c>
      <c r="O244" s="105">
        <v>45733</v>
      </c>
      <c r="P244" s="106">
        <f t="shared" ca="1" si="5"/>
        <v>336</v>
      </c>
      <c r="Q244" s="105">
        <v>45733</v>
      </c>
      <c r="R244" s="103" t="s">
        <v>30</v>
      </c>
      <c r="S244" s="103"/>
      <c r="T244" s="103">
        <v>5</v>
      </c>
      <c r="U244" s="107">
        <v>45744</v>
      </c>
      <c r="V244" s="103" t="s">
        <v>310</v>
      </c>
      <c r="W244" s="103">
        <v>350</v>
      </c>
      <c r="X244" s="108" t="s">
        <v>32</v>
      </c>
      <c r="Y244" s="103" t="s">
        <v>193</v>
      </c>
      <c r="Z244" s="103"/>
      <c r="AA244" s="103" t="s">
        <v>532</v>
      </c>
      <c r="AB244" s="103" t="s">
        <v>16</v>
      </c>
      <c r="AC244" s="103" t="s">
        <v>695</v>
      </c>
    </row>
    <row r="245" spans="1:29" s="631" customFormat="1" ht="15" hidden="1" customHeight="1">
      <c r="A245" s="102" t="s">
        <v>25</v>
      </c>
      <c r="B245" s="109" t="s">
        <v>25</v>
      </c>
      <c r="C245" s="102" t="s">
        <v>1254</v>
      </c>
      <c r="D245" s="102" t="s">
        <v>1255</v>
      </c>
      <c r="E245" s="102" t="s">
        <v>1256</v>
      </c>
      <c r="F245" s="102">
        <v>161464647</v>
      </c>
      <c r="G245" s="102">
        <v>709374293</v>
      </c>
      <c r="H245" s="103">
        <v>5.8397730000000001</v>
      </c>
      <c r="I245" s="103">
        <v>-5.3539539999999999</v>
      </c>
      <c r="J245" s="102" t="s">
        <v>189</v>
      </c>
      <c r="K245" s="103" t="s">
        <v>203</v>
      </c>
      <c r="L245" s="103" t="s">
        <v>322</v>
      </c>
      <c r="M245" s="104" t="s">
        <v>1405</v>
      </c>
      <c r="N245" s="104">
        <v>2150016522</v>
      </c>
      <c r="O245" s="105">
        <v>45734</v>
      </c>
      <c r="P245" s="106">
        <f t="shared" ca="1" si="5"/>
        <v>335</v>
      </c>
      <c r="Q245" s="119">
        <v>45734</v>
      </c>
      <c r="R245" s="103" t="s">
        <v>30</v>
      </c>
      <c r="S245" s="103"/>
      <c r="T245" s="103">
        <v>1</v>
      </c>
      <c r="U245" s="107">
        <v>45744</v>
      </c>
      <c r="V245" s="103" t="s">
        <v>310</v>
      </c>
      <c r="W245" s="103">
        <v>150</v>
      </c>
      <c r="X245" s="108" t="s">
        <v>32</v>
      </c>
      <c r="Y245" s="103" t="s">
        <v>343</v>
      </c>
      <c r="Z245" s="103"/>
      <c r="AA245" s="103" t="s">
        <v>532</v>
      </c>
      <c r="AB245" s="103" t="s">
        <v>16</v>
      </c>
      <c r="AC245" s="103" t="s">
        <v>1401</v>
      </c>
    </row>
    <row r="246" spans="1:29" s="631" customFormat="1" ht="15" hidden="1" customHeight="1">
      <c r="A246" s="102" t="s">
        <v>25</v>
      </c>
      <c r="B246" s="109" t="s">
        <v>25</v>
      </c>
      <c r="C246" s="120" t="s">
        <v>1257</v>
      </c>
      <c r="D246" s="120" t="s">
        <v>1258</v>
      </c>
      <c r="E246" s="120" t="s">
        <v>1259</v>
      </c>
      <c r="F246" s="120">
        <v>101134323</v>
      </c>
      <c r="G246" s="120">
        <v>574424242</v>
      </c>
      <c r="H246" s="103">
        <v>5.8411879999999998</v>
      </c>
      <c r="I246" s="103">
        <v>-5.3665479999999999</v>
      </c>
      <c r="J246" s="120" t="s">
        <v>36</v>
      </c>
      <c r="K246" s="103" t="s">
        <v>203</v>
      </c>
      <c r="L246" s="103" t="s">
        <v>1132</v>
      </c>
      <c r="M246" s="104" t="s">
        <v>1366</v>
      </c>
      <c r="N246" s="104">
        <v>2150016552</v>
      </c>
      <c r="O246" s="119">
        <v>45733</v>
      </c>
      <c r="P246" s="106">
        <f t="shared" ca="1" si="5"/>
        <v>335</v>
      </c>
      <c r="Q246" s="119">
        <v>45734</v>
      </c>
      <c r="R246" s="103" t="s">
        <v>30</v>
      </c>
      <c r="S246" s="103"/>
      <c r="T246" s="103">
        <v>3</v>
      </c>
      <c r="U246" s="107">
        <v>45744</v>
      </c>
      <c r="V246" s="103" t="s">
        <v>310</v>
      </c>
      <c r="W246" s="103">
        <v>200</v>
      </c>
      <c r="X246" s="108" t="s">
        <v>32</v>
      </c>
      <c r="Y246" s="103" t="s">
        <v>245</v>
      </c>
      <c r="Z246" s="103"/>
      <c r="AA246" s="103" t="s">
        <v>532</v>
      </c>
      <c r="AB246" s="103" t="s">
        <v>16</v>
      </c>
      <c r="AC246" s="103" t="s">
        <v>1267</v>
      </c>
    </row>
    <row r="247" spans="1:29" s="628" customFormat="1" ht="15" hidden="1" customHeight="1">
      <c r="A247" s="102" t="s">
        <v>25</v>
      </c>
      <c r="B247" s="109" t="s">
        <v>25</v>
      </c>
      <c r="C247" s="102" t="s">
        <v>1324</v>
      </c>
      <c r="D247" s="102" t="s">
        <v>1325</v>
      </c>
      <c r="E247" s="102" t="s">
        <v>41</v>
      </c>
      <c r="F247" s="102">
        <v>778305750</v>
      </c>
      <c r="G247" s="102">
        <v>778305750</v>
      </c>
      <c r="H247" s="103">
        <v>5.841011</v>
      </c>
      <c r="I247" s="103">
        <v>-5.3533049999999998</v>
      </c>
      <c r="J247" s="102" t="s">
        <v>1129</v>
      </c>
      <c r="K247" s="103" t="s">
        <v>203</v>
      </c>
      <c r="L247" s="103" t="s">
        <v>1338</v>
      </c>
      <c r="M247" s="104" t="s">
        <v>1404</v>
      </c>
      <c r="N247" s="104">
        <v>2150016523</v>
      </c>
      <c r="O247" s="105">
        <v>45735</v>
      </c>
      <c r="P247" s="106">
        <f t="shared" ca="1" si="5"/>
        <v>332</v>
      </c>
      <c r="Q247" s="118">
        <v>45737</v>
      </c>
      <c r="R247" s="103" t="s">
        <v>30</v>
      </c>
      <c r="S247" s="103"/>
      <c r="T247" s="103">
        <v>1</v>
      </c>
      <c r="U247" s="107">
        <v>45744</v>
      </c>
      <c r="V247" s="103" t="s">
        <v>310</v>
      </c>
      <c r="W247" s="103">
        <v>300</v>
      </c>
      <c r="X247" s="108" t="s">
        <v>32</v>
      </c>
      <c r="Y247" s="103" t="s">
        <v>245</v>
      </c>
      <c r="Z247" s="26"/>
      <c r="AA247" s="51" t="s">
        <v>532</v>
      </c>
      <c r="AB247" s="51" t="s">
        <v>16</v>
      </c>
      <c r="AC247" s="26" t="s">
        <v>1322</v>
      </c>
    </row>
    <row r="248" spans="1:29" s="628" customFormat="1" ht="15" hidden="1" customHeight="1">
      <c r="A248" s="102" t="s">
        <v>25</v>
      </c>
      <c r="B248" s="109" t="s">
        <v>25</v>
      </c>
      <c r="C248" s="115" t="s">
        <v>1341</v>
      </c>
      <c r="D248" s="103" t="s">
        <v>1345</v>
      </c>
      <c r="E248" s="115" t="s">
        <v>1349</v>
      </c>
      <c r="F248" s="115">
        <v>101406960</v>
      </c>
      <c r="G248" s="115">
        <v>707582659</v>
      </c>
      <c r="H248" s="103">
        <v>5.8526910000000001</v>
      </c>
      <c r="I248" s="103">
        <v>-5.3521989999999997</v>
      </c>
      <c r="J248" s="115" t="s">
        <v>189</v>
      </c>
      <c r="K248" s="103" t="s">
        <v>198</v>
      </c>
      <c r="L248" s="103" t="s">
        <v>516</v>
      </c>
      <c r="M248" s="104" t="s">
        <v>1408</v>
      </c>
      <c r="N248" s="104">
        <v>2150016518</v>
      </c>
      <c r="O248" s="116">
        <v>45737</v>
      </c>
      <c r="P248" s="106">
        <f t="shared" ca="1" si="5"/>
        <v>331</v>
      </c>
      <c r="Q248" s="116">
        <v>45738</v>
      </c>
      <c r="R248" s="103" t="s">
        <v>30</v>
      </c>
      <c r="S248" s="103"/>
      <c r="T248" s="103">
        <v>2</v>
      </c>
      <c r="U248" s="107">
        <v>45744</v>
      </c>
      <c r="V248" s="103" t="s">
        <v>310</v>
      </c>
      <c r="W248" s="103">
        <v>150</v>
      </c>
      <c r="X248" s="108" t="s">
        <v>32</v>
      </c>
      <c r="Y248" s="103" t="s">
        <v>193</v>
      </c>
      <c r="Z248" s="26"/>
      <c r="AA248" s="51" t="s">
        <v>532</v>
      </c>
      <c r="AB248" s="26" t="s">
        <v>16</v>
      </c>
      <c r="AC248" s="26" t="s">
        <v>1421</v>
      </c>
    </row>
    <row r="249" spans="1:29" s="627" customFormat="1" ht="14.4" hidden="1" customHeight="1">
      <c r="A249" s="102" t="s">
        <v>25</v>
      </c>
      <c r="B249" s="109" t="s">
        <v>25</v>
      </c>
      <c r="C249" s="120" t="s">
        <v>1388</v>
      </c>
      <c r="D249" s="120" t="s">
        <v>1389</v>
      </c>
      <c r="E249" s="120" t="s">
        <v>1396</v>
      </c>
      <c r="F249" s="120">
        <v>101452707</v>
      </c>
      <c r="G249" s="120">
        <v>708439614</v>
      </c>
      <c r="H249" s="103">
        <v>5.8407109999999998</v>
      </c>
      <c r="I249" s="103">
        <v>-5.3666049999999998</v>
      </c>
      <c r="J249" s="120" t="s">
        <v>36</v>
      </c>
      <c r="K249" s="103" t="s">
        <v>203</v>
      </c>
      <c r="L249" s="103" t="s">
        <v>1132</v>
      </c>
      <c r="M249" s="104" t="s">
        <v>1411</v>
      </c>
      <c r="N249" s="104">
        <v>2150016517</v>
      </c>
      <c r="O249" s="119">
        <v>45740</v>
      </c>
      <c r="P249" s="106">
        <f t="shared" ca="1" si="5"/>
        <v>328</v>
      </c>
      <c r="Q249" s="119">
        <v>45741</v>
      </c>
      <c r="R249" s="103" t="s">
        <v>30</v>
      </c>
      <c r="S249" s="103"/>
      <c r="T249" s="103">
        <v>0</v>
      </c>
      <c r="U249" s="107">
        <v>45744</v>
      </c>
      <c r="V249" s="103" t="s">
        <v>310</v>
      </c>
      <c r="W249" s="103">
        <v>150</v>
      </c>
      <c r="X249" s="108" t="s">
        <v>32</v>
      </c>
      <c r="Y249" s="103" t="s">
        <v>343</v>
      </c>
      <c r="Z249" s="24"/>
      <c r="AA249" s="121" t="s">
        <v>532</v>
      </c>
      <c r="AB249" s="24" t="s">
        <v>16</v>
      </c>
      <c r="AC249" s="24" t="s">
        <v>1351</v>
      </c>
    </row>
    <row r="250" spans="1:29" s="627" customFormat="1" ht="15" hidden="1" customHeight="1">
      <c r="A250" s="25" t="s">
        <v>25</v>
      </c>
      <c r="B250" s="42" t="s">
        <v>25</v>
      </c>
      <c r="C250" s="25" t="s">
        <v>1064</v>
      </c>
      <c r="D250" s="25" t="s">
        <v>1065</v>
      </c>
      <c r="E250" s="25" t="s">
        <v>571</v>
      </c>
      <c r="F250" s="25">
        <v>759752626</v>
      </c>
      <c r="G250" s="25">
        <v>759752626</v>
      </c>
      <c r="H250" s="26">
        <v>5.8399650000000003</v>
      </c>
      <c r="I250" s="26">
        <v>-5.3597229999999998</v>
      </c>
      <c r="J250" s="26" t="s">
        <v>36</v>
      </c>
      <c r="K250" s="26" t="s">
        <v>190</v>
      </c>
      <c r="L250" s="26" t="s">
        <v>1350</v>
      </c>
      <c r="M250" s="48" t="s">
        <v>1356</v>
      </c>
      <c r="N250" s="48">
        <v>2150016363</v>
      </c>
      <c r="O250" s="43">
        <v>45727</v>
      </c>
      <c r="P250" s="44">
        <f t="shared" ca="1" si="5"/>
        <v>342</v>
      </c>
      <c r="Q250" s="43">
        <v>45727</v>
      </c>
      <c r="R250" s="26" t="s">
        <v>30</v>
      </c>
      <c r="S250" s="26"/>
      <c r="T250" s="26">
        <v>0</v>
      </c>
      <c r="U250" s="45">
        <v>45745</v>
      </c>
      <c r="V250" s="42" t="s">
        <v>310</v>
      </c>
      <c r="W250" s="26">
        <v>150</v>
      </c>
      <c r="X250" s="46" t="s">
        <v>32</v>
      </c>
      <c r="Y250" s="26" t="s">
        <v>193</v>
      </c>
      <c r="Z250" s="24"/>
      <c r="AA250" s="24" t="s">
        <v>532</v>
      </c>
      <c r="AB250" s="24" t="s">
        <v>16</v>
      </c>
      <c r="AC250" s="24" t="s">
        <v>1272</v>
      </c>
    </row>
    <row r="251" spans="1:29" s="627" customFormat="1" ht="15" hidden="1" customHeight="1">
      <c r="A251" s="102" t="s">
        <v>25</v>
      </c>
      <c r="B251" s="109" t="s">
        <v>25</v>
      </c>
      <c r="C251" s="91" t="s">
        <v>1284</v>
      </c>
      <c r="D251" s="91" t="s">
        <v>1285</v>
      </c>
      <c r="E251" s="91" t="s">
        <v>1286</v>
      </c>
      <c r="F251" s="91">
        <v>171370471</v>
      </c>
      <c r="G251" s="91">
        <v>171370471</v>
      </c>
      <c r="H251" s="91">
        <v>5.8406370000000001</v>
      </c>
      <c r="I251" s="26">
        <v>-5.3421260000000004</v>
      </c>
      <c r="J251" s="91" t="s">
        <v>189</v>
      </c>
      <c r="K251" s="26" t="s">
        <v>274</v>
      </c>
      <c r="L251" s="26" t="s">
        <v>715</v>
      </c>
      <c r="M251" s="48" t="s">
        <v>1359</v>
      </c>
      <c r="N251" s="48">
        <v>2150016546</v>
      </c>
      <c r="O251" s="50">
        <v>45735</v>
      </c>
      <c r="P251" s="44">
        <f t="shared" ca="1" si="5"/>
        <v>334</v>
      </c>
      <c r="Q251" s="50">
        <v>45735</v>
      </c>
      <c r="R251" s="26" t="s">
        <v>30</v>
      </c>
      <c r="S251" s="26"/>
      <c r="T251" s="26">
        <v>4</v>
      </c>
      <c r="U251" s="45">
        <v>45745</v>
      </c>
      <c r="V251" s="26" t="s">
        <v>310</v>
      </c>
      <c r="W251" s="26">
        <v>400</v>
      </c>
      <c r="X251" s="46" t="s">
        <v>32</v>
      </c>
      <c r="Y251" s="26" t="s">
        <v>578</v>
      </c>
      <c r="Z251" s="24"/>
      <c r="AA251" s="24" t="s">
        <v>532</v>
      </c>
      <c r="AB251" s="24" t="s">
        <v>16</v>
      </c>
      <c r="AC251" s="24" t="s">
        <v>1269</v>
      </c>
    </row>
    <row r="252" spans="1:29" s="627" customFormat="1" ht="15" hidden="1" customHeight="1">
      <c r="A252" s="25" t="s">
        <v>25</v>
      </c>
      <c r="B252" s="42" t="s">
        <v>25</v>
      </c>
      <c r="C252" s="91" t="s">
        <v>1390</v>
      </c>
      <c r="D252" s="91" t="s">
        <v>1391</v>
      </c>
      <c r="E252" s="91" t="s">
        <v>1397</v>
      </c>
      <c r="F252" s="91">
        <v>150156868</v>
      </c>
      <c r="G252" s="91">
        <v>709965655</v>
      </c>
      <c r="H252" s="26">
        <v>5.8374620000000004</v>
      </c>
      <c r="I252" s="26">
        <v>-5.3481519999999998</v>
      </c>
      <c r="J252" s="91" t="s">
        <v>189</v>
      </c>
      <c r="K252" s="26" t="s">
        <v>190</v>
      </c>
      <c r="L252" s="26" t="s">
        <v>625</v>
      </c>
      <c r="M252" s="48" t="s">
        <v>1453</v>
      </c>
      <c r="N252" s="48">
        <v>2150016533</v>
      </c>
      <c r="O252" s="50">
        <v>45741</v>
      </c>
      <c r="P252" s="44">
        <f t="shared" ref="P252:P269" ca="1" si="6">TODAY()-Q252</f>
        <v>328</v>
      </c>
      <c r="Q252" s="50">
        <v>45741</v>
      </c>
      <c r="R252" s="26" t="s">
        <v>30</v>
      </c>
      <c r="S252" s="26"/>
      <c r="T252" s="26">
        <v>1</v>
      </c>
      <c r="U252" s="45">
        <v>45745</v>
      </c>
      <c r="V252" s="26" t="s">
        <v>310</v>
      </c>
      <c r="W252" s="26">
        <v>300</v>
      </c>
      <c r="X252" s="46" t="s">
        <v>32</v>
      </c>
      <c r="Y252" s="26" t="s">
        <v>245</v>
      </c>
      <c r="Z252" s="24"/>
      <c r="AA252" s="24" t="s">
        <v>532</v>
      </c>
      <c r="AB252" s="24" t="s">
        <v>16</v>
      </c>
      <c r="AC252" s="24" t="s">
        <v>1352</v>
      </c>
    </row>
    <row r="253" spans="1:29" s="627" customFormat="1" ht="15" hidden="1" customHeight="1">
      <c r="A253" s="23" t="s">
        <v>25</v>
      </c>
      <c r="B253" s="28" t="s">
        <v>25</v>
      </c>
      <c r="C253" s="23" t="s">
        <v>1252</v>
      </c>
      <c r="D253" s="23" t="s">
        <v>1253</v>
      </c>
      <c r="E253" s="23" t="s">
        <v>667</v>
      </c>
      <c r="F253" s="23">
        <v>171322474</v>
      </c>
      <c r="G253" s="23">
        <v>707043340</v>
      </c>
      <c r="H253" s="24">
        <v>5.8463830000000003</v>
      </c>
      <c r="I253" s="24">
        <v>-5.3566760000000002</v>
      </c>
      <c r="J253" s="23" t="s">
        <v>189</v>
      </c>
      <c r="K253" s="24" t="s">
        <v>203</v>
      </c>
      <c r="L253" s="24" t="s">
        <v>495</v>
      </c>
      <c r="M253" s="36" t="s">
        <v>1409</v>
      </c>
      <c r="N253" s="36">
        <v>2150016519</v>
      </c>
      <c r="O253" s="30">
        <v>45734</v>
      </c>
      <c r="P253" s="31">
        <f t="shared" ca="1" si="6"/>
        <v>335</v>
      </c>
      <c r="Q253" s="39">
        <v>45734</v>
      </c>
      <c r="R253" s="24" t="s">
        <v>30</v>
      </c>
      <c r="S253" s="24"/>
      <c r="T253" s="24">
        <v>3</v>
      </c>
      <c r="U253" s="32">
        <v>45746</v>
      </c>
      <c r="V253" s="24" t="s">
        <v>310</v>
      </c>
      <c r="W253" s="24">
        <v>300</v>
      </c>
      <c r="X253" s="33" t="s">
        <v>32</v>
      </c>
      <c r="Y253" s="24" t="s">
        <v>578</v>
      </c>
      <c r="Z253" s="24"/>
      <c r="AA253" s="24" t="s">
        <v>532</v>
      </c>
      <c r="AB253" s="24" t="s">
        <v>16</v>
      </c>
      <c r="AC253" s="24" t="s">
        <v>1423</v>
      </c>
    </row>
    <row r="254" spans="1:29" s="627" customFormat="1" ht="15" hidden="1" customHeight="1">
      <c r="A254" s="23" t="s">
        <v>25</v>
      </c>
      <c r="B254" s="28" t="s">
        <v>25</v>
      </c>
      <c r="C254" s="122" t="s">
        <v>85</v>
      </c>
      <c r="D254" s="122" t="s">
        <v>86</v>
      </c>
      <c r="E254" s="856" t="s">
        <v>84</v>
      </c>
      <c r="F254" s="122">
        <v>141389087</v>
      </c>
      <c r="G254" s="122">
        <v>707868267</v>
      </c>
      <c r="H254" s="122">
        <v>5.8318719999999997</v>
      </c>
      <c r="I254" s="122">
        <v>-5.3616320000000002</v>
      </c>
      <c r="J254" s="3" t="s">
        <v>36</v>
      </c>
      <c r="K254" s="7" t="s">
        <v>198</v>
      </c>
      <c r="L254" s="1" t="s">
        <v>950</v>
      </c>
      <c r="M254" s="4" t="s">
        <v>957</v>
      </c>
      <c r="N254" s="4">
        <v>2150011793</v>
      </c>
      <c r="O254" s="8">
        <v>45685</v>
      </c>
      <c r="P254" s="6">
        <f t="shared" ca="1" si="6"/>
        <v>383</v>
      </c>
      <c r="Q254" s="8">
        <v>45686</v>
      </c>
      <c r="R254" s="1" t="s">
        <v>30</v>
      </c>
      <c r="S254" s="1"/>
      <c r="T254" s="1">
        <v>0</v>
      </c>
      <c r="U254" s="8">
        <v>45748</v>
      </c>
      <c r="V254" s="1" t="s">
        <v>310</v>
      </c>
      <c r="W254" s="1">
        <v>200</v>
      </c>
      <c r="X254" s="1" t="s">
        <v>32</v>
      </c>
      <c r="Y254" s="1"/>
      <c r="Z254" s="24"/>
      <c r="AA254" s="24" t="s">
        <v>532</v>
      </c>
      <c r="AB254" s="24" t="s">
        <v>16</v>
      </c>
      <c r="AC254" s="24" t="s">
        <v>1420</v>
      </c>
    </row>
    <row r="255" spans="1:29" s="627" customFormat="1" ht="15" hidden="1" customHeight="1">
      <c r="A255" s="28" t="s">
        <v>25</v>
      </c>
      <c r="B255" s="28" t="s">
        <v>25</v>
      </c>
      <c r="C255" s="23" t="s">
        <v>943</v>
      </c>
      <c r="D255" s="23" t="s">
        <v>944</v>
      </c>
      <c r="E255" s="23" t="s">
        <v>375</v>
      </c>
      <c r="F255" s="23">
        <v>140244614</v>
      </c>
      <c r="G255" s="23">
        <v>708521191</v>
      </c>
      <c r="H255" s="28">
        <v>5.8396780000000001</v>
      </c>
      <c r="I255" s="28">
        <v>-5.3654549999999999</v>
      </c>
      <c r="J255" s="23" t="s">
        <v>36</v>
      </c>
      <c r="K255" s="28" t="s">
        <v>203</v>
      </c>
      <c r="L255" s="28" t="s">
        <v>1188</v>
      </c>
      <c r="M255" s="36" t="s">
        <v>1446</v>
      </c>
      <c r="N255" s="36">
        <v>2150016525</v>
      </c>
      <c r="O255" s="30">
        <v>45720</v>
      </c>
      <c r="P255" s="31">
        <f t="shared" ca="1" si="6"/>
        <v>348</v>
      </c>
      <c r="Q255" s="30">
        <v>45721</v>
      </c>
      <c r="R255" s="28" t="s">
        <v>30</v>
      </c>
      <c r="S255" s="28"/>
      <c r="T255" s="28">
        <v>0</v>
      </c>
      <c r="U255" s="32">
        <v>45748</v>
      </c>
      <c r="V255" s="28" t="s">
        <v>310</v>
      </c>
      <c r="W255" s="28">
        <v>250</v>
      </c>
      <c r="X255" s="33" t="s">
        <v>32</v>
      </c>
      <c r="Y255" s="24" t="s">
        <v>228</v>
      </c>
      <c r="Z255" s="24"/>
      <c r="AA255" s="24" t="s">
        <v>532</v>
      </c>
      <c r="AB255" s="121" t="s">
        <v>16</v>
      </c>
      <c r="AC255" s="24" t="s">
        <v>1310</v>
      </c>
    </row>
    <row r="256" spans="1:29" s="627" customFormat="1" ht="15" hidden="1" customHeight="1">
      <c r="A256" s="23" t="s">
        <v>25</v>
      </c>
      <c r="B256" s="28" t="s">
        <v>25</v>
      </c>
      <c r="C256" s="10" t="s">
        <v>982</v>
      </c>
      <c r="D256" s="10" t="s">
        <v>303</v>
      </c>
      <c r="E256" s="10" t="s">
        <v>983</v>
      </c>
      <c r="F256" s="10">
        <v>152610431</v>
      </c>
      <c r="G256" s="10">
        <v>708787836</v>
      </c>
      <c r="H256" s="1">
        <v>5.8299399999999997</v>
      </c>
      <c r="I256" s="1">
        <v>-5.3584149999999999</v>
      </c>
      <c r="J256" s="1" t="s">
        <v>36</v>
      </c>
      <c r="K256" s="1" t="s">
        <v>198</v>
      </c>
      <c r="L256" s="1" t="s">
        <v>896</v>
      </c>
      <c r="M256" s="4" t="s">
        <v>1042</v>
      </c>
      <c r="N256" s="4">
        <v>2150012037</v>
      </c>
      <c r="O256" s="11">
        <v>45722</v>
      </c>
      <c r="P256" s="6">
        <f t="shared" ca="1" si="6"/>
        <v>347</v>
      </c>
      <c r="Q256" s="11">
        <v>45722</v>
      </c>
      <c r="R256" s="11" t="s">
        <v>30</v>
      </c>
      <c r="S256" s="1"/>
      <c r="T256" s="1">
        <v>0</v>
      </c>
      <c r="U256" s="8">
        <v>45748</v>
      </c>
      <c r="V256" s="2" t="s">
        <v>310</v>
      </c>
      <c r="W256" s="1">
        <v>450</v>
      </c>
      <c r="X256" s="12" t="s">
        <v>32</v>
      </c>
      <c r="Y256" s="1" t="s">
        <v>245</v>
      </c>
      <c r="Z256" s="24"/>
      <c r="AA256" s="24" t="s">
        <v>532</v>
      </c>
      <c r="AB256" s="28" t="s">
        <v>16</v>
      </c>
      <c r="AC256" s="28" t="s">
        <v>1437</v>
      </c>
    </row>
    <row r="257" spans="1:29" s="627" customFormat="1" ht="15" hidden="1" customHeight="1">
      <c r="A257" s="23" t="s">
        <v>25</v>
      </c>
      <c r="B257" s="28" t="s">
        <v>25</v>
      </c>
      <c r="C257" s="35" t="s">
        <v>1025</v>
      </c>
      <c r="D257" s="35" t="s">
        <v>1026</v>
      </c>
      <c r="E257" s="35" t="s">
        <v>1007</v>
      </c>
      <c r="F257" s="35">
        <v>777916367</v>
      </c>
      <c r="G257" s="35">
        <v>777916367</v>
      </c>
      <c r="H257" s="24">
        <v>5.8360810000000001</v>
      </c>
      <c r="I257" s="24">
        <v>-5.358784</v>
      </c>
      <c r="J257" s="24" t="s">
        <v>36</v>
      </c>
      <c r="K257" s="24" t="s">
        <v>198</v>
      </c>
      <c r="L257" s="24" t="s">
        <v>1036</v>
      </c>
      <c r="M257" s="36" t="s">
        <v>1157</v>
      </c>
      <c r="N257" s="36">
        <v>2150012048</v>
      </c>
      <c r="O257" s="37">
        <v>45723</v>
      </c>
      <c r="P257" s="31">
        <f t="shared" ca="1" si="6"/>
        <v>345</v>
      </c>
      <c r="Q257" s="37">
        <v>45724</v>
      </c>
      <c r="R257" s="30" t="s">
        <v>30</v>
      </c>
      <c r="S257" s="24"/>
      <c r="T257" s="24">
        <v>1</v>
      </c>
      <c r="U257" s="32">
        <v>45748</v>
      </c>
      <c r="V257" s="28" t="s">
        <v>310</v>
      </c>
      <c r="W257" s="24">
        <v>200</v>
      </c>
      <c r="X257" s="33" t="s">
        <v>32</v>
      </c>
      <c r="Y257" s="24" t="s">
        <v>193</v>
      </c>
      <c r="Z257" s="24"/>
      <c r="AA257" s="24" t="s">
        <v>532</v>
      </c>
      <c r="AB257" s="24" t="s">
        <v>16</v>
      </c>
      <c r="AC257" s="24" t="s">
        <v>1434</v>
      </c>
    </row>
    <row r="258" spans="1:29" s="627" customFormat="1" ht="15" hidden="1" customHeight="1">
      <c r="A258" s="23" t="s">
        <v>25</v>
      </c>
      <c r="B258" s="28" t="s">
        <v>25</v>
      </c>
      <c r="C258" s="23" t="s">
        <v>1083</v>
      </c>
      <c r="D258" s="23" t="s">
        <v>362</v>
      </c>
      <c r="E258" s="23" t="s">
        <v>1084</v>
      </c>
      <c r="F258" s="23">
        <v>152345848</v>
      </c>
      <c r="G258" s="23">
        <v>504590959</v>
      </c>
      <c r="H258" s="23">
        <v>5.8350759999999999</v>
      </c>
      <c r="I258" s="24">
        <v>-5.3595009999999998</v>
      </c>
      <c r="J258" s="24" t="s">
        <v>36</v>
      </c>
      <c r="K258" s="24" t="s">
        <v>198</v>
      </c>
      <c r="L258" s="24" t="s">
        <v>1268</v>
      </c>
      <c r="M258" s="24" t="s">
        <v>1294</v>
      </c>
      <c r="N258" s="24">
        <v>2150016357</v>
      </c>
      <c r="O258" s="30">
        <v>45727</v>
      </c>
      <c r="P258" s="31">
        <f t="shared" ca="1" si="6"/>
        <v>341</v>
      </c>
      <c r="Q258" s="30">
        <v>45728</v>
      </c>
      <c r="R258" s="24" t="s">
        <v>30</v>
      </c>
      <c r="S258" s="24"/>
      <c r="T258" s="24">
        <v>0</v>
      </c>
      <c r="U258" s="32">
        <v>45748</v>
      </c>
      <c r="V258" s="24" t="s">
        <v>310</v>
      </c>
      <c r="W258" s="24">
        <v>150</v>
      </c>
      <c r="X258" s="33" t="s">
        <v>32</v>
      </c>
      <c r="Y258" s="24" t="s">
        <v>193</v>
      </c>
      <c r="Z258" s="24"/>
      <c r="AA258" s="24" t="s">
        <v>532</v>
      </c>
      <c r="AB258" s="24" t="s">
        <v>16</v>
      </c>
      <c r="AC258" s="24" t="s">
        <v>1425</v>
      </c>
    </row>
    <row r="259" spans="1:29" s="625" customFormat="1" ht="15" hidden="1" customHeight="1">
      <c r="A259" s="23" t="s">
        <v>25</v>
      </c>
      <c r="B259" s="28" t="s">
        <v>25</v>
      </c>
      <c r="C259" s="23" t="s">
        <v>1305</v>
      </c>
      <c r="D259" s="23" t="s">
        <v>1306</v>
      </c>
      <c r="E259" s="23" t="s">
        <v>490</v>
      </c>
      <c r="F259" s="23">
        <v>779657395</v>
      </c>
      <c r="G259" s="23">
        <v>779657395</v>
      </c>
      <c r="H259" s="24">
        <v>5.8442239999999996</v>
      </c>
      <c r="I259" s="24">
        <v>-5.3668149999999999</v>
      </c>
      <c r="J259" s="23" t="s">
        <v>36</v>
      </c>
      <c r="K259" s="24" t="s">
        <v>190</v>
      </c>
      <c r="L259" s="24" t="s">
        <v>544</v>
      </c>
      <c r="M259" s="36" t="s">
        <v>1361</v>
      </c>
      <c r="N259" s="36">
        <v>2150016551</v>
      </c>
      <c r="O259" s="30">
        <v>45735</v>
      </c>
      <c r="P259" s="31">
        <f t="shared" ca="1" si="6"/>
        <v>333</v>
      </c>
      <c r="Q259" s="30">
        <v>45736</v>
      </c>
      <c r="R259" s="24" t="s">
        <v>30</v>
      </c>
      <c r="S259" s="24"/>
      <c r="T259" s="24">
        <v>2</v>
      </c>
      <c r="U259" s="32">
        <v>45748</v>
      </c>
      <c r="V259" s="24" t="s">
        <v>310</v>
      </c>
      <c r="W259" s="24">
        <v>200</v>
      </c>
      <c r="X259" s="33" t="s">
        <v>32</v>
      </c>
      <c r="Y259" s="24" t="s">
        <v>245</v>
      </c>
      <c r="Z259" s="1"/>
      <c r="AA259" s="1" t="s">
        <v>532</v>
      </c>
      <c r="AB259" s="1" t="s">
        <v>16</v>
      </c>
      <c r="AC259" s="1" t="s">
        <v>953</v>
      </c>
    </row>
    <row r="260" spans="1:29" s="625" customFormat="1" ht="15" hidden="1" customHeight="1">
      <c r="A260" s="2" t="s">
        <v>25</v>
      </c>
      <c r="B260" s="2" t="s">
        <v>25</v>
      </c>
      <c r="C260" s="35" t="s">
        <v>1342</v>
      </c>
      <c r="D260" s="24" t="s">
        <v>1346</v>
      </c>
      <c r="E260" s="35" t="s">
        <v>84</v>
      </c>
      <c r="F260" s="35">
        <v>769007274</v>
      </c>
      <c r="G260" s="35">
        <v>140955656</v>
      </c>
      <c r="H260" s="24">
        <v>5.8373429999999997</v>
      </c>
      <c r="I260" s="24">
        <v>-5.3619839999999996</v>
      </c>
      <c r="J260" s="35" t="s">
        <v>36</v>
      </c>
      <c r="K260" s="24" t="s">
        <v>203</v>
      </c>
      <c r="L260" s="24" t="s">
        <v>1131</v>
      </c>
      <c r="M260" s="36" t="s">
        <v>1407</v>
      </c>
      <c r="N260" s="36">
        <v>2150016520</v>
      </c>
      <c r="O260" s="37">
        <v>45737</v>
      </c>
      <c r="P260" s="31">
        <f t="shared" ca="1" si="6"/>
        <v>331</v>
      </c>
      <c r="Q260" s="37">
        <v>45738</v>
      </c>
      <c r="R260" s="24" t="s">
        <v>30</v>
      </c>
      <c r="S260" s="24"/>
      <c r="T260" s="24">
        <v>1</v>
      </c>
      <c r="U260" s="32">
        <v>45748</v>
      </c>
      <c r="V260" s="24" t="s">
        <v>310</v>
      </c>
      <c r="W260" s="24">
        <v>100</v>
      </c>
      <c r="X260" s="33" t="s">
        <v>32</v>
      </c>
      <c r="Y260" s="24" t="s">
        <v>193</v>
      </c>
      <c r="Z260" s="1"/>
      <c r="AA260" s="1" t="s">
        <v>532</v>
      </c>
      <c r="AB260" s="1" t="s">
        <v>16</v>
      </c>
      <c r="AC260" s="1" t="s">
        <v>1027</v>
      </c>
    </row>
    <row r="261" spans="1:29" s="632" customFormat="1" ht="15" hidden="1" customHeight="1">
      <c r="A261" s="23" t="s">
        <v>25</v>
      </c>
      <c r="B261" s="28" t="s">
        <v>25</v>
      </c>
      <c r="C261" s="38" t="s">
        <v>1380</v>
      </c>
      <c r="D261" s="38" t="s">
        <v>1381</v>
      </c>
      <c r="E261" s="38" t="s">
        <v>1394</v>
      </c>
      <c r="F261" s="38">
        <v>789348128</v>
      </c>
      <c r="G261" s="38">
        <v>789348128</v>
      </c>
      <c r="H261" s="24">
        <v>5.8391190000000002</v>
      </c>
      <c r="I261" s="24">
        <v>-5.351693</v>
      </c>
      <c r="J261" s="38" t="s">
        <v>189</v>
      </c>
      <c r="K261" s="24" t="s">
        <v>190</v>
      </c>
      <c r="L261" s="24" t="s">
        <v>1424</v>
      </c>
      <c r="M261" s="36" t="s">
        <v>1451</v>
      </c>
      <c r="N261" s="36">
        <v>2150016531</v>
      </c>
      <c r="O261" s="39">
        <v>45740</v>
      </c>
      <c r="P261" s="31">
        <f t="shared" ca="1" si="6"/>
        <v>328</v>
      </c>
      <c r="Q261" s="39">
        <v>45741</v>
      </c>
      <c r="R261" s="24" t="s">
        <v>30</v>
      </c>
      <c r="S261" s="24"/>
      <c r="T261" s="24">
        <v>0</v>
      </c>
      <c r="U261" s="32">
        <v>45748</v>
      </c>
      <c r="V261" s="24" t="s">
        <v>310</v>
      </c>
      <c r="W261" s="24">
        <v>100</v>
      </c>
      <c r="X261" s="33" t="s">
        <v>32</v>
      </c>
      <c r="Y261" s="24" t="s">
        <v>193</v>
      </c>
      <c r="Z261" s="123"/>
      <c r="AA261" s="123" t="s">
        <v>532</v>
      </c>
      <c r="AB261" s="123" t="s">
        <v>16</v>
      </c>
      <c r="AC261" s="131" t="s">
        <v>1492</v>
      </c>
    </row>
    <row r="262" spans="1:29" s="632" customFormat="1" ht="15" hidden="1" customHeight="1">
      <c r="A262" s="23" t="s">
        <v>25</v>
      </c>
      <c r="B262" s="28" t="s">
        <v>25</v>
      </c>
      <c r="C262" s="38" t="s">
        <v>1375</v>
      </c>
      <c r="D262" s="38" t="s">
        <v>1376</v>
      </c>
      <c r="E262" s="38" t="s">
        <v>117</v>
      </c>
      <c r="F262" s="38">
        <v>142171817</v>
      </c>
      <c r="G262" s="38">
        <v>789326600</v>
      </c>
      <c r="H262" s="24">
        <v>5.8472590000000002</v>
      </c>
      <c r="I262" s="24">
        <v>-5.3534319999999997</v>
      </c>
      <c r="J262" s="38" t="s">
        <v>189</v>
      </c>
      <c r="K262" s="24" t="s">
        <v>203</v>
      </c>
      <c r="L262" s="24" t="s">
        <v>1422</v>
      </c>
      <c r="M262" s="36" t="s">
        <v>1448</v>
      </c>
      <c r="N262" s="36">
        <v>2150016528</v>
      </c>
      <c r="O262" s="39">
        <v>45740</v>
      </c>
      <c r="P262" s="31">
        <f t="shared" ca="1" si="6"/>
        <v>328</v>
      </c>
      <c r="Q262" s="39">
        <v>45741</v>
      </c>
      <c r="R262" s="24" t="s">
        <v>30</v>
      </c>
      <c r="S262" s="24"/>
      <c r="T262" s="24">
        <v>0</v>
      </c>
      <c r="U262" s="32">
        <v>45748</v>
      </c>
      <c r="V262" s="24" t="s">
        <v>310</v>
      </c>
      <c r="W262" s="24">
        <v>100</v>
      </c>
      <c r="X262" s="33" t="s">
        <v>32</v>
      </c>
      <c r="Y262" s="24" t="s">
        <v>626</v>
      </c>
      <c r="Z262" s="123"/>
      <c r="AA262" s="123" t="s">
        <v>532</v>
      </c>
      <c r="AB262" s="123" t="s">
        <v>16</v>
      </c>
      <c r="AC262" s="123" t="s">
        <v>1369</v>
      </c>
    </row>
    <row r="263" spans="1:29" s="632" customFormat="1" ht="15" hidden="1" customHeight="1">
      <c r="A263" s="23" t="s">
        <v>25</v>
      </c>
      <c r="B263" s="28" t="s">
        <v>25</v>
      </c>
      <c r="C263" s="24" t="s">
        <v>921</v>
      </c>
      <c r="D263" s="24" t="s">
        <v>1374</v>
      </c>
      <c r="E263" s="24" t="s">
        <v>549</v>
      </c>
      <c r="F263" s="24">
        <v>143006161</v>
      </c>
      <c r="G263" s="24">
        <v>708586278</v>
      </c>
      <c r="H263" s="24">
        <v>5.8466930000000001</v>
      </c>
      <c r="I263" s="24">
        <v>-5.351807</v>
      </c>
      <c r="J263" s="24" t="s">
        <v>189</v>
      </c>
      <c r="K263" s="32" t="s">
        <v>198</v>
      </c>
      <c r="L263" s="24" t="s">
        <v>1047</v>
      </c>
      <c r="M263" s="36" t="s">
        <v>1447</v>
      </c>
      <c r="N263" s="36">
        <v>2150016527</v>
      </c>
      <c r="O263" s="32">
        <v>45720</v>
      </c>
      <c r="P263" s="31">
        <f t="shared" ca="1" si="6"/>
        <v>328</v>
      </c>
      <c r="Q263" s="32">
        <v>45741</v>
      </c>
      <c r="R263" s="24" t="s">
        <v>30</v>
      </c>
      <c r="S263" s="24"/>
      <c r="T263" s="24">
        <v>1</v>
      </c>
      <c r="U263" s="32">
        <v>45748</v>
      </c>
      <c r="V263" s="24" t="s">
        <v>310</v>
      </c>
      <c r="W263" s="24">
        <v>150</v>
      </c>
      <c r="X263" s="33" t="s">
        <v>32</v>
      </c>
      <c r="Y263" s="24" t="s">
        <v>228</v>
      </c>
      <c r="Z263" s="123"/>
      <c r="AA263" s="123" t="s">
        <v>532</v>
      </c>
      <c r="AB263" s="123" t="s">
        <v>16</v>
      </c>
      <c r="AC263" s="123" t="s">
        <v>1480</v>
      </c>
    </row>
    <row r="264" spans="1:29" s="632" customFormat="1" ht="15" hidden="1" customHeight="1">
      <c r="A264" s="1" t="s">
        <v>25</v>
      </c>
      <c r="B264" s="2" t="s">
        <v>25</v>
      </c>
      <c r="C264" s="38" t="s">
        <v>1378</v>
      </c>
      <c r="D264" s="38" t="s">
        <v>1379</v>
      </c>
      <c r="E264" s="38" t="s">
        <v>1393</v>
      </c>
      <c r="F264" s="38">
        <v>748837950</v>
      </c>
      <c r="G264" s="38">
        <v>748837950</v>
      </c>
      <c r="H264" s="24">
        <v>5.8319159999999997</v>
      </c>
      <c r="I264" s="24">
        <v>-5.3600029999999999</v>
      </c>
      <c r="J264" s="38" t="s">
        <v>36</v>
      </c>
      <c r="K264" s="24" t="s">
        <v>198</v>
      </c>
      <c r="L264" s="24" t="s">
        <v>894</v>
      </c>
      <c r="M264" s="36" t="s">
        <v>1450</v>
      </c>
      <c r="N264" s="36">
        <v>2150016530</v>
      </c>
      <c r="O264" s="39">
        <v>45740</v>
      </c>
      <c r="P264" s="31">
        <f t="shared" ca="1" si="6"/>
        <v>328</v>
      </c>
      <c r="Q264" s="39">
        <v>45741</v>
      </c>
      <c r="R264" s="24" t="s">
        <v>30</v>
      </c>
      <c r="S264" s="24"/>
      <c r="T264" s="24">
        <v>0</v>
      </c>
      <c r="U264" s="32">
        <v>45748</v>
      </c>
      <c r="V264" s="24" t="s">
        <v>310</v>
      </c>
      <c r="W264" s="24">
        <v>300</v>
      </c>
      <c r="X264" s="33" t="s">
        <v>32</v>
      </c>
      <c r="Y264" s="24" t="s">
        <v>578</v>
      </c>
      <c r="Z264" s="123"/>
      <c r="AA264" s="123" t="s">
        <v>532</v>
      </c>
      <c r="AB264" s="123" t="s">
        <v>16</v>
      </c>
      <c r="AC264" s="131" t="s">
        <v>1485</v>
      </c>
    </row>
    <row r="265" spans="1:29" s="632" customFormat="1" ht="15" hidden="1" customHeight="1">
      <c r="A265" s="124" t="s">
        <v>25</v>
      </c>
      <c r="B265" s="124" t="s">
        <v>25</v>
      </c>
      <c r="C265" s="123" t="s">
        <v>121</v>
      </c>
      <c r="D265" s="123" t="s">
        <v>122</v>
      </c>
      <c r="E265" s="123" t="s">
        <v>120</v>
      </c>
      <c r="F265" s="123">
        <v>707619257</v>
      </c>
      <c r="G265" s="123">
        <v>546477687</v>
      </c>
      <c r="H265" s="123">
        <v>5.8326409999999997</v>
      </c>
      <c r="I265" s="123">
        <v>-5.3612770000000003</v>
      </c>
      <c r="J265" s="123" t="s">
        <v>36</v>
      </c>
      <c r="K265" s="134" t="s">
        <v>198</v>
      </c>
      <c r="L265" s="123" t="s">
        <v>1479</v>
      </c>
      <c r="M265" s="127" t="s">
        <v>1491</v>
      </c>
      <c r="N265" s="127">
        <v>2150016343</v>
      </c>
      <c r="O265" s="129">
        <v>45686</v>
      </c>
      <c r="P265" s="135">
        <f t="shared" ca="1" si="6"/>
        <v>382</v>
      </c>
      <c r="Q265" s="129">
        <v>45687</v>
      </c>
      <c r="R265" s="123" t="s">
        <v>30</v>
      </c>
      <c r="S265" s="123"/>
      <c r="T265" s="123">
        <v>0</v>
      </c>
      <c r="U265" s="129">
        <v>45749</v>
      </c>
      <c r="V265" s="123" t="s">
        <v>310</v>
      </c>
      <c r="W265" s="123">
        <v>100</v>
      </c>
      <c r="X265" s="123" t="s">
        <v>32</v>
      </c>
      <c r="Y265" s="123" t="s">
        <v>245</v>
      </c>
      <c r="Z265" s="123"/>
      <c r="AA265" s="123" t="s">
        <v>532</v>
      </c>
      <c r="AB265" s="123" t="s">
        <v>16</v>
      </c>
      <c r="AC265" s="123" t="s">
        <v>1476</v>
      </c>
    </row>
    <row r="266" spans="1:29" s="632" customFormat="1" ht="15" hidden="1" customHeight="1">
      <c r="A266" s="123" t="s">
        <v>25</v>
      </c>
      <c r="B266" s="124" t="s">
        <v>25</v>
      </c>
      <c r="C266" s="132" t="s">
        <v>870</v>
      </c>
      <c r="D266" s="132" t="s">
        <v>871</v>
      </c>
      <c r="E266" s="132" t="s">
        <v>84</v>
      </c>
      <c r="F266" s="132">
        <v>102306988</v>
      </c>
      <c r="G266" s="132">
        <v>758213181</v>
      </c>
      <c r="H266" s="123">
        <v>5.8325740000000001</v>
      </c>
      <c r="I266" s="123">
        <v>-5.3613869999999997</v>
      </c>
      <c r="J266" s="133" t="s">
        <v>36</v>
      </c>
      <c r="K266" s="123" t="s">
        <v>198</v>
      </c>
      <c r="L266" s="123" t="s">
        <v>1479</v>
      </c>
      <c r="M266" s="127" t="s">
        <v>1486</v>
      </c>
      <c r="N266" s="127">
        <v>2150016339</v>
      </c>
      <c r="O266" s="134">
        <v>45717</v>
      </c>
      <c r="P266" s="135">
        <f t="shared" ca="1" si="6"/>
        <v>352</v>
      </c>
      <c r="Q266" s="134">
        <v>45717</v>
      </c>
      <c r="R266" s="123" t="s">
        <v>30</v>
      </c>
      <c r="S266" s="123"/>
      <c r="T266" s="123">
        <v>0</v>
      </c>
      <c r="U266" s="129">
        <v>45749</v>
      </c>
      <c r="V266" s="123" t="s">
        <v>310</v>
      </c>
      <c r="W266" s="123">
        <v>100</v>
      </c>
      <c r="X266" s="136" t="s">
        <v>32</v>
      </c>
      <c r="Y266" s="123" t="s">
        <v>228</v>
      </c>
      <c r="Z266" s="123"/>
      <c r="AA266" s="123" t="s">
        <v>532</v>
      </c>
      <c r="AB266" s="123" t="s">
        <v>16</v>
      </c>
      <c r="AC266" s="123" t="s">
        <v>1428</v>
      </c>
    </row>
    <row r="267" spans="1:29" s="632" customFormat="1" ht="15" hidden="1" customHeight="1">
      <c r="A267" s="126" t="s">
        <v>25</v>
      </c>
      <c r="B267" s="124" t="s">
        <v>25</v>
      </c>
      <c r="C267" s="126" t="s">
        <v>1002</v>
      </c>
      <c r="D267" s="126" t="s">
        <v>1003</v>
      </c>
      <c r="E267" s="126" t="s">
        <v>1004</v>
      </c>
      <c r="F267" s="126">
        <v>103541112</v>
      </c>
      <c r="G267" s="126">
        <v>757981610</v>
      </c>
      <c r="H267" s="123">
        <v>5.8389129999999998</v>
      </c>
      <c r="I267" s="123">
        <v>-5.3665609999999999</v>
      </c>
      <c r="J267" s="123" t="s">
        <v>36</v>
      </c>
      <c r="K267" s="123" t="s">
        <v>203</v>
      </c>
      <c r="L267" s="123" t="s">
        <v>1484</v>
      </c>
      <c r="M267" s="127" t="s">
        <v>1487</v>
      </c>
      <c r="N267" s="127">
        <v>2150016338</v>
      </c>
      <c r="O267" s="141">
        <v>45723</v>
      </c>
      <c r="P267" s="135">
        <f t="shared" ca="1" si="6"/>
        <v>346</v>
      </c>
      <c r="Q267" s="141">
        <v>45723</v>
      </c>
      <c r="R267" s="141" t="s">
        <v>30</v>
      </c>
      <c r="S267" s="123"/>
      <c r="T267" s="123">
        <v>0</v>
      </c>
      <c r="U267" s="129">
        <v>45749</v>
      </c>
      <c r="V267" s="124" t="s">
        <v>310</v>
      </c>
      <c r="W267" s="123">
        <v>200</v>
      </c>
      <c r="X267" s="130" t="s">
        <v>32</v>
      </c>
      <c r="Y267" s="123" t="s">
        <v>193</v>
      </c>
      <c r="Z267" s="123"/>
      <c r="AA267" s="123" t="s">
        <v>532</v>
      </c>
      <c r="AB267" s="123" t="s">
        <v>16</v>
      </c>
      <c r="AC267" s="123" t="s">
        <v>1483</v>
      </c>
    </row>
    <row r="268" spans="1:29" s="624" customFormat="1" ht="15" hidden="1" customHeight="1">
      <c r="A268" s="126" t="s">
        <v>25</v>
      </c>
      <c r="B268" s="124" t="s">
        <v>25</v>
      </c>
      <c r="C268" s="139" t="s">
        <v>1343</v>
      </c>
      <c r="D268" s="123" t="s">
        <v>1347</v>
      </c>
      <c r="E268" s="139" t="s">
        <v>375</v>
      </c>
      <c r="F268" s="139">
        <v>707331533</v>
      </c>
      <c r="G268" s="139">
        <v>103461160</v>
      </c>
      <c r="H268" s="123">
        <v>5.8385800000000003</v>
      </c>
      <c r="I268" s="123">
        <v>-5.3642219999999998</v>
      </c>
      <c r="J268" s="139" t="s">
        <v>36</v>
      </c>
      <c r="K268" s="123" t="s">
        <v>203</v>
      </c>
      <c r="L268" s="123" t="s">
        <v>1368</v>
      </c>
      <c r="M268" s="127" t="s">
        <v>1410</v>
      </c>
      <c r="N268" s="127">
        <v>2150016516</v>
      </c>
      <c r="O268" s="140">
        <v>45737</v>
      </c>
      <c r="P268" s="135">
        <f t="shared" ca="1" si="6"/>
        <v>331</v>
      </c>
      <c r="Q268" s="140">
        <v>45738</v>
      </c>
      <c r="R268" s="123" t="s">
        <v>30</v>
      </c>
      <c r="S268" s="123"/>
      <c r="T268" s="123">
        <v>3</v>
      </c>
      <c r="U268" s="129">
        <v>45749</v>
      </c>
      <c r="V268" s="123" t="s">
        <v>310</v>
      </c>
      <c r="W268" s="123">
        <v>200</v>
      </c>
      <c r="X268" s="130" t="s">
        <v>32</v>
      </c>
      <c r="Y268" s="123" t="s">
        <v>193</v>
      </c>
      <c r="Z268" s="145"/>
      <c r="AA268" s="145" t="s">
        <v>532</v>
      </c>
      <c r="AB268" s="145" t="s">
        <v>16</v>
      </c>
      <c r="AC268" s="145" t="s">
        <v>1477</v>
      </c>
    </row>
    <row r="269" spans="1:29" s="624" customFormat="1" ht="15" hidden="1" customHeight="1">
      <c r="A269" s="126" t="s">
        <v>25</v>
      </c>
      <c r="B269" s="124" t="s">
        <v>25</v>
      </c>
      <c r="C269" s="137" t="s">
        <v>1382</v>
      </c>
      <c r="D269" s="137" t="s">
        <v>1383</v>
      </c>
      <c r="E269" s="137" t="s">
        <v>1395</v>
      </c>
      <c r="F269" s="137">
        <v>101846070</v>
      </c>
      <c r="G269" s="137">
        <v>101846070</v>
      </c>
      <c r="H269" s="123">
        <v>5.8409639999999996</v>
      </c>
      <c r="I269" s="123">
        <v>-5.3582869999999998</v>
      </c>
      <c r="J269" s="137" t="s">
        <v>36</v>
      </c>
      <c r="K269" s="123" t="s">
        <v>190</v>
      </c>
      <c r="L269" s="123" t="s">
        <v>275</v>
      </c>
      <c r="M269" s="127" t="s">
        <v>1452</v>
      </c>
      <c r="N269" s="127">
        <v>2150016532</v>
      </c>
      <c r="O269" s="138">
        <v>45741</v>
      </c>
      <c r="P269" s="135">
        <f t="shared" ca="1" si="6"/>
        <v>328</v>
      </c>
      <c r="Q269" s="138">
        <v>45741</v>
      </c>
      <c r="R269" s="123" t="s">
        <v>30</v>
      </c>
      <c r="S269" s="123"/>
      <c r="T269" s="123">
        <v>0</v>
      </c>
      <c r="U269" s="129">
        <v>45749</v>
      </c>
      <c r="V269" s="123" t="s">
        <v>310</v>
      </c>
      <c r="W269" s="123">
        <v>150</v>
      </c>
      <c r="X269" s="130" t="s">
        <v>32</v>
      </c>
      <c r="Y269" s="123" t="s">
        <v>1521</v>
      </c>
      <c r="Z269" s="145"/>
      <c r="AA269" s="145" t="s">
        <v>532</v>
      </c>
      <c r="AB269" s="145" t="s">
        <v>16</v>
      </c>
      <c r="AC269" s="145" t="s">
        <v>1478</v>
      </c>
    </row>
    <row r="270" spans="1:29" s="624" customFormat="1" ht="15" hidden="1" customHeight="1">
      <c r="A270" s="123" t="s">
        <v>25</v>
      </c>
      <c r="B270" s="124" t="s">
        <v>25</v>
      </c>
      <c r="C270" s="125" t="s">
        <v>1469</v>
      </c>
      <c r="D270" s="125" t="s">
        <v>1470</v>
      </c>
      <c r="E270" s="125" t="s">
        <v>885</v>
      </c>
      <c r="F270" s="125">
        <v>708870554</v>
      </c>
      <c r="G270" s="125">
        <v>708870554</v>
      </c>
      <c r="H270" s="123">
        <v>5.8424110000000002</v>
      </c>
      <c r="I270" s="123">
        <v>-5.3648340000000001</v>
      </c>
      <c r="J270" s="126" t="s">
        <v>36</v>
      </c>
      <c r="K270" s="123" t="s">
        <v>190</v>
      </c>
      <c r="L270" s="123" t="s">
        <v>423</v>
      </c>
      <c r="M270" s="127" t="s">
        <v>1489</v>
      </c>
      <c r="N270" s="127">
        <v>2150016341</v>
      </c>
      <c r="O270" s="128">
        <v>45744</v>
      </c>
      <c r="P270" s="123"/>
      <c r="Q270" s="128">
        <v>45745</v>
      </c>
      <c r="R270" s="123" t="s">
        <v>30</v>
      </c>
      <c r="S270" s="123"/>
      <c r="T270" s="123">
        <v>0</v>
      </c>
      <c r="U270" s="129">
        <v>45749</v>
      </c>
      <c r="V270" s="123" t="s">
        <v>310</v>
      </c>
      <c r="W270" s="123">
        <v>300</v>
      </c>
      <c r="X270" s="130" t="s">
        <v>32</v>
      </c>
      <c r="Y270" s="123" t="s">
        <v>578</v>
      </c>
      <c r="Z270" s="145"/>
      <c r="AA270" s="145" t="s">
        <v>532</v>
      </c>
      <c r="AB270" s="145" t="s">
        <v>16</v>
      </c>
      <c r="AC270" s="145" t="s">
        <v>1426</v>
      </c>
    </row>
    <row r="271" spans="1:29" s="624" customFormat="1" ht="15" hidden="1" customHeight="1">
      <c r="A271" s="126" t="s">
        <v>25</v>
      </c>
      <c r="B271" s="124" t="s">
        <v>25</v>
      </c>
      <c r="C271" s="125" t="s">
        <v>1471</v>
      </c>
      <c r="D271" s="125" t="s">
        <v>1472</v>
      </c>
      <c r="E271" s="125" t="s">
        <v>490</v>
      </c>
      <c r="F271" s="125">
        <v>707836017</v>
      </c>
      <c r="G271" s="125">
        <v>707836017</v>
      </c>
      <c r="H271" s="123">
        <v>5.843693</v>
      </c>
      <c r="I271" s="123">
        <v>-5.3676000000000004</v>
      </c>
      <c r="J271" s="126" t="s">
        <v>36</v>
      </c>
      <c r="K271" s="123" t="s">
        <v>190</v>
      </c>
      <c r="L271" s="123" t="s">
        <v>544</v>
      </c>
      <c r="M271" s="127" t="s">
        <v>1490</v>
      </c>
      <c r="N271" s="127">
        <v>2150016342</v>
      </c>
      <c r="O271" s="128">
        <v>45744</v>
      </c>
      <c r="P271" s="123"/>
      <c r="Q271" s="128">
        <v>45745</v>
      </c>
      <c r="R271" s="123" t="s">
        <v>30</v>
      </c>
      <c r="S271" s="123"/>
      <c r="T271" s="123">
        <v>0</v>
      </c>
      <c r="U271" s="129">
        <v>45749</v>
      </c>
      <c r="V271" s="123" t="s">
        <v>310</v>
      </c>
      <c r="W271" s="123">
        <v>150</v>
      </c>
      <c r="X271" s="130" t="s">
        <v>32</v>
      </c>
      <c r="Y271" s="123" t="s">
        <v>245</v>
      </c>
      <c r="Z271" s="145"/>
      <c r="AA271" s="145" t="s">
        <v>532</v>
      </c>
      <c r="AB271" s="145" t="s">
        <v>16</v>
      </c>
      <c r="AC271" s="145" t="s">
        <v>1429</v>
      </c>
    </row>
    <row r="272" spans="1:29" s="624" customFormat="1" ht="15" hidden="1" customHeight="1">
      <c r="A272" s="142" t="s">
        <v>25</v>
      </c>
      <c r="B272" s="143" t="s">
        <v>25</v>
      </c>
      <c r="C272" s="144" t="s">
        <v>1398</v>
      </c>
      <c r="D272" s="144" t="s">
        <v>1399</v>
      </c>
      <c r="E272" s="144" t="s">
        <v>1400</v>
      </c>
      <c r="F272" s="144">
        <v>150885487</v>
      </c>
      <c r="G272" s="144">
        <v>787731062</v>
      </c>
      <c r="H272" s="145">
        <v>5.8316530000000002</v>
      </c>
      <c r="I272" s="145">
        <v>-5.3550579999999997</v>
      </c>
      <c r="J272" s="144" t="s">
        <v>36</v>
      </c>
      <c r="K272" s="145" t="s">
        <v>274</v>
      </c>
      <c r="L272" s="145" t="s">
        <v>538</v>
      </c>
      <c r="M272" s="146" t="s">
        <v>1454</v>
      </c>
      <c r="N272" s="146">
        <v>2150016534</v>
      </c>
      <c r="O272" s="147">
        <v>45738</v>
      </c>
      <c r="P272" s="148">
        <f ca="1">TODAY()-Q272</f>
        <v>328</v>
      </c>
      <c r="Q272" s="147">
        <v>45741</v>
      </c>
      <c r="R272" s="145" t="s">
        <v>30</v>
      </c>
      <c r="S272" s="145"/>
      <c r="T272" s="145">
        <v>0</v>
      </c>
      <c r="U272" s="149">
        <v>45750</v>
      </c>
      <c r="V272" s="145" t="s">
        <v>310</v>
      </c>
      <c r="W272" s="145">
        <v>150</v>
      </c>
      <c r="X272" s="150" t="s">
        <v>32</v>
      </c>
      <c r="Y272" s="145" t="s">
        <v>343</v>
      </c>
      <c r="Z272" s="145"/>
      <c r="AA272" s="145" t="s">
        <v>532</v>
      </c>
      <c r="AB272" s="145" t="s">
        <v>16</v>
      </c>
      <c r="AC272" s="145" t="s">
        <v>1528</v>
      </c>
    </row>
    <row r="273" spans="1:29" s="624" customFormat="1" ht="15" hidden="1" customHeight="1">
      <c r="A273" s="142" t="s">
        <v>25</v>
      </c>
      <c r="B273" s="143" t="s">
        <v>25</v>
      </c>
      <c r="C273" s="144" t="s">
        <v>1418</v>
      </c>
      <c r="D273" s="144" t="s">
        <v>1419</v>
      </c>
      <c r="E273" s="144" t="s">
        <v>35</v>
      </c>
      <c r="F273" s="144">
        <v>142430350</v>
      </c>
      <c r="G273" s="144">
        <v>506214662</v>
      </c>
      <c r="H273" s="145">
        <v>5.8392929999999996</v>
      </c>
      <c r="I273" s="145">
        <v>-5.3541689999999997</v>
      </c>
      <c r="J273" s="144" t="s">
        <v>189</v>
      </c>
      <c r="K273" s="145" t="s">
        <v>203</v>
      </c>
      <c r="L273" s="145" t="s">
        <v>322</v>
      </c>
      <c r="M273" s="146" t="s">
        <v>1455</v>
      </c>
      <c r="N273" s="146">
        <v>2150016515</v>
      </c>
      <c r="O273" s="147">
        <v>45741</v>
      </c>
      <c r="P273" s="148">
        <f ca="1">TODAY()-Q273</f>
        <v>327</v>
      </c>
      <c r="Q273" s="147">
        <v>45742</v>
      </c>
      <c r="R273" s="145" t="s">
        <v>30</v>
      </c>
      <c r="S273" s="145"/>
      <c r="T273" s="145">
        <v>2</v>
      </c>
      <c r="U273" s="149">
        <v>45750</v>
      </c>
      <c r="V273" s="145" t="s">
        <v>310</v>
      </c>
      <c r="W273" s="145">
        <v>300</v>
      </c>
      <c r="X273" s="150" t="s">
        <v>32</v>
      </c>
      <c r="Y273" s="145" t="s">
        <v>533</v>
      </c>
      <c r="Z273" s="145"/>
      <c r="AA273" s="145" t="s">
        <v>532</v>
      </c>
      <c r="AB273" s="145" t="s">
        <v>16</v>
      </c>
      <c r="AC273" s="145" t="s">
        <v>1482</v>
      </c>
    </row>
    <row r="274" spans="1:29" s="629" customFormat="1" ht="15" hidden="1" customHeight="1">
      <c r="A274" s="142" t="s">
        <v>25</v>
      </c>
      <c r="B274" s="143" t="s">
        <v>25</v>
      </c>
      <c r="C274" s="151" t="s">
        <v>1464</v>
      </c>
      <c r="D274" s="151" t="s">
        <v>920</v>
      </c>
      <c r="E274" s="151" t="s">
        <v>1465</v>
      </c>
      <c r="F274" s="151">
        <v>150606060</v>
      </c>
      <c r="G274" s="151">
        <v>150606060</v>
      </c>
      <c r="H274" s="145">
        <v>5.8408090000000001</v>
      </c>
      <c r="I274" s="145">
        <v>-5.3589279999999997</v>
      </c>
      <c r="J274" s="142" t="s">
        <v>36</v>
      </c>
      <c r="K274" s="145" t="s">
        <v>190</v>
      </c>
      <c r="L274" s="145" t="s">
        <v>474</v>
      </c>
      <c r="M274" s="146" t="s">
        <v>1488</v>
      </c>
      <c r="N274" s="146">
        <v>2150016340</v>
      </c>
      <c r="O274" s="152">
        <v>45744</v>
      </c>
      <c r="P274" s="145"/>
      <c r="Q274" s="152">
        <v>45745</v>
      </c>
      <c r="R274" s="145" t="s">
        <v>30</v>
      </c>
      <c r="S274" s="145"/>
      <c r="T274" s="145">
        <v>0</v>
      </c>
      <c r="U274" s="149">
        <v>45750</v>
      </c>
      <c r="V274" s="145" t="s">
        <v>310</v>
      </c>
      <c r="W274" s="145">
        <v>150</v>
      </c>
      <c r="X274" s="150" t="s">
        <v>32</v>
      </c>
      <c r="Y274" s="145" t="s">
        <v>343</v>
      </c>
      <c r="Z274" s="55"/>
      <c r="AA274" s="55" t="s">
        <v>532</v>
      </c>
      <c r="AB274" s="55" t="s">
        <v>16</v>
      </c>
      <c r="AC274" s="55" t="s">
        <v>1475</v>
      </c>
    </row>
    <row r="275" spans="1:29" s="605" customFormat="1" ht="15" hidden="1" customHeight="1">
      <c r="A275" s="142" t="s">
        <v>25</v>
      </c>
      <c r="B275" s="143" t="s">
        <v>25</v>
      </c>
      <c r="C275" s="151" t="s">
        <v>1473</v>
      </c>
      <c r="D275" s="151" t="s">
        <v>1474</v>
      </c>
      <c r="E275" s="151" t="s">
        <v>375</v>
      </c>
      <c r="F275" s="151">
        <v>141759655</v>
      </c>
      <c r="G275" s="151">
        <v>747704550</v>
      </c>
      <c r="H275" s="145">
        <v>5.8410896000000001</v>
      </c>
      <c r="I275" s="145">
        <v>-5.3670150000000003</v>
      </c>
      <c r="J275" s="142" t="s">
        <v>36</v>
      </c>
      <c r="K275" s="145" t="s">
        <v>203</v>
      </c>
      <c r="L275" s="145" t="s">
        <v>1228</v>
      </c>
      <c r="M275" s="145" t="s">
        <v>1524</v>
      </c>
      <c r="N275" s="145">
        <v>2150016336</v>
      </c>
      <c r="O275" s="152">
        <v>45744</v>
      </c>
      <c r="P275" s="145"/>
      <c r="Q275" s="152">
        <v>45745</v>
      </c>
      <c r="R275" s="145" t="s">
        <v>30</v>
      </c>
      <c r="S275" s="145"/>
      <c r="T275" s="145">
        <v>2</v>
      </c>
      <c r="U275" s="149">
        <v>45750</v>
      </c>
      <c r="V275" s="145" t="s">
        <v>310</v>
      </c>
      <c r="W275" s="145">
        <v>200</v>
      </c>
      <c r="X275" s="150" t="s">
        <v>32</v>
      </c>
      <c r="Y275" s="145" t="s">
        <v>228</v>
      </c>
      <c r="Z275" s="54"/>
      <c r="AA275" s="55" t="s">
        <v>532</v>
      </c>
      <c r="AB275" s="55" t="s">
        <v>16</v>
      </c>
      <c r="AC275" s="55" t="s">
        <v>1538</v>
      </c>
    </row>
    <row r="276" spans="1:29" s="629" customFormat="1" ht="15" hidden="1" customHeight="1">
      <c r="A276" s="142" t="s">
        <v>25</v>
      </c>
      <c r="B276" s="143" t="s">
        <v>25</v>
      </c>
      <c r="C276" s="151" t="s">
        <v>1461</v>
      </c>
      <c r="D276" s="151" t="s">
        <v>1462</v>
      </c>
      <c r="E276" s="151" t="s">
        <v>1463</v>
      </c>
      <c r="F276" s="151">
        <v>102831945</v>
      </c>
      <c r="G276" s="151">
        <v>707341365</v>
      </c>
      <c r="H276" s="145">
        <v>5.8389920000000002</v>
      </c>
      <c r="I276" s="145">
        <v>-5.3648800000000003</v>
      </c>
      <c r="J276" s="142" t="s">
        <v>36</v>
      </c>
      <c r="K276" s="145" t="s">
        <v>203</v>
      </c>
      <c r="L276" s="145" t="s">
        <v>1481</v>
      </c>
      <c r="M276" s="145" t="s">
        <v>1523</v>
      </c>
      <c r="N276" s="145">
        <v>2150016344</v>
      </c>
      <c r="O276" s="152">
        <v>45744</v>
      </c>
      <c r="P276" s="145"/>
      <c r="Q276" s="152">
        <v>45745</v>
      </c>
      <c r="R276" s="145" t="s">
        <v>30</v>
      </c>
      <c r="S276" s="145"/>
      <c r="T276" s="145">
        <v>1</v>
      </c>
      <c r="U276" s="149">
        <v>45750</v>
      </c>
      <c r="V276" s="145" t="s">
        <v>310</v>
      </c>
      <c r="W276" s="145">
        <v>150</v>
      </c>
      <c r="X276" s="150" t="s">
        <v>32</v>
      </c>
      <c r="Y276" s="145" t="s">
        <v>193</v>
      </c>
      <c r="Z276" s="55"/>
      <c r="AA276" s="55" t="s">
        <v>532</v>
      </c>
      <c r="AB276" s="55" t="s">
        <v>16</v>
      </c>
      <c r="AC276" s="55" t="s">
        <v>1444</v>
      </c>
    </row>
    <row r="277" spans="1:29" s="629" customFormat="1" ht="15" hidden="1" customHeight="1">
      <c r="A277" s="142" t="s">
        <v>25</v>
      </c>
      <c r="B277" s="143" t="s">
        <v>25</v>
      </c>
      <c r="C277" s="145" t="s">
        <v>1525</v>
      </c>
      <c r="D277" s="145" t="s">
        <v>1526</v>
      </c>
      <c r="E277" s="145" t="s">
        <v>1527</v>
      </c>
      <c r="F277" s="145">
        <v>777268958</v>
      </c>
      <c r="G277" s="145">
        <v>717427580</v>
      </c>
      <c r="H277" s="145">
        <v>5.843858</v>
      </c>
      <c r="I277" s="145">
        <v>-5.3469559999999996</v>
      </c>
      <c r="J277" s="145" t="s">
        <v>189</v>
      </c>
      <c r="K277" s="145" t="s">
        <v>274</v>
      </c>
      <c r="L277" s="145" t="s">
        <v>735</v>
      </c>
      <c r="M277" s="145" t="s">
        <v>1531</v>
      </c>
      <c r="N277" s="145">
        <v>2150012054</v>
      </c>
      <c r="O277" s="152">
        <v>45731</v>
      </c>
      <c r="P277" s="145"/>
      <c r="Q277" s="149">
        <v>45750</v>
      </c>
      <c r="R277" s="145" t="s">
        <v>30</v>
      </c>
      <c r="S277" s="145"/>
      <c r="T277" s="145">
        <v>0</v>
      </c>
      <c r="U277" s="149">
        <v>45750</v>
      </c>
      <c r="V277" s="145" t="s">
        <v>310</v>
      </c>
      <c r="W277" s="145">
        <v>150</v>
      </c>
      <c r="X277" s="150" t="s">
        <v>32</v>
      </c>
      <c r="Y277" s="145" t="s">
        <v>193</v>
      </c>
      <c r="Z277" s="55"/>
      <c r="AA277" s="55" t="s">
        <v>532</v>
      </c>
      <c r="AB277" s="55" t="s">
        <v>16</v>
      </c>
      <c r="AC277" s="53" t="s">
        <v>1537</v>
      </c>
    </row>
    <row r="278" spans="1:29" s="633" customFormat="1" ht="15" hidden="1" customHeight="1">
      <c r="A278" s="53" t="s">
        <v>25</v>
      </c>
      <c r="B278" s="54" t="s">
        <v>25</v>
      </c>
      <c r="C278" s="53" t="s">
        <v>1101</v>
      </c>
      <c r="D278" s="53" t="s">
        <v>1102</v>
      </c>
      <c r="E278" s="53" t="s">
        <v>35</v>
      </c>
      <c r="F278" s="53">
        <v>707477796</v>
      </c>
      <c r="G278" s="53">
        <v>707536537</v>
      </c>
      <c r="H278" s="55">
        <v>5.8388280000000004</v>
      </c>
      <c r="I278" s="55">
        <v>-5.3586809999999998</v>
      </c>
      <c r="J278" s="55" t="s">
        <v>36</v>
      </c>
      <c r="K278" s="53" t="s">
        <v>190</v>
      </c>
      <c r="L278" s="53" t="s">
        <v>1163</v>
      </c>
      <c r="M278" s="61" t="s">
        <v>1242</v>
      </c>
      <c r="N278" s="61">
        <v>2150016373</v>
      </c>
      <c r="O278" s="56">
        <v>45727</v>
      </c>
      <c r="P278" s="57">
        <f ca="1">TODAY()-Q278</f>
        <v>341</v>
      </c>
      <c r="Q278" s="56">
        <v>45728</v>
      </c>
      <c r="R278" s="55" t="s">
        <v>30</v>
      </c>
      <c r="S278" s="55"/>
      <c r="T278" s="55">
        <v>4</v>
      </c>
      <c r="U278" s="58">
        <v>45751</v>
      </c>
      <c r="V278" s="55" t="s">
        <v>310</v>
      </c>
      <c r="W278" s="55">
        <v>300</v>
      </c>
      <c r="X278" s="59" t="s">
        <v>32</v>
      </c>
      <c r="Y278" s="55" t="s">
        <v>228</v>
      </c>
      <c r="Z278" s="155"/>
      <c r="AA278" s="155" t="s">
        <v>532</v>
      </c>
      <c r="AB278" s="155" t="s">
        <v>16</v>
      </c>
      <c r="AC278" s="160" t="s">
        <v>1532</v>
      </c>
    </row>
    <row r="279" spans="1:29" s="633" customFormat="1" ht="15" hidden="1" customHeight="1">
      <c r="A279" s="53" t="s">
        <v>25</v>
      </c>
      <c r="B279" s="54" t="s">
        <v>25</v>
      </c>
      <c r="C279" s="98" t="s">
        <v>1196</v>
      </c>
      <c r="D279" s="98" t="s">
        <v>1197</v>
      </c>
      <c r="E279" s="98" t="s">
        <v>1198</v>
      </c>
      <c r="F279" s="98">
        <v>708616666</v>
      </c>
      <c r="G279" s="98">
        <v>102034975</v>
      </c>
      <c r="H279" s="55">
        <v>5.8370550000000003</v>
      </c>
      <c r="I279" s="55">
        <v>-5.3561030000000001</v>
      </c>
      <c r="J279" s="98" t="s">
        <v>36</v>
      </c>
      <c r="K279" s="55" t="s">
        <v>190</v>
      </c>
      <c r="L279" s="55" t="s">
        <v>601</v>
      </c>
      <c r="M279" s="55" t="s">
        <v>1319</v>
      </c>
      <c r="N279" s="55">
        <v>2150016540</v>
      </c>
      <c r="O279" s="60">
        <v>45727</v>
      </c>
      <c r="P279" s="57">
        <f ca="1">TODAY()-Q279</f>
        <v>337</v>
      </c>
      <c r="Q279" s="60">
        <v>45732</v>
      </c>
      <c r="R279" s="55" t="s">
        <v>30</v>
      </c>
      <c r="S279" s="55"/>
      <c r="T279" s="55">
        <v>6</v>
      </c>
      <c r="U279" s="58">
        <v>45751</v>
      </c>
      <c r="V279" s="55" t="s">
        <v>310</v>
      </c>
      <c r="W279" s="55">
        <v>450</v>
      </c>
      <c r="X279" s="59" t="s">
        <v>32</v>
      </c>
      <c r="Y279" s="54" t="s">
        <v>193</v>
      </c>
      <c r="Z279" s="155"/>
      <c r="AA279" s="155" t="s">
        <v>532</v>
      </c>
      <c r="AB279" s="155" t="s">
        <v>16</v>
      </c>
      <c r="AC279" s="155" t="s">
        <v>1514</v>
      </c>
    </row>
    <row r="280" spans="1:29" s="633" customFormat="1" ht="15" hidden="1" customHeight="1">
      <c r="A280" s="53" t="s">
        <v>25</v>
      </c>
      <c r="B280" s="54" t="s">
        <v>25</v>
      </c>
      <c r="C280" s="53" t="s">
        <v>1435</v>
      </c>
      <c r="D280" s="53" t="s">
        <v>1436</v>
      </c>
      <c r="E280" s="53" t="s">
        <v>84</v>
      </c>
      <c r="F280" s="53">
        <v>151656254</v>
      </c>
      <c r="G280" s="53">
        <v>789104391</v>
      </c>
      <c r="H280" s="55">
        <v>5.8353630000000001</v>
      </c>
      <c r="I280" s="55">
        <v>-5.3653199999999996</v>
      </c>
      <c r="J280" s="53" t="s">
        <v>36</v>
      </c>
      <c r="K280" s="55" t="s">
        <v>203</v>
      </c>
      <c r="L280" s="55" t="s">
        <v>1270</v>
      </c>
      <c r="M280" s="61" t="s">
        <v>1535</v>
      </c>
      <c r="N280" s="61">
        <v>2150016335</v>
      </c>
      <c r="O280" s="56">
        <v>45742</v>
      </c>
      <c r="P280" s="57">
        <f ca="1">TODAY()-Q280</f>
        <v>325</v>
      </c>
      <c r="Q280" s="100">
        <v>45744</v>
      </c>
      <c r="R280" s="55" t="s">
        <v>30</v>
      </c>
      <c r="S280" s="55"/>
      <c r="T280" s="55">
        <v>1</v>
      </c>
      <c r="U280" s="58">
        <v>45751</v>
      </c>
      <c r="V280" s="55" t="s">
        <v>310</v>
      </c>
      <c r="W280" s="55">
        <v>150</v>
      </c>
      <c r="X280" s="59" t="s">
        <v>32</v>
      </c>
      <c r="Y280" s="55" t="s">
        <v>228</v>
      </c>
      <c r="Z280" s="155"/>
      <c r="AA280" s="155" t="s">
        <v>532</v>
      </c>
      <c r="AB280" s="155" t="s">
        <v>16</v>
      </c>
      <c r="AC280" s="155" t="s">
        <v>1517</v>
      </c>
    </row>
    <row r="281" spans="1:29" s="633" customFormat="1" ht="15" hidden="1" customHeight="1">
      <c r="A281" s="53" t="s">
        <v>25</v>
      </c>
      <c r="B281" s="54" t="s">
        <v>25</v>
      </c>
      <c r="C281" s="98" t="s">
        <v>1438</v>
      </c>
      <c r="D281" s="98" t="s">
        <v>1439</v>
      </c>
      <c r="E281" s="98" t="s">
        <v>84</v>
      </c>
      <c r="F281" s="98">
        <v>707868267</v>
      </c>
      <c r="G281" s="98">
        <v>707868267</v>
      </c>
      <c r="H281" s="55">
        <v>5.8333950000000003</v>
      </c>
      <c r="I281" s="55">
        <v>-5.3622399999999999</v>
      </c>
      <c r="J281" s="98" t="s">
        <v>1442</v>
      </c>
      <c r="K281" s="55" t="s">
        <v>198</v>
      </c>
      <c r="L281" s="55" t="s">
        <v>1443</v>
      </c>
      <c r="M281" s="55" t="s">
        <v>1522</v>
      </c>
      <c r="N281" s="55">
        <v>2150016337</v>
      </c>
      <c r="O281" s="60">
        <v>45742</v>
      </c>
      <c r="P281" s="55"/>
      <c r="Q281" s="60">
        <v>45744</v>
      </c>
      <c r="R281" s="55" t="s">
        <v>30</v>
      </c>
      <c r="S281" s="55"/>
      <c r="T281" s="55">
        <v>2</v>
      </c>
      <c r="U281" s="58">
        <v>45751</v>
      </c>
      <c r="V281" s="55" t="s">
        <v>310</v>
      </c>
      <c r="W281" s="55">
        <v>300</v>
      </c>
      <c r="X281" s="59" t="s">
        <v>32</v>
      </c>
      <c r="Y281" s="55" t="s">
        <v>343</v>
      </c>
      <c r="Z281" s="155"/>
      <c r="AA281" s="155" t="s">
        <v>532</v>
      </c>
      <c r="AB281" s="155" t="s">
        <v>16</v>
      </c>
      <c r="AC281" s="155" t="s">
        <v>1518</v>
      </c>
    </row>
    <row r="282" spans="1:29" s="631" customFormat="1" ht="15" hidden="1" customHeight="1">
      <c r="A282" s="153" t="s">
        <v>25</v>
      </c>
      <c r="B282" s="154" t="s">
        <v>25</v>
      </c>
      <c r="C282" s="161" t="s">
        <v>1493</v>
      </c>
      <c r="D282" s="161" t="s">
        <v>1251</v>
      </c>
      <c r="E282" s="161" t="s">
        <v>1494</v>
      </c>
      <c r="F282" s="161">
        <v>170687001</v>
      </c>
      <c r="G282" s="161">
        <v>777779207</v>
      </c>
      <c r="H282" s="155">
        <v>5.8403539999999996</v>
      </c>
      <c r="I282" s="155">
        <v>-5.3399660000000004</v>
      </c>
      <c r="J282" s="161" t="s">
        <v>189</v>
      </c>
      <c r="K282" s="155" t="s">
        <v>274</v>
      </c>
      <c r="L282" s="155" t="s">
        <v>715</v>
      </c>
      <c r="M282" s="156" t="s">
        <v>1543</v>
      </c>
      <c r="N282" s="156">
        <v>2150016347</v>
      </c>
      <c r="O282" s="162">
        <v>45748</v>
      </c>
      <c r="P282" s="155"/>
      <c r="Q282" s="162">
        <v>45749</v>
      </c>
      <c r="R282" s="155" t="s">
        <v>30</v>
      </c>
      <c r="S282" s="155"/>
      <c r="T282" s="155">
        <v>2</v>
      </c>
      <c r="U282" s="158">
        <v>45752</v>
      </c>
      <c r="V282" s="155" t="s">
        <v>310</v>
      </c>
      <c r="W282" s="155">
        <v>350</v>
      </c>
      <c r="X282" s="159" t="s">
        <v>32</v>
      </c>
      <c r="Y282" s="155" t="s">
        <v>1521</v>
      </c>
      <c r="Z282" s="103"/>
      <c r="AA282" s="103" t="s">
        <v>532</v>
      </c>
      <c r="AB282" s="103" t="s">
        <v>16</v>
      </c>
      <c r="AC282" s="103" t="s">
        <v>1533</v>
      </c>
    </row>
    <row r="283" spans="1:29" s="631" customFormat="1" ht="15" hidden="1" customHeight="1">
      <c r="A283" s="153" t="s">
        <v>25</v>
      </c>
      <c r="B283" s="154" t="s">
        <v>25</v>
      </c>
      <c r="C283" s="153" t="s">
        <v>1508</v>
      </c>
      <c r="D283" s="153" t="s">
        <v>1509</v>
      </c>
      <c r="E283" s="153" t="s">
        <v>996</v>
      </c>
      <c r="F283" s="153">
        <v>103762860</v>
      </c>
      <c r="G283" s="153">
        <v>758011485</v>
      </c>
      <c r="H283" s="155">
        <v>5.8451630000000003</v>
      </c>
      <c r="I283" s="155">
        <v>-5.358276</v>
      </c>
      <c r="J283" s="153" t="s">
        <v>189</v>
      </c>
      <c r="K283" s="155" t="s">
        <v>203</v>
      </c>
      <c r="L283" s="155" t="s">
        <v>1048</v>
      </c>
      <c r="M283" s="156" t="s">
        <v>1546</v>
      </c>
      <c r="N283" s="156">
        <v>2150016352</v>
      </c>
      <c r="O283" s="157">
        <v>45749</v>
      </c>
      <c r="P283" s="155"/>
      <c r="Q283" s="157">
        <v>45749</v>
      </c>
      <c r="R283" s="155" t="s">
        <v>30</v>
      </c>
      <c r="S283" s="155"/>
      <c r="T283" s="155">
        <v>3</v>
      </c>
      <c r="U283" s="158">
        <v>45752</v>
      </c>
      <c r="V283" s="155" t="s">
        <v>310</v>
      </c>
      <c r="W283" s="155">
        <v>500</v>
      </c>
      <c r="X283" s="159" t="s">
        <v>32</v>
      </c>
      <c r="Y283" s="155" t="s">
        <v>228</v>
      </c>
      <c r="Z283" s="103"/>
      <c r="AA283" s="103" t="s">
        <v>532</v>
      </c>
      <c r="AB283" s="103" t="s">
        <v>16</v>
      </c>
      <c r="AC283" s="103" t="s">
        <v>1520</v>
      </c>
    </row>
    <row r="284" spans="1:29" s="631" customFormat="1" ht="15" hidden="1" customHeight="1">
      <c r="A284" s="153" t="s">
        <v>25</v>
      </c>
      <c r="B284" s="154" t="s">
        <v>25</v>
      </c>
      <c r="C284" s="153" t="s">
        <v>1510</v>
      </c>
      <c r="D284" s="153" t="s">
        <v>1511</v>
      </c>
      <c r="E284" s="153" t="s">
        <v>25</v>
      </c>
      <c r="F284" s="153">
        <v>103640001</v>
      </c>
      <c r="G284" s="153">
        <v>758187127</v>
      </c>
      <c r="H284" s="155">
        <v>5.8392049999999998</v>
      </c>
      <c r="I284" s="155">
        <v>-5.35283</v>
      </c>
      <c r="J284" s="153" t="s">
        <v>189</v>
      </c>
      <c r="K284" s="155" t="s">
        <v>190</v>
      </c>
      <c r="L284" s="155" t="s">
        <v>514</v>
      </c>
      <c r="M284" s="156" t="s">
        <v>1547</v>
      </c>
      <c r="N284" s="156">
        <v>2150016353</v>
      </c>
      <c r="O284" s="157">
        <v>45748</v>
      </c>
      <c r="P284" s="155"/>
      <c r="Q284" s="157">
        <v>45749</v>
      </c>
      <c r="R284" s="155" t="s">
        <v>30</v>
      </c>
      <c r="S284" s="155"/>
      <c r="T284" s="155">
        <v>3</v>
      </c>
      <c r="U284" s="158">
        <v>45752</v>
      </c>
      <c r="V284" s="155" t="s">
        <v>310</v>
      </c>
      <c r="W284" s="155">
        <v>200</v>
      </c>
      <c r="X284" s="159" t="s">
        <v>32</v>
      </c>
      <c r="Y284" s="155" t="s">
        <v>343</v>
      </c>
      <c r="Z284" s="103"/>
      <c r="AA284" s="103" t="s">
        <v>532</v>
      </c>
      <c r="AB284" s="103" t="s">
        <v>16</v>
      </c>
      <c r="AC284" s="103" t="s">
        <v>1430</v>
      </c>
    </row>
    <row r="285" spans="1:29" s="631" customFormat="1" ht="15" hidden="1" customHeight="1">
      <c r="A285" s="153" t="s">
        <v>25</v>
      </c>
      <c r="B285" s="154" t="s">
        <v>25</v>
      </c>
      <c r="C285" s="153" t="s">
        <v>1529</v>
      </c>
      <c r="D285" s="153" t="s">
        <v>1530</v>
      </c>
      <c r="E285" s="153" t="s">
        <v>46</v>
      </c>
      <c r="F285" s="153">
        <v>101629737</v>
      </c>
      <c r="G285" s="153">
        <v>506621137</v>
      </c>
      <c r="H285" s="155">
        <v>5.8464450000000001</v>
      </c>
      <c r="I285" s="155">
        <v>-5.356681</v>
      </c>
      <c r="J285" s="153" t="s">
        <v>189</v>
      </c>
      <c r="K285" s="155" t="s">
        <v>203</v>
      </c>
      <c r="L285" s="155" t="s">
        <v>495</v>
      </c>
      <c r="M285" s="156" t="s">
        <v>1536</v>
      </c>
      <c r="N285" s="156">
        <v>2150016349</v>
      </c>
      <c r="O285" s="157">
        <v>45749</v>
      </c>
      <c r="P285" s="155"/>
      <c r="Q285" s="157">
        <v>45750</v>
      </c>
      <c r="R285" s="155" t="s">
        <v>30</v>
      </c>
      <c r="S285" s="155"/>
      <c r="T285" s="155">
        <v>0</v>
      </c>
      <c r="U285" s="158">
        <v>45752</v>
      </c>
      <c r="V285" s="155" t="s">
        <v>310</v>
      </c>
      <c r="W285" s="155">
        <v>300</v>
      </c>
      <c r="X285" s="159" t="s">
        <v>32</v>
      </c>
      <c r="Y285" s="155" t="s">
        <v>578</v>
      </c>
      <c r="Z285" s="103"/>
      <c r="AA285" s="103" t="s">
        <v>532</v>
      </c>
      <c r="AB285" s="103" t="s">
        <v>16</v>
      </c>
      <c r="AC285" s="103" t="s">
        <v>1534</v>
      </c>
    </row>
    <row r="286" spans="1:29" s="631" customFormat="1" ht="15" hidden="1" customHeight="1">
      <c r="A286" s="102" t="s">
        <v>25</v>
      </c>
      <c r="B286" s="109" t="s">
        <v>25</v>
      </c>
      <c r="C286" s="120" t="s">
        <v>1377</v>
      </c>
      <c r="D286" s="120" t="s">
        <v>404</v>
      </c>
      <c r="E286" s="120" t="s">
        <v>1392</v>
      </c>
      <c r="F286" s="120">
        <v>173162030</v>
      </c>
      <c r="G286" s="120">
        <v>708701639</v>
      </c>
      <c r="H286" s="103">
        <v>5.3888429999999996</v>
      </c>
      <c r="I286" s="103">
        <v>-5.3569319999999996</v>
      </c>
      <c r="J286" s="120" t="s">
        <v>36</v>
      </c>
      <c r="K286" s="103" t="s">
        <v>190</v>
      </c>
      <c r="L286" s="103" t="s">
        <v>37</v>
      </c>
      <c r="M286" s="104" t="s">
        <v>1449</v>
      </c>
      <c r="N286" s="104">
        <v>2150016529</v>
      </c>
      <c r="O286" s="119">
        <v>45741</v>
      </c>
      <c r="P286" s="106">
        <f ca="1">TODAY()-Q286</f>
        <v>328</v>
      </c>
      <c r="Q286" s="119">
        <v>45741</v>
      </c>
      <c r="R286" s="103" t="s">
        <v>30</v>
      </c>
      <c r="S286" s="103"/>
      <c r="T286" s="103">
        <v>2</v>
      </c>
      <c r="U286" s="107">
        <v>45754</v>
      </c>
      <c r="V286" s="103" t="s">
        <v>310</v>
      </c>
      <c r="W286" s="103">
        <v>350</v>
      </c>
      <c r="X286" s="108" t="s">
        <v>32</v>
      </c>
      <c r="Y286" s="103" t="s">
        <v>1521</v>
      </c>
      <c r="Z286" s="103"/>
      <c r="AA286" s="103" t="s">
        <v>532</v>
      </c>
      <c r="AB286" s="103" t="s">
        <v>16</v>
      </c>
      <c r="AC286" s="103" t="s">
        <v>1516</v>
      </c>
    </row>
    <row r="287" spans="1:29" s="634" customFormat="1" ht="15" hidden="1" customHeight="1">
      <c r="A287" s="102" t="s">
        <v>25</v>
      </c>
      <c r="B287" s="109" t="s">
        <v>25</v>
      </c>
      <c r="C287" s="120" t="s">
        <v>1440</v>
      </c>
      <c r="D287" s="120" t="s">
        <v>1441</v>
      </c>
      <c r="E287" s="120" t="s">
        <v>35</v>
      </c>
      <c r="F287" s="120">
        <v>152811515</v>
      </c>
      <c r="G287" s="120">
        <v>709836227</v>
      </c>
      <c r="H287" s="103">
        <v>5.8411499999999998</v>
      </c>
      <c r="I287" s="103">
        <v>-5.3601150000000004</v>
      </c>
      <c r="J287" s="120" t="s">
        <v>36</v>
      </c>
      <c r="K287" s="103" t="s">
        <v>190</v>
      </c>
      <c r="L287" s="103" t="s">
        <v>1350</v>
      </c>
      <c r="M287" s="104" t="s">
        <v>1542</v>
      </c>
      <c r="N287" s="104">
        <v>2150016348</v>
      </c>
      <c r="O287" s="119">
        <v>45744</v>
      </c>
      <c r="P287" s="103"/>
      <c r="Q287" s="119">
        <v>45744</v>
      </c>
      <c r="R287" s="103" t="s">
        <v>30</v>
      </c>
      <c r="S287" s="103"/>
      <c r="T287" s="103">
        <v>4</v>
      </c>
      <c r="U287" s="107">
        <v>45754</v>
      </c>
      <c r="V287" s="103" t="s">
        <v>310</v>
      </c>
      <c r="W287" s="103">
        <v>400</v>
      </c>
      <c r="X287" s="108" t="s">
        <v>32</v>
      </c>
      <c r="Y287" s="103" t="s">
        <v>228</v>
      </c>
      <c r="Z287" s="1"/>
      <c r="AA287" s="1" t="s">
        <v>532</v>
      </c>
      <c r="AB287" s="1" t="s">
        <v>16</v>
      </c>
      <c r="AC287" s="1" t="s">
        <v>1569</v>
      </c>
    </row>
    <row r="288" spans="1:29" s="634" customFormat="1" ht="15" hidden="1" customHeight="1">
      <c r="A288" s="102" t="s">
        <v>25</v>
      </c>
      <c r="B288" s="109" t="s">
        <v>25</v>
      </c>
      <c r="C288" s="102" t="s">
        <v>1506</v>
      </c>
      <c r="D288" s="102" t="s">
        <v>1507</v>
      </c>
      <c r="E288" s="102" t="s">
        <v>41</v>
      </c>
      <c r="F288" s="102">
        <v>100898466</v>
      </c>
      <c r="G288" s="102">
        <v>747266665</v>
      </c>
      <c r="H288" s="103">
        <v>5.8444989999999999</v>
      </c>
      <c r="I288" s="103">
        <v>-5.3513570000000001</v>
      </c>
      <c r="J288" s="102" t="s">
        <v>189</v>
      </c>
      <c r="K288" s="103" t="s">
        <v>203</v>
      </c>
      <c r="L288" s="103" t="s">
        <v>344</v>
      </c>
      <c r="M288" s="104" t="s">
        <v>1545</v>
      </c>
      <c r="N288" s="104">
        <v>2150016350</v>
      </c>
      <c r="O288" s="105">
        <v>45749</v>
      </c>
      <c r="P288" s="103"/>
      <c r="Q288" s="105">
        <v>45749</v>
      </c>
      <c r="R288" s="103" t="s">
        <v>30</v>
      </c>
      <c r="S288" s="103"/>
      <c r="T288" s="103">
        <v>3</v>
      </c>
      <c r="U288" s="107">
        <v>45754</v>
      </c>
      <c r="V288" s="103" t="s">
        <v>310</v>
      </c>
      <c r="W288" s="103">
        <v>300</v>
      </c>
      <c r="X288" s="108" t="s">
        <v>32</v>
      </c>
      <c r="Y288" s="103" t="s">
        <v>228</v>
      </c>
      <c r="Z288" s="1"/>
      <c r="AA288" s="1" t="s">
        <v>532</v>
      </c>
      <c r="AB288" s="93" t="s">
        <v>16</v>
      </c>
      <c r="AC288" s="1" t="s">
        <v>1539</v>
      </c>
    </row>
    <row r="289" spans="1:29" s="634" customFormat="1" ht="15" hidden="1" customHeight="1">
      <c r="A289" s="102" t="s">
        <v>25</v>
      </c>
      <c r="B289" s="109" t="s">
        <v>25</v>
      </c>
      <c r="C289" s="102" t="s">
        <v>1512</v>
      </c>
      <c r="D289" s="102" t="s">
        <v>1513</v>
      </c>
      <c r="E289" s="102" t="s">
        <v>89</v>
      </c>
      <c r="F289" s="102">
        <v>103037759</v>
      </c>
      <c r="G289" s="102">
        <v>70780632</v>
      </c>
      <c r="H289" s="103">
        <v>5.8399549999999998</v>
      </c>
      <c r="I289" s="103">
        <v>-5.3521599999999996</v>
      </c>
      <c r="J289" s="102" t="s">
        <v>189</v>
      </c>
      <c r="K289" s="103" t="s">
        <v>190</v>
      </c>
      <c r="L289" s="103" t="s">
        <v>1519</v>
      </c>
      <c r="M289" s="104" t="s">
        <v>1548</v>
      </c>
      <c r="N289" s="104">
        <v>2150016354</v>
      </c>
      <c r="O289" s="105">
        <v>45749</v>
      </c>
      <c r="P289" s="103"/>
      <c r="Q289" s="105">
        <v>45749</v>
      </c>
      <c r="R289" s="103" t="s">
        <v>30</v>
      </c>
      <c r="S289" s="103"/>
      <c r="T289" s="103">
        <v>3</v>
      </c>
      <c r="U289" s="107">
        <v>45754</v>
      </c>
      <c r="V289" s="103" t="s">
        <v>310</v>
      </c>
      <c r="W289" s="103">
        <v>300</v>
      </c>
      <c r="X289" s="108" t="s">
        <v>32</v>
      </c>
      <c r="Y289" s="103" t="s">
        <v>193</v>
      </c>
      <c r="Z289" s="1"/>
      <c r="AA289" s="1" t="s">
        <v>532</v>
      </c>
      <c r="AB289" s="1" t="s">
        <v>16</v>
      </c>
      <c r="AC289" s="1" t="s">
        <v>1594</v>
      </c>
    </row>
    <row r="290" spans="1:29" s="634" customFormat="1" ht="15" hidden="1" customHeight="1">
      <c r="A290" s="102" t="s">
        <v>25</v>
      </c>
      <c r="B290" s="109" t="s">
        <v>25</v>
      </c>
      <c r="C290" s="102" t="s">
        <v>1500</v>
      </c>
      <c r="D290" s="102" t="s">
        <v>1501</v>
      </c>
      <c r="E290" s="102" t="s">
        <v>375</v>
      </c>
      <c r="F290" s="102">
        <v>140867731</v>
      </c>
      <c r="G290" s="102">
        <v>749143475</v>
      </c>
      <c r="H290" s="103">
        <v>5.8387190000000002</v>
      </c>
      <c r="I290" s="103">
        <v>-5.3636340000000002</v>
      </c>
      <c r="J290" s="102" t="s">
        <v>36</v>
      </c>
      <c r="K290" s="103" t="s">
        <v>203</v>
      </c>
      <c r="L290" s="103" t="s">
        <v>1515</v>
      </c>
      <c r="M290" s="104" t="s">
        <v>1544</v>
      </c>
      <c r="N290" s="104">
        <v>2150016351</v>
      </c>
      <c r="O290" s="105">
        <v>45748</v>
      </c>
      <c r="P290" s="103"/>
      <c r="Q290" s="105">
        <v>45749</v>
      </c>
      <c r="R290" s="103" t="s">
        <v>30</v>
      </c>
      <c r="S290" s="103"/>
      <c r="T290" s="103">
        <v>1</v>
      </c>
      <c r="U290" s="107">
        <v>45754</v>
      </c>
      <c r="V290" s="103" t="s">
        <v>310</v>
      </c>
      <c r="W290" s="103">
        <v>150</v>
      </c>
      <c r="X290" s="108" t="s">
        <v>32</v>
      </c>
      <c r="Y290" s="103" t="s">
        <v>193</v>
      </c>
      <c r="Z290" s="1"/>
      <c r="AA290" s="1" t="s">
        <v>532</v>
      </c>
      <c r="AB290" s="1" t="s">
        <v>16</v>
      </c>
      <c r="AC290" s="1" t="s">
        <v>1575</v>
      </c>
    </row>
    <row r="291" spans="1:29" s="626" customFormat="1" ht="15" hidden="1" customHeight="1">
      <c r="A291" s="2" t="s">
        <v>25</v>
      </c>
      <c r="B291" s="2" t="s">
        <v>25</v>
      </c>
      <c r="C291" s="10" t="s">
        <v>1009</v>
      </c>
      <c r="D291" s="10" t="s">
        <v>1010</v>
      </c>
      <c r="E291" s="10" t="s">
        <v>84</v>
      </c>
      <c r="F291" s="10">
        <v>160614201</v>
      </c>
      <c r="G291" s="10">
        <v>789655617</v>
      </c>
      <c r="H291" s="1">
        <v>5.8341719999999997</v>
      </c>
      <c r="I291" s="1">
        <v>-5.3641579999999998</v>
      </c>
      <c r="J291" s="1" t="s">
        <v>36</v>
      </c>
      <c r="K291" s="1" t="s">
        <v>203</v>
      </c>
      <c r="L291" s="1" t="s">
        <v>1573</v>
      </c>
      <c r="M291" s="1" t="s">
        <v>1574</v>
      </c>
      <c r="N291" s="1">
        <v>2150016280</v>
      </c>
      <c r="O291" s="11">
        <v>45723</v>
      </c>
      <c r="P291" s="6">
        <f t="shared" ref="P291:P299" ca="1" si="7">TODAY()-Q291</f>
        <v>346</v>
      </c>
      <c r="Q291" s="11">
        <v>45723</v>
      </c>
      <c r="R291" s="11" t="s">
        <v>30</v>
      </c>
      <c r="S291" s="1"/>
      <c r="T291" s="1">
        <v>1</v>
      </c>
      <c r="U291" s="8">
        <v>45755</v>
      </c>
      <c r="V291" s="2" t="s">
        <v>310</v>
      </c>
      <c r="W291" s="1">
        <v>100</v>
      </c>
      <c r="X291" s="12" t="s">
        <v>32</v>
      </c>
      <c r="Y291" s="1" t="s">
        <v>193</v>
      </c>
      <c r="Z291" s="16"/>
      <c r="AA291" s="16" t="s">
        <v>532</v>
      </c>
      <c r="AB291" s="16" t="s">
        <v>16</v>
      </c>
      <c r="AC291" s="16" t="s">
        <v>1597</v>
      </c>
    </row>
    <row r="292" spans="1:29" s="626" customFormat="1" ht="15" hidden="1" customHeight="1">
      <c r="A292" s="10" t="s">
        <v>25</v>
      </c>
      <c r="B292" s="2" t="s">
        <v>25</v>
      </c>
      <c r="C292" s="10" t="s">
        <v>1328</v>
      </c>
      <c r="D292" s="10" t="s">
        <v>1329</v>
      </c>
      <c r="E292" s="10" t="s">
        <v>621</v>
      </c>
      <c r="F292" s="10">
        <v>142494847</v>
      </c>
      <c r="G292" s="10">
        <v>142494847</v>
      </c>
      <c r="H292" s="1">
        <v>5.8504209999999999</v>
      </c>
      <c r="I292" s="1">
        <v>-5.3519430000000003</v>
      </c>
      <c r="J292" s="10" t="s">
        <v>189</v>
      </c>
      <c r="K292" s="1" t="s">
        <v>198</v>
      </c>
      <c r="L292" s="1" t="s">
        <v>1000</v>
      </c>
      <c r="M292" s="4" t="s">
        <v>1406</v>
      </c>
      <c r="N292" s="4">
        <v>2150016521</v>
      </c>
      <c r="O292" s="11">
        <v>45736</v>
      </c>
      <c r="P292" s="6">
        <f t="shared" ca="1" si="7"/>
        <v>332</v>
      </c>
      <c r="Q292" s="92">
        <v>45737</v>
      </c>
      <c r="R292" s="1" t="s">
        <v>30</v>
      </c>
      <c r="S292" s="1"/>
      <c r="T292" s="1">
        <v>1</v>
      </c>
      <c r="U292" s="8">
        <v>45755</v>
      </c>
      <c r="V292" s="1" t="s">
        <v>310</v>
      </c>
      <c r="W292" s="1">
        <v>200</v>
      </c>
      <c r="X292" s="12" t="s">
        <v>32</v>
      </c>
      <c r="Y292" s="1" t="s">
        <v>228</v>
      </c>
      <c r="Z292" s="16"/>
      <c r="AA292" s="16" t="s">
        <v>532</v>
      </c>
      <c r="AB292" s="16" t="s">
        <v>16</v>
      </c>
      <c r="AC292" s="16" t="s">
        <v>1568</v>
      </c>
    </row>
    <row r="293" spans="1:29" s="626" customFormat="1" ht="15" hidden="1" customHeight="1">
      <c r="A293" s="2" t="s">
        <v>25</v>
      </c>
      <c r="B293" s="2" t="s">
        <v>25</v>
      </c>
      <c r="C293" s="163" t="s">
        <v>1565</v>
      </c>
      <c r="D293" s="163" t="s">
        <v>1566</v>
      </c>
      <c r="E293" s="163" t="s">
        <v>996</v>
      </c>
      <c r="F293" s="163">
        <v>779616775</v>
      </c>
      <c r="G293" s="163">
        <v>545608068</v>
      </c>
      <c r="H293" s="1">
        <v>5.8452219999999997</v>
      </c>
      <c r="I293" s="1">
        <v>-5.3573659999999999</v>
      </c>
      <c r="J293" s="10" t="s">
        <v>189</v>
      </c>
      <c r="K293" s="1" t="s">
        <v>203</v>
      </c>
      <c r="L293" s="1" t="s">
        <v>1048</v>
      </c>
      <c r="M293" s="4" t="s">
        <v>1571</v>
      </c>
      <c r="N293" s="4">
        <v>2150016284</v>
      </c>
      <c r="O293" s="92">
        <v>45722</v>
      </c>
      <c r="P293" s="6">
        <f t="shared" ca="1" si="7"/>
        <v>317</v>
      </c>
      <c r="Q293" s="92">
        <v>45752</v>
      </c>
      <c r="R293" s="1" t="s">
        <v>30</v>
      </c>
      <c r="S293" s="1"/>
      <c r="T293" s="1">
        <v>0</v>
      </c>
      <c r="U293" s="8">
        <v>45755</v>
      </c>
      <c r="V293" s="1" t="s">
        <v>310</v>
      </c>
      <c r="W293" s="1">
        <v>300</v>
      </c>
      <c r="X293" s="12" t="s">
        <v>32</v>
      </c>
      <c r="Y293" s="1" t="s">
        <v>245</v>
      </c>
      <c r="Z293" s="16"/>
      <c r="AA293" s="16" t="s">
        <v>532</v>
      </c>
      <c r="AB293" s="16" t="s">
        <v>16</v>
      </c>
      <c r="AC293" s="16" t="s">
        <v>1598</v>
      </c>
    </row>
    <row r="294" spans="1:29" s="634" customFormat="1" ht="15" hidden="1" customHeight="1">
      <c r="A294" s="10" t="s">
        <v>25</v>
      </c>
      <c r="B294" s="2" t="s">
        <v>25</v>
      </c>
      <c r="C294" s="10" t="s">
        <v>1559</v>
      </c>
      <c r="D294" s="10" t="s">
        <v>1560</v>
      </c>
      <c r="E294" s="10" t="s">
        <v>1561</v>
      </c>
      <c r="F294" s="10">
        <v>798777079</v>
      </c>
      <c r="G294" s="10">
        <v>798777079</v>
      </c>
      <c r="H294" s="1">
        <v>5.8424079999999998</v>
      </c>
      <c r="I294" s="1">
        <v>-5.3522350000000003</v>
      </c>
      <c r="J294" s="10" t="s">
        <v>1593</v>
      </c>
      <c r="K294" s="1" t="s">
        <v>203</v>
      </c>
      <c r="L294" s="1" t="s">
        <v>770</v>
      </c>
      <c r="M294" s="1" t="s">
        <v>1592</v>
      </c>
      <c r="N294" s="1">
        <v>2150016279</v>
      </c>
      <c r="O294" s="11">
        <v>45751</v>
      </c>
      <c r="P294" s="6">
        <f t="shared" ca="1" si="7"/>
        <v>317</v>
      </c>
      <c r="Q294" s="11">
        <v>45752</v>
      </c>
      <c r="R294" s="1" t="s">
        <v>30</v>
      </c>
      <c r="S294" s="1"/>
      <c r="T294" s="1">
        <v>0</v>
      </c>
      <c r="U294" s="8">
        <v>45755</v>
      </c>
      <c r="V294" s="1" t="s">
        <v>310</v>
      </c>
      <c r="W294" s="1">
        <v>200</v>
      </c>
      <c r="X294" s="12" t="s">
        <v>32</v>
      </c>
      <c r="Y294" s="1" t="s">
        <v>245</v>
      </c>
      <c r="Z294" s="168"/>
      <c r="AA294" s="168" t="s">
        <v>532</v>
      </c>
      <c r="AB294" s="168" t="s">
        <v>16</v>
      </c>
      <c r="AC294" s="168" t="s">
        <v>1615</v>
      </c>
    </row>
    <row r="295" spans="1:29" s="634" customFormat="1" ht="15" hidden="1" customHeight="1">
      <c r="A295" s="13" t="s">
        <v>25</v>
      </c>
      <c r="B295" s="14" t="s">
        <v>25</v>
      </c>
      <c r="C295" s="164" t="s">
        <v>1384</v>
      </c>
      <c r="D295" s="164" t="s">
        <v>1385</v>
      </c>
      <c r="E295" s="164" t="s">
        <v>375</v>
      </c>
      <c r="F295" s="164">
        <v>142558645</v>
      </c>
      <c r="G295" s="164">
        <v>707451847</v>
      </c>
      <c r="H295" s="16">
        <v>5.8383399999999996</v>
      </c>
      <c r="I295" s="16">
        <v>-5.3683509999999997</v>
      </c>
      <c r="J295" s="164" t="s">
        <v>36</v>
      </c>
      <c r="K295" s="16" t="s">
        <v>203</v>
      </c>
      <c r="L295" s="16" t="s">
        <v>1567</v>
      </c>
      <c r="M295" s="22" t="s">
        <v>1570</v>
      </c>
      <c r="N295" s="22">
        <v>2150016346</v>
      </c>
      <c r="O295" s="165">
        <v>45741</v>
      </c>
      <c r="P295" s="18">
        <f t="shared" ca="1" si="7"/>
        <v>328</v>
      </c>
      <c r="Q295" s="165">
        <v>45741</v>
      </c>
      <c r="R295" s="16" t="s">
        <v>30</v>
      </c>
      <c r="S295" s="16"/>
      <c r="T295" s="16">
        <v>2</v>
      </c>
      <c r="U295" s="20">
        <v>45756</v>
      </c>
      <c r="V295" s="16" t="s">
        <v>310</v>
      </c>
      <c r="W295" s="16">
        <v>300</v>
      </c>
      <c r="X295" s="21" t="s">
        <v>32</v>
      </c>
      <c r="Y295" s="16" t="s">
        <v>193</v>
      </c>
      <c r="Z295" s="168"/>
      <c r="AA295" s="168" t="s">
        <v>532</v>
      </c>
      <c r="AB295" s="168" t="s">
        <v>16</v>
      </c>
      <c r="AC295" s="168" t="s">
        <v>1601</v>
      </c>
    </row>
    <row r="296" spans="1:29" s="634" customFormat="1" ht="15" hidden="1" customHeight="1">
      <c r="A296" s="13" t="s">
        <v>25</v>
      </c>
      <c r="B296" s="14" t="s">
        <v>25</v>
      </c>
      <c r="C296" s="13" t="s">
        <v>1549</v>
      </c>
      <c r="D296" s="13" t="s">
        <v>1550</v>
      </c>
      <c r="E296" s="13" t="s">
        <v>375</v>
      </c>
      <c r="F296" s="13">
        <v>151515442</v>
      </c>
      <c r="G296" s="13">
        <v>769263553</v>
      </c>
      <c r="H296" s="16">
        <v>5.83988</v>
      </c>
      <c r="I296" s="16">
        <v>-5.3667509999999998</v>
      </c>
      <c r="J296" s="13" t="s">
        <v>36</v>
      </c>
      <c r="K296" s="16" t="s">
        <v>203</v>
      </c>
      <c r="L296" s="16" t="s">
        <v>1188</v>
      </c>
      <c r="M296" s="22" t="s">
        <v>1572</v>
      </c>
      <c r="N296" s="22">
        <v>2150016345</v>
      </c>
      <c r="O296" s="19">
        <v>45749</v>
      </c>
      <c r="P296" s="18">
        <f t="shared" ca="1" si="7"/>
        <v>317</v>
      </c>
      <c r="Q296" s="19">
        <v>45752</v>
      </c>
      <c r="R296" s="16" t="s">
        <v>30</v>
      </c>
      <c r="S296" s="16"/>
      <c r="T296" s="16">
        <v>2</v>
      </c>
      <c r="U296" s="20">
        <v>45756</v>
      </c>
      <c r="V296" s="16" t="s">
        <v>310</v>
      </c>
      <c r="W296" s="16">
        <v>200</v>
      </c>
      <c r="X296" s="21" t="s">
        <v>32</v>
      </c>
      <c r="Y296" s="16" t="s">
        <v>245</v>
      </c>
      <c r="Z296" s="168"/>
      <c r="AA296" s="168" t="s">
        <v>532</v>
      </c>
      <c r="AB296" s="168" t="s">
        <v>16</v>
      </c>
      <c r="AC296" s="168" t="s">
        <v>1616</v>
      </c>
    </row>
    <row r="297" spans="1:29" s="631" customFormat="1" ht="15" hidden="1" customHeight="1">
      <c r="A297" s="14" t="s">
        <v>25</v>
      </c>
      <c r="B297" s="14" t="s">
        <v>25</v>
      </c>
      <c r="C297" s="164" t="s">
        <v>1578</v>
      </c>
      <c r="D297" s="164" t="s">
        <v>1579</v>
      </c>
      <c r="E297" s="164" t="s">
        <v>375</v>
      </c>
      <c r="F297" s="164">
        <v>151776161</v>
      </c>
      <c r="G297" s="164">
        <v>707399266</v>
      </c>
      <c r="H297" s="16">
        <v>5.8388099999999996</v>
      </c>
      <c r="I297" s="16">
        <v>-5.3665399999999996</v>
      </c>
      <c r="J297" s="164" t="s">
        <v>36</v>
      </c>
      <c r="K297" s="16" t="s">
        <v>203</v>
      </c>
      <c r="L297" s="16" t="s">
        <v>1484</v>
      </c>
      <c r="M297" s="16" t="s">
        <v>1603</v>
      </c>
      <c r="N297" s="16">
        <v>2150016282</v>
      </c>
      <c r="O297" s="165">
        <v>45754</v>
      </c>
      <c r="P297" s="18">
        <f t="shared" ca="1" si="7"/>
        <v>314</v>
      </c>
      <c r="Q297" s="165">
        <v>45755</v>
      </c>
      <c r="R297" s="16" t="s">
        <v>30</v>
      </c>
      <c r="S297" s="16"/>
      <c r="T297" s="16">
        <v>1</v>
      </c>
      <c r="U297" s="20">
        <v>45756</v>
      </c>
      <c r="V297" s="16" t="s">
        <v>310</v>
      </c>
      <c r="W297" s="16">
        <v>150</v>
      </c>
      <c r="X297" s="21" t="s">
        <v>32</v>
      </c>
      <c r="Y297" s="16" t="s">
        <v>228</v>
      </c>
      <c r="Z297" s="103"/>
      <c r="AA297" s="103" t="s">
        <v>532</v>
      </c>
      <c r="AB297" s="103" t="s">
        <v>16</v>
      </c>
      <c r="AC297" s="103" t="s">
        <v>1602</v>
      </c>
    </row>
    <row r="298" spans="1:29" s="631" customFormat="1" ht="15" hidden="1" customHeight="1">
      <c r="A298" s="166" t="s">
        <v>25</v>
      </c>
      <c r="B298" s="167" t="s">
        <v>25</v>
      </c>
      <c r="C298" s="166" t="s">
        <v>1502</v>
      </c>
      <c r="D298" s="166" t="s">
        <v>1503</v>
      </c>
      <c r="E298" s="166" t="s">
        <v>363</v>
      </c>
      <c r="F298" s="166">
        <v>787687960</v>
      </c>
      <c r="G298" s="166">
        <v>709095374</v>
      </c>
      <c r="H298" s="168">
        <v>5.8353780000000004</v>
      </c>
      <c r="I298" s="168">
        <v>-5.3592719999999998</v>
      </c>
      <c r="J298" s="166" t="s">
        <v>36</v>
      </c>
      <c r="K298" s="168" t="s">
        <v>198</v>
      </c>
      <c r="L298" s="168" t="s">
        <v>277</v>
      </c>
      <c r="M298" s="169" t="s">
        <v>1620</v>
      </c>
      <c r="N298" s="169">
        <v>2150016278</v>
      </c>
      <c r="O298" s="170">
        <v>45749</v>
      </c>
      <c r="P298" s="171">
        <f t="shared" ca="1" si="7"/>
        <v>320</v>
      </c>
      <c r="Q298" s="170">
        <v>45749</v>
      </c>
      <c r="R298" s="168" t="s">
        <v>30</v>
      </c>
      <c r="S298" s="168"/>
      <c r="T298" s="168">
        <v>0</v>
      </c>
      <c r="U298" s="172">
        <v>45757</v>
      </c>
      <c r="V298" s="168" t="s">
        <v>310</v>
      </c>
      <c r="W298" s="168">
        <v>200</v>
      </c>
      <c r="X298" s="173" t="s">
        <v>32</v>
      </c>
      <c r="Y298" s="168" t="s">
        <v>228</v>
      </c>
      <c r="Z298" s="103"/>
      <c r="AA298" s="103" t="s">
        <v>532</v>
      </c>
      <c r="AB298" s="103" t="s">
        <v>16</v>
      </c>
      <c r="AC298" s="103" t="s">
        <v>1596</v>
      </c>
    </row>
    <row r="299" spans="1:29" s="631" customFormat="1" ht="15" hidden="1" customHeight="1">
      <c r="A299" s="167" t="s">
        <v>25</v>
      </c>
      <c r="B299" s="167" t="s">
        <v>25</v>
      </c>
      <c r="C299" s="174" t="s">
        <v>1584</v>
      </c>
      <c r="D299" s="174" t="s">
        <v>1585</v>
      </c>
      <c r="E299" s="174" t="s">
        <v>1590</v>
      </c>
      <c r="F299" s="174">
        <v>506030201</v>
      </c>
      <c r="G299" s="174">
        <v>778487680</v>
      </c>
      <c r="H299" s="168">
        <v>5.8332379999999997</v>
      </c>
      <c r="I299" s="168">
        <v>-5.3637540000000001</v>
      </c>
      <c r="J299" s="174" t="s">
        <v>1442</v>
      </c>
      <c r="K299" s="168" t="s">
        <v>203</v>
      </c>
      <c r="L299" s="168" t="s">
        <v>408</v>
      </c>
      <c r="M299" s="168" t="s">
        <v>1618</v>
      </c>
      <c r="N299" s="168">
        <v>2150016283</v>
      </c>
      <c r="O299" s="175">
        <v>45754</v>
      </c>
      <c r="P299" s="171">
        <f t="shared" ca="1" si="7"/>
        <v>314</v>
      </c>
      <c r="Q299" s="175">
        <v>45755</v>
      </c>
      <c r="R299" s="168" t="s">
        <v>30</v>
      </c>
      <c r="S299" s="168"/>
      <c r="T299" s="168">
        <v>0</v>
      </c>
      <c r="U299" s="172">
        <v>45757</v>
      </c>
      <c r="V299" s="168" t="s">
        <v>310</v>
      </c>
      <c r="W299" s="168">
        <v>300</v>
      </c>
      <c r="X299" s="173" t="s">
        <v>32</v>
      </c>
      <c r="Y299" s="168" t="s">
        <v>343</v>
      </c>
      <c r="Z299" s="103"/>
      <c r="AA299" s="103" t="s">
        <v>532</v>
      </c>
      <c r="AB299" s="103" t="s">
        <v>16</v>
      </c>
      <c r="AC299" s="103" t="s">
        <v>1614</v>
      </c>
    </row>
    <row r="300" spans="1:29" s="631" customFormat="1" ht="15" hidden="1" customHeight="1">
      <c r="A300" s="167" t="s">
        <v>25</v>
      </c>
      <c r="B300" s="167" t="s">
        <v>25</v>
      </c>
      <c r="C300" s="166" t="s">
        <v>1611</v>
      </c>
      <c r="D300" s="166" t="s">
        <v>1612</v>
      </c>
      <c r="E300" s="166" t="s">
        <v>1613</v>
      </c>
      <c r="F300" s="166">
        <v>125310352</v>
      </c>
      <c r="G300" s="166">
        <v>545206998</v>
      </c>
      <c r="H300" s="168">
        <v>5.8312759999999999</v>
      </c>
      <c r="I300" s="168">
        <v>-5.3605559999999999</v>
      </c>
      <c r="J300" s="166" t="s">
        <v>36</v>
      </c>
      <c r="K300" s="168" t="s">
        <v>198</v>
      </c>
      <c r="L300" s="168" t="s">
        <v>1028</v>
      </c>
      <c r="M300" s="169" t="s">
        <v>1622</v>
      </c>
      <c r="N300" s="169">
        <v>2150016276</v>
      </c>
      <c r="O300" s="170">
        <v>45754</v>
      </c>
      <c r="P300" s="168"/>
      <c r="Q300" s="170">
        <v>45756</v>
      </c>
      <c r="R300" s="168" t="s">
        <v>30</v>
      </c>
      <c r="S300" s="168"/>
      <c r="T300" s="168">
        <v>0</v>
      </c>
      <c r="U300" s="172">
        <v>45757</v>
      </c>
      <c r="V300" s="168" t="s">
        <v>310</v>
      </c>
      <c r="W300" s="168">
        <v>50</v>
      </c>
      <c r="X300" s="173" t="s">
        <v>32</v>
      </c>
      <c r="Y300" s="168" t="s">
        <v>228</v>
      </c>
      <c r="Z300" s="103"/>
      <c r="AA300" s="103" t="s">
        <v>532</v>
      </c>
      <c r="AB300" s="103" t="s">
        <v>16</v>
      </c>
      <c r="AC300" s="103" t="s">
        <v>1600</v>
      </c>
    </row>
    <row r="301" spans="1:29" s="636" customFormat="1" ht="15" hidden="1" customHeight="1">
      <c r="A301" s="102" t="s">
        <v>25</v>
      </c>
      <c r="B301" s="109" t="s">
        <v>25</v>
      </c>
      <c r="C301" s="176" t="s">
        <v>1466</v>
      </c>
      <c r="D301" s="176" t="s">
        <v>1467</v>
      </c>
      <c r="E301" s="176" t="s">
        <v>1468</v>
      </c>
      <c r="F301" s="176">
        <v>150034050</v>
      </c>
      <c r="G301" s="176">
        <v>777078505</v>
      </c>
      <c r="H301" s="103">
        <v>5.8314380000000003</v>
      </c>
      <c r="I301" s="103">
        <v>-5.3557819999999996</v>
      </c>
      <c r="J301" s="102" t="s">
        <v>36</v>
      </c>
      <c r="K301" s="103" t="s">
        <v>274</v>
      </c>
      <c r="L301" s="103" t="s">
        <v>1139</v>
      </c>
      <c r="M301" s="104" t="s">
        <v>1619</v>
      </c>
      <c r="N301" s="104">
        <v>2150016277</v>
      </c>
      <c r="O301" s="118">
        <v>45744</v>
      </c>
      <c r="P301" s="103"/>
      <c r="Q301" s="118">
        <v>45745</v>
      </c>
      <c r="R301" s="103" t="s">
        <v>30</v>
      </c>
      <c r="S301" s="103"/>
      <c r="T301" s="103">
        <v>1</v>
      </c>
      <c r="U301" s="107">
        <v>45758</v>
      </c>
      <c r="V301" s="103" t="s">
        <v>310</v>
      </c>
      <c r="W301" s="103">
        <v>150</v>
      </c>
      <c r="X301" s="108" t="s">
        <v>32</v>
      </c>
      <c r="Y301" s="103" t="s">
        <v>245</v>
      </c>
      <c r="Z301" s="179"/>
      <c r="AA301" s="179" t="s">
        <v>532</v>
      </c>
      <c r="AB301" s="179" t="s">
        <v>16</v>
      </c>
      <c r="AC301" s="179" t="s">
        <v>1639</v>
      </c>
    </row>
    <row r="302" spans="1:29" s="636" customFormat="1" ht="15" hidden="1" customHeight="1">
      <c r="A302" s="102" t="s">
        <v>25</v>
      </c>
      <c r="B302" s="109" t="s">
        <v>25</v>
      </c>
      <c r="C302" s="102" t="s">
        <v>1504</v>
      </c>
      <c r="D302" s="102" t="s">
        <v>1505</v>
      </c>
      <c r="E302" s="102" t="s">
        <v>84</v>
      </c>
      <c r="F302" s="102">
        <v>152658820</v>
      </c>
      <c r="G302" s="102">
        <v>707806232</v>
      </c>
      <c r="H302" s="103">
        <v>5.8350140000000001</v>
      </c>
      <c r="I302" s="103">
        <v>-5.364401</v>
      </c>
      <c r="J302" s="102" t="s">
        <v>36</v>
      </c>
      <c r="K302" s="103" t="s">
        <v>203</v>
      </c>
      <c r="L302" s="103" t="s">
        <v>1595</v>
      </c>
      <c r="M302" s="104" t="s">
        <v>1621</v>
      </c>
      <c r="N302" s="104">
        <v>2150016275</v>
      </c>
      <c r="O302" s="105">
        <v>45749</v>
      </c>
      <c r="P302" s="106">
        <f ca="1">TODAY()-Q302</f>
        <v>320</v>
      </c>
      <c r="Q302" s="105">
        <v>45749</v>
      </c>
      <c r="R302" s="103" t="s">
        <v>30</v>
      </c>
      <c r="S302" s="103"/>
      <c r="T302" s="103">
        <v>1</v>
      </c>
      <c r="U302" s="107">
        <v>45758</v>
      </c>
      <c r="V302" s="103" t="s">
        <v>310</v>
      </c>
      <c r="W302" s="103">
        <v>200</v>
      </c>
      <c r="X302" s="108" t="s">
        <v>32</v>
      </c>
      <c r="Y302" s="103" t="s">
        <v>1293</v>
      </c>
      <c r="Z302" s="179"/>
      <c r="AA302" s="179" t="s">
        <v>532</v>
      </c>
      <c r="AB302" s="179" t="s">
        <v>16</v>
      </c>
      <c r="AC302" s="179" t="s">
        <v>1639</v>
      </c>
    </row>
    <row r="303" spans="1:29" s="634" customFormat="1" ht="15" hidden="1" customHeight="1">
      <c r="A303" s="102" t="s">
        <v>25</v>
      </c>
      <c r="B303" s="109" t="s">
        <v>25</v>
      </c>
      <c r="C303" s="102" t="s">
        <v>1554</v>
      </c>
      <c r="D303" s="102" t="s">
        <v>1555</v>
      </c>
      <c r="E303" s="102" t="s">
        <v>295</v>
      </c>
      <c r="F303" s="102">
        <v>708771966</v>
      </c>
      <c r="G303" s="102">
        <v>546970573</v>
      </c>
      <c r="H303" s="103">
        <v>5.8374560000000004</v>
      </c>
      <c r="I303" s="103">
        <v>-5.3544970000000003</v>
      </c>
      <c r="J303" s="102" t="s">
        <v>189</v>
      </c>
      <c r="K303" s="103" t="s">
        <v>190</v>
      </c>
      <c r="L303" s="103" t="s">
        <v>1353</v>
      </c>
      <c r="M303" s="103" t="s">
        <v>1640</v>
      </c>
      <c r="N303" s="103">
        <v>2150016293</v>
      </c>
      <c r="O303" s="105">
        <v>45751</v>
      </c>
      <c r="P303" s="106">
        <f ca="1">TODAY()-Q303</f>
        <v>317</v>
      </c>
      <c r="Q303" s="105">
        <v>45752</v>
      </c>
      <c r="R303" s="103" t="s">
        <v>30</v>
      </c>
      <c r="S303" s="103"/>
      <c r="T303" s="103">
        <v>5</v>
      </c>
      <c r="U303" s="107">
        <v>45758</v>
      </c>
      <c r="V303" s="103" t="s">
        <v>310</v>
      </c>
      <c r="W303" s="103">
        <v>400</v>
      </c>
      <c r="X303" s="108" t="s">
        <v>32</v>
      </c>
      <c r="Y303" s="103" t="s">
        <v>228</v>
      </c>
      <c r="Z303" s="188"/>
      <c r="AA303" s="188" t="s">
        <v>532</v>
      </c>
      <c r="AB303" s="188" t="s">
        <v>16</v>
      </c>
      <c r="AC303" s="188" t="s">
        <v>1631</v>
      </c>
    </row>
    <row r="304" spans="1:29" s="634" customFormat="1" ht="15" hidden="1" customHeight="1">
      <c r="A304" s="109" t="s">
        <v>25</v>
      </c>
      <c r="B304" s="109" t="s">
        <v>25</v>
      </c>
      <c r="C304" s="120" t="s">
        <v>1582</v>
      </c>
      <c r="D304" s="120" t="s">
        <v>1583</v>
      </c>
      <c r="E304" s="120" t="s">
        <v>1589</v>
      </c>
      <c r="F304" s="120">
        <v>103582808</v>
      </c>
      <c r="G304" s="120">
        <v>747439639</v>
      </c>
      <c r="H304" s="103">
        <v>5.838463</v>
      </c>
      <c r="I304" s="103">
        <v>-5.3629819999999997</v>
      </c>
      <c r="J304" s="120" t="s">
        <v>36</v>
      </c>
      <c r="K304" s="103" t="s">
        <v>203</v>
      </c>
      <c r="L304" s="103" t="s">
        <v>1599</v>
      </c>
      <c r="M304" s="103" t="s">
        <v>1617</v>
      </c>
      <c r="N304" s="103">
        <v>2150016281</v>
      </c>
      <c r="O304" s="119">
        <v>45754</v>
      </c>
      <c r="P304" s="106">
        <f ca="1">TODAY()-Q304</f>
        <v>314</v>
      </c>
      <c r="Q304" s="119">
        <v>45755</v>
      </c>
      <c r="R304" s="103" t="s">
        <v>30</v>
      </c>
      <c r="S304" s="103"/>
      <c r="T304" s="103">
        <v>0</v>
      </c>
      <c r="U304" s="107">
        <v>45758</v>
      </c>
      <c r="V304" s="103" t="s">
        <v>310</v>
      </c>
      <c r="W304" s="103">
        <v>100</v>
      </c>
      <c r="X304" s="108" t="s">
        <v>32</v>
      </c>
      <c r="Y304" s="103" t="s">
        <v>1293</v>
      </c>
      <c r="Z304" s="188"/>
      <c r="AA304" s="188" t="s">
        <v>532</v>
      </c>
      <c r="AB304" s="188" t="s">
        <v>16</v>
      </c>
      <c r="AC304" s="188" t="s">
        <v>1664</v>
      </c>
    </row>
    <row r="305" spans="1:29" s="634" customFormat="1" ht="15" hidden="1" customHeight="1">
      <c r="A305" s="177" t="s">
        <v>25</v>
      </c>
      <c r="B305" s="177" t="s">
        <v>25</v>
      </c>
      <c r="C305" s="178" t="s">
        <v>1608</v>
      </c>
      <c r="D305" s="178" t="s">
        <v>1609</v>
      </c>
      <c r="E305" s="178" t="s">
        <v>1610</v>
      </c>
      <c r="F305" s="178">
        <v>153202065</v>
      </c>
      <c r="G305" s="178">
        <v>757260067</v>
      </c>
      <c r="H305" s="179">
        <v>5.8438439999999998</v>
      </c>
      <c r="I305" s="179">
        <v>-5.3565379999999996</v>
      </c>
      <c r="J305" s="178" t="s">
        <v>189</v>
      </c>
      <c r="K305" s="179" t="s">
        <v>203</v>
      </c>
      <c r="L305" s="179" t="s">
        <v>541</v>
      </c>
      <c r="M305" s="491" t="s">
        <v>1641</v>
      </c>
      <c r="N305" s="491">
        <v>2150016292</v>
      </c>
      <c r="O305" s="180">
        <v>45755</v>
      </c>
      <c r="P305" s="179"/>
      <c r="Q305" s="180">
        <v>45756</v>
      </c>
      <c r="R305" s="179" t="s">
        <v>30</v>
      </c>
      <c r="S305" s="179"/>
      <c r="T305" s="179">
        <v>0</v>
      </c>
      <c r="U305" s="181">
        <v>45759</v>
      </c>
      <c r="V305" s="179" t="s">
        <v>310</v>
      </c>
      <c r="W305" s="179">
        <v>150</v>
      </c>
      <c r="X305" s="182" t="s">
        <v>32</v>
      </c>
      <c r="Y305" s="179" t="s">
        <v>193</v>
      </c>
      <c r="Z305" s="188"/>
      <c r="AA305" s="188" t="s">
        <v>532</v>
      </c>
      <c r="AB305" s="188" t="s">
        <v>16</v>
      </c>
      <c r="AC305" s="188" t="s">
        <v>1668</v>
      </c>
    </row>
    <row r="306" spans="1:29" s="597" customFormat="1" ht="15" hidden="1" customHeight="1">
      <c r="A306" s="177" t="s">
        <v>25</v>
      </c>
      <c r="B306" s="177" t="s">
        <v>25</v>
      </c>
      <c r="C306" s="183" t="s">
        <v>1632</v>
      </c>
      <c r="D306" s="183" t="s">
        <v>1633</v>
      </c>
      <c r="E306" s="183" t="s">
        <v>1634</v>
      </c>
      <c r="F306" s="183">
        <v>748368764</v>
      </c>
      <c r="G306" s="183">
        <v>708810878</v>
      </c>
      <c r="H306" s="179">
        <v>5.8390829999999996</v>
      </c>
      <c r="I306" s="179">
        <v>-5.3663869999999996</v>
      </c>
      <c r="J306" s="183" t="s">
        <v>36</v>
      </c>
      <c r="K306" s="179" t="s">
        <v>203</v>
      </c>
      <c r="L306" s="179" t="s">
        <v>1484</v>
      </c>
      <c r="M306" s="491" t="s">
        <v>1642</v>
      </c>
      <c r="N306" s="491">
        <v>2150016289</v>
      </c>
      <c r="O306" s="184">
        <v>45757</v>
      </c>
      <c r="P306" s="179"/>
      <c r="Q306" s="184">
        <v>45758</v>
      </c>
      <c r="R306" s="179" t="s">
        <v>30</v>
      </c>
      <c r="S306" s="179"/>
      <c r="T306" s="179">
        <v>0</v>
      </c>
      <c r="U306" s="181">
        <v>45759</v>
      </c>
      <c r="V306" s="179" t="s">
        <v>310</v>
      </c>
      <c r="W306" s="179">
        <v>200</v>
      </c>
      <c r="X306" s="182" t="s">
        <v>32</v>
      </c>
      <c r="Y306" s="179" t="s">
        <v>245</v>
      </c>
      <c r="Z306" s="186"/>
      <c r="AA306" s="188" t="s">
        <v>532</v>
      </c>
      <c r="AB306" s="188" t="s">
        <v>16</v>
      </c>
      <c r="AC306" s="188" t="s">
        <v>1630</v>
      </c>
    </row>
    <row r="307" spans="1:29" s="634" customFormat="1" ht="15" hidden="1" customHeight="1">
      <c r="A307" s="185" t="s">
        <v>25</v>
      </c>
      <c r="B307" s="186" t="s">
        <v>25</v>
      </c>
      <c r="C307" s="187" t="s">
        <v>1415</v>
      </c>
      <c r="D307" s="187" t="s">
        <v>1416</v>
      </c>
      <c r="E307" s="187" t="s">
        <v>1417</v>
      </c>
      <c r="F307" s="187">
        <v>143435161</v>
      </c>
      <c r="G307" s="187">
        <v>757674422</v>
      </c>
      <c r="H307" s="188">
        <v>5.8303320000000003</v>
      </c>
      <c r="I307" s="188">
        <v>-5.3579939999999997</v>
      </c>
      <c r="J307" s="187" t="s">
        <v>36</v>
      </c>
      <c r="K307" s="188" t="s">
        <v>274</v>
      </c>
      <c r="L307" s="188" t="s">
        <v>521</v>
      </c>
      <c r="M307" s="189" t="s">
        <v>1672</v>
      </c>
      <c r="N307" s="189">
        <v>2150016288</v>
      </c>
      <c r="O307" s="190">
        <v>45741</v>
      </c>
      <c r="P307" s="191">
        <f t="shared" ref="P307:P334" ca="1" si="8">TODAY()-Q307</f>
        <v>327</v>
      </c>
      <c r="Q307" s="190">
        <v>45742</v>
      </c>
      <c r="R307" s="188" t="s">
        <v>30</v>
      </c>
      <c r="S307" s="188"/>
      <c r="T307" s="188">
        <v>3</v>
      </c>
      <c r="U307" s="192">
        <v>45761</v>
      </c>
      <c r="V307" s="188" t="s">
        <v>310</v>
      </c>
      <c r="W307" s="188">
        <v>300</v>
      </c>
      <c r="X307" s="193" t="s">
        <v>32</v>
      </c>
      <c r="Y307" s="188" t="s">
        <v>696</v>
      </c>
      <c r="Z307" s="188"/>
      <c r="AA307" s="188" t="s">
        <v>532</v>
      </c>
      <c r="AB307" s="188" t="s">
        <v>16</v>
      </c>
      <c r="AC307" s="188" t="s">
        <v>1671</v>
      </c>
    </row>
    <row r="308" spans="1:29" s="637" customFormat="1" ht="15" hidden="1" customHeight="1">
      <c r="A308" s="185" t="s">
        <v>25</v>
      </c>
      <c r="B308" s="186" t="s">
        <v>25</v>
      </c>
      <c r="C308" s="185" t="s">
        <v>1540</v>
      </c>
      <c r="D308" s="185" t="s">
        <v>709</v>
      </c>
      <c r="E308" s="185" t="s">
        <v>1541</v>
      </c>
      <c r="F308" s="185">
        <v>506787798</v>
      </c>
      <c r="G308" s="185">
        <v>713921863</v>
      </c>
      <c r="H308" s="188">
        <v>5.8301829999999999</v>
      </c>
      <c r="I308" s="188">
        <v>-5.3573519999999997</v>
      </c>
      <c r="J308" s="185" t="s">
        <v>36</v>
      </c>
      <c r="K308" s="188" t="s">
        <v>274</v>
      </c>
      <c r="L308" s="188" t="s">
        <v>521</v>
      </c>
      <c r="M308" s="189" t="s">
        <v>1673</v>
      </c>
      <c r="N308" s="189">
        <v>2150016285</v>
      </c>
      <c r="O308" s="197">
        <v>45750</v>
      </c>
      <c r="P308" s="191">
        <f t="shared" ca="1" si="8"/>
        <v>318</v>
      </c>
      <c r="Q308" s="197">
        <v>45751</v>
      </c>
      <c r="R308" s="188" t="s">
        <v>30</v>
      </c>
      <c r="S308" s="188"/>
      <c r="T308" s="188">
        <v>1</v>
      </c>
      <c r="U308" s="192">
        <v>45761</v>
      </c>
      <c r="V308" s="188" t="s">
        <v>310</v>
      </c>
      <c r="W308" s="188">
        <v>300</v>
      </c>
      <c r="X308" s="193" t="s">
        <v>32</v>
      </c>
      <c r="Y308" s="186" t="s">
        <v>697</v>
      </c>
      <c r="Z308" s="201"/>
      <c r="AA308" s="201" t="s">
        <v>532</v>
      </c>
      <c r="AB308" s="201" t="s">
        <v>16</v>
      </c>
      <c r="AC308" s="201" t="s">
        <v>1669</v>
      </c>
    </row>
    <row r="309" spans="1:29" s="637" customFormat="1" ht="15" hidden="1" customHeight="1">
      <c r="A309" s="186" t="s">
        <v>25</v>
      </c>
      <c r="B309" s="186" t="s">
        <v>25</v>
      </c>
      <c r="C309" s="187" t="s">
        <v>1580</v>
      </c>
      <c r="D309" s="187" t="s">
        <v>1581</v>
      </c>
      <c r="E309" s="187" t="s">
        <v>1588</v>
      </c>
      <c r="F309" s="187">
        <v>151258970</v>
      </c>
      <c r="G309" s="187">
        <v>757952103</v>
      </c>
      <c r="H309" s="188">
        <v>5.8455240000000002</v>
      </c>
      <c r="I309" s="188">
        <v>-5.361726</v>
      </c>
      <c r="J309" s="187" t="s">
        <v>36</v>
      </c>
      <c r="K309" s="188" t="s">
        <v>190</v>
      </c>
      <c r="L309" s="188" t="s">
        <v>409</v>
      </c>
      <c r="M309" s="189" t="s">
        <v>1674</v>
      </c>
      <c r="N309" s="189">
        <v>2150016286</v>
      </c>
      <c r="O309" s="190">
        <v>45754</v>
      </c>
      <c r="P309" s="191">
        <f t="shared" ca="1" si="8"/>
        <v>314</v>
      </c>
      <c r="Q309" s="190">
        <v>45755</v>
      </c>
      <c r="R309" s="188" t="s">
        <v>30</v>
      </c>
      <c r="S309" s="188"/>
      <c r="T309" s="188">
        <v>6</v>
      </c>
      <c r="U309" s="192">
        <v>45761</v>
      </c>
      <c r="V309" s="188" t="s">
        <v>310</v>
      </c>
      <c r="W309" s="188">
        <v>400</v>
      </c>
      <c r="X309" s="193" t="s">
        <v>32</v>
      </c>
      <c r="Y309" s="188" t="s">
        <v>533</v>
      </c>
      <c r="Z309" s="201"/>
      <c r="AA309" s="201" t="s">
        <v>532</v>
      </c>
      <c r="AB309" s="201" t="s">
        <v>16</v>
      </c>
      <c r="AC309" s="201" t="s">
        <v>1663</v>
      </c>
    </row>
    <row r="310" spans="1:29" s="634" customFormat="1" ht="15" hidden="1" customHeight="1">
      <c r="A310" s="186" t="s">
        <v>25</v>
      </c>
      <c r="B310" s="186" t="s">
        <v>25</v>
      </c>
      <c r="C310" s="194" t="s">
        <v>1648</v>
      </c>
      <c r="D310" s="194" t="s">
        <v>1649</v>
      </c>
      <c r="E310" s="194" t="s">
        <v>1650</v>
      </c>
      <c r="F310" s="194">
        <v>505160202</v>
      </c>
      <c r="G310" s="194">
        <v>798166102</v>
      </c>
      <c r="H310" s="188">
        <v>5.8320290000000004</v>
      </c>
      <c r="I310" s="188">
        <v>-5.3574719999999996</v>
      </c>
      <c r="J310" s="194" t="s">
        <v>36</v>
      </c>
      <c r="K310" s="188" t="s">
        <v>274</v>
      </c>
      <c r="L310" s="188" t="s">
        <v>1667</v>
      </c>
      <c r="M310" s="189" t="s">
        <v>1676</v>
      </c>
      <c r="N310" s="189">
        <v>2150016290</v>
      </c>
      <c r="O310" s="195">
        <v>45758</v>
      </c>
      <c r="P310" s="191">
        <f t="shared" ca="1" si="8"/>
        <v>310</v>
      </c>
      <c r="Q310" s="196">
        <v>45759</v>
      </c>
      <c r="R310" s="188" t="s">
        <v>30</v>
      </c>
      <c r="S310" s="188"/>
      <c r="T310" s="188">
        <v>0</v>
      </c>
      <c r="U310" s="192">
        <v>45761</v>
      </c>
      <c r="V310" s="188" t="s">
        <v>310</v>
      </c>
      <c r="W310" s="188">
        <v>200</v>
      </c>
      <c r="X310" s="193" t="s">
        <v>32</v>
      </c>
      <c r="Y310" s="188" t="s">
        <v>697</v>
      </c>
      <c r="Z310" s="68"/>
      <c r="AA310" s="68" t="s">
        <v>532</v>
      </c>
      <c r="AB310" s="68" t="s">
        <v>16</v>
      </c>
      <c r="AC310" s="68" t="s">
        <v>1670</v>
      </c>
    </row>
    <row r="311" spans="1:29" s="634" customFormat="1" ht="15" hidden="1" customHeight="1">
      <c r="A311" s="186" t="s">
        <v>25</v>
      </c>
      <c r="B311" s="186" t="s">
        <v>25</v>
      </c>
      <c r="C311" s="194" t="s">
        <v>1655</v>
      </c>
      <c r="D311" s="194" t="s">
        <v>1656</v>
      </c>
      <c r="E311" s="194" t="s">
        <v>1657</v>
      </c>
      <c r="F311" s="194">
        <v>150554973</v>
      </c>
      <c r="G311" s="194">
        <v>799670032</v>
      </c>
      <c r="H311" s="188">
        <v>5.8299289999999999</v>
      </c>
      <c r="I311" s="188">
        <v>-5.3582010000000002</v>
      </c>
      <c r="J311" s="194" t="s">
        <v>36</v>
      </c>
      <c r="K311" s="188" t="s">
        <v>274</v>
      </c>
      <c r="L311" s="188" t="s">
        <v>521</v>
      </c>
      <c r="M311" s="189" t="s">
        <v>1678</v>
      </c>
      <c r="N311" s="189">
        <v>2150016320</v>
      </c>
      <c r="O311" s="195">
        <v>45758</v>
      </c>
      <c r="P311" s="191">
        <f t="shared" ca="1" si="8"/>
        <v>310</v>
      </c>
      <c r="Q311" s="196">
        <v>45759</v>
      </c>
      <c r="R311" s="188" t="s">
        <v>30</v>
      </c>
      <c r="S311" s="188"/>
      <c r="T311" s="188">
        <v>0</v>
      </c>
      <c r="U311" s="192">
        <v>45761</v>
      </c>
      <c r="V311" s="188" t="s">
        <v>310</v>
      </c>
      <c r="W311" s="188">
        <v>500</v>
      </c>
      <c r="X311" s="193" t="s">
        <v>32</v>
      </c>
      <c r="Y311" s="188" t="s">
        <v>578</v>
      </c>
      <c r="Z311" s="68"/>
      <c r="AA311" s="68" t="s">
        <v>532</v>
      </c>
      <c r="AB311" s="68" t="s">
        <v>16</v>
      </c>
      <c r="AC311" s="68" t="s">
        <v>1631</v>
      </c>
    </row>
    <row r="312" spans="1:29" s="634" customFormat="1" ht="15" hidden="1" customHeight="1">
      <c r="A312" s="199" t="s">
        <v>25</v>
      </c>
      <c r="B312" s="199" t="s">
        <v>25</v>
      </c>
      <c r="C312" s="208" t="s">
        <v>1586</v>
      </c>
      <c r="D312" s="208" t="s">
        <v>1587</v>
      </c>
      <c r="E312" s="208" t="s">
        <v>1591</v>
      </c>
      <c r="F312" s="208">
        <v>748767295</v>
      </c>
      <c r="G312" s="208">
        <v>748767295</v>
      </c>
      <c r="H312" s="201">
        <v>5.8496899999999998</v>
      </c>
      <c r="I312" s="201">
        <v>-5.3474487999999996</v>
      </c>
      <c r="J312" s="208" t="s">
        <v>189</v>
      </c>
      <c r="K312" s="201" t="s">
        <v>198</v>
      </c>
      <c r="L312" s="201" t="s">
        <v>742</v>
      </c>
      <c r="M312" s="202" t="s">
        <v>1675</v>
      </c>
      <c r="N312" s="202">
        <v>2150016287</v>
      </c>
      <c r="O312" s="209">
        <v>45754</v>
      </c>
      <c r="P312" s="204">
        <f t="shared" ca="1" si="8"/>
        <v>314</v>
      </c>
      <c r="Q312" s="209">
        <v>45755</v>
      </c>
      <c r="R312" s="201" t="s">
        <v>30</v>
      </c>
      <c r="S312" s="201"/>
      <c r="T312" s="201">
        <v>0</v>
      </c>
      <c r="U312" s="206">
        <v>45762</v>
      </c>
      <c r="V312" s="201" t="s">
        <v>310</v>
      </c>
      <c r="W312" s="201">
        <v>200</v>
      </c>
      <c r="X312" s="207" t="s">
        <v>32</v>
      </c>
      <c r="Y312" s="201" t="s">
        <v>696</v>
      </c>
      <c r="Z312" s="68"/>
      <c r="AA312" s="68" t="s">
        <v>532</v>
      </c>
      <c r="AB312" s="68" t="s">
        <v>16</v>
      </c>
      <c r="AC312" s="68" t="s">
        <v>1637</v>
      </c>
    </row>
    <row r="313" spans="1:29" s="634" customFormat="1" ht="15" hidden="1" customHeight="1">
      <c r="A313" s="199" t="s">
        <v>25</v>
      </c>
      <c r="B313" s="199" t="s">
        <v>25</v>
      </c>
      <c r="C313" s="200" t="s">
        <v>1651</v>
      </c>
      <c r="D313" s="200" t="s">
        <v>1652</v>
      </c>
      <c r="E313" s="200" t="s">
        <v>295</v>
      </c>
      <c r="F313" s="200">
        <v>758409147</v>
      </c>
      <c r="G313" s="200">
        <v>758409147</v>
      </c>
      <c r="H313" s="201">
        <v>5.8384580000000001</v>
      </c>
      <c r="I313" s="201">
        <v>-5.3529679999999997</v>
      </c>
      <c r="J313" s="200" t="s">
        <v>189</v>
      </c>
      <c r="K313" s="201" t="s">
        <v>190</v>
      </c>
      <c r="L313" s="201" t="s">
        <v>514</v>
      </c>
      <c r="M313" s="202" t="s">
        <v>1677</v>
      </c>
      <c r="N313" s="202">
        <v>2150016291</v>
      </c>
      <c r="O313" s="203">
        <v>45758</v>
      </c>
      <c r="P313" s="204">
        <f t="shared" ca="1" si="8"/>
        <v>310</v>
      </c>
      <c r="Q313" s="205">
        <v>45759</v>
      </c>
      <c r="R313" s="201" t="s">
        <v>30</v>
      </c>
      <c r="S313" s="201"/>
      <c r="T313" s="201">
        <v>0</v>
      </c>
      <c r="U313" s="206">
        <v>45762</v>
      </c>
      <c r="V313" s="201" t="s">
        <v>310</v>
      </c>
      <c r="W313" s="201">
        <v>150</v>
      </c>
      <c r="X313" s="207" t="s">
        <v>32</v>
      </c>
      <c r="Y313" s="201" t="s">
        <v>533</v>
      </c>
      <c r="Z313" s="68"/>
      <c r="AA313" s="68" t="s">
        <v>532</v>
      </c>
      <c r="AB313" s="68" t="s">
        <v>16</v>
      </c>
      <c r="AC313" s="68" t="s">
        <v>1662</v>
      </c>
    </row>
    <row r="314" spans="1:29" s="634" customFormat="1" ht="15" hidden="1" customHeight="1">
      <c r="A314" s="66" t="s">
        <v>25</v>
      </c>
      <c r="B314" s="67" t="s">
        <v>25</v>
      </c>
      <c r="C314" s="66" t="s">
        <v>1556</v>
      </c>
      <c r="D314" s="66" t="s">
        <v>1557</v>
      </c>
      <c r="E314" s="66" t="s">
        <v>1558</v>
      </c>
      <c r="F314" s="66">
        <v>799405112</v>
      </c>
      <c r="G314" s="66">
        <v>799405112</v>
      </c>
      <c r="H314" s="68">
        <v>5.8434809999999997</v>
      </c>
      <c r="I314" s="68">
        <v>-5.3467479999999998</v>
      </c>
      <c r="J314" s="66" t="s">
        <v>189</v>
      </c>
      <c r="K314" s="68" t="s">
        <v>274</v>
      </c>
      <c r="L314" s="68" t="s">
        <v>735</v>
      </c>
      <c r="M314" s="77" t="s">
        <v>1680</v>
      </c>
      <c r="N314" s="77">
        <v>2150016322</v>
      </c>
      <c r="O314" s="69">
        <v>45751</v>
      </c>
      <c r="P314" s="70">
        <f t="shared" ca="1" si="8"/>
        <v>317</v>
      </c>
      <c r="Q314" s="69">
        <v>45752</v>
      </c>
      <c r="R314" s="68" t="s">
        <v>30</v>
      </c>
      <c r="S314" s="68"/>
      <c r="T314" s="68">
        <v>2</v>
      </c>
      <c r="U314" s="71">
        <v>45763</v>
      </c>
      <c r="V314" s="68" t="s">
        <v>310</v>
      </c>
      <c r="W314" s="68">
        <v>150</v>
      </c>
      <c r="X314" s="72" t="s">
        <v>32</v>
      </c>
      <c r="Y314" s="68" t="s">
        <v>193</v>
      </c>
      <c r="Z314" s="68"/>
      <c r="AA314" s="68" t="s">
        <v>532</v>
      </c>
      <c r="AB314" s="68" t="s">
        <v>16</v>
      </c>
      <c r="AC314" s="68" t="s">
        <v>1638</v>
      </c>
    </row>
    <row r="315" spans="1:29" s="634" customFormat="1" ht="15" hidden="1" customHeight="1">
      <c r="A315" s="66" t="s">
        <v>25</v>
      </c>
      <c r="B315" s="67" t="s">
        <v>25</v>
      </c>
      <c r="C315" s="66" t="s">
        <v>1551</v>
      </c>
      <c r="D315" s="66" t="s">
        <v>1552</v>
      </c>
      <c r="E315" s="66" t="s">
        <v>1553</v>
      </c>
      <c r="F315" s="66">
        <v>172677777</v>
      </c>
      <c r="G315" s="66">
        <v>172677777</v>
      </c>
      <c r="H315" s="68">
        <v>5.8423660000000002</v>
      </c>
      <c r="I315" s="68">
        <v>-5.3424449999999997</v>
      </c>
      <c r="J315" s="66" t="s">
        <v>189</v>
      </c>
      <c r="K315" s="68" t="s">
        <v>274</v>
      </c>
      <c r="L315" s="68" t="s">
        <v>261</v>
      </c>
      <c r="M315" s="77" t="s">
        <v>1679</v>
      </c>
      <c r="N315" s="77">
        <v>2150016321</v>
      </c>
      <c r="O315" s="69">
        <v>45750</v>
      </c>
      <c r="P315" s="70">
        <f t="shared" ca="1" si="8"/>
        <v>317</v>
      </c>
      <c r="Q315" s="69">
        <v>45752</v>
      </c>
      <c r="R315" s="68" t="s">
        <v>30</v>
      </c>
      <c r="S315" s="68"/>
      <c r="T315" s="68">
        <v>1</v>
      </c>
      <c r="U315" s="71">
        <v>45763</v>
      </c>
      <c r="V315" s="68" t="s">
        <v>310</v>
      </c>
      <c r="W315" s="68">
        <v>300</v>
      </c>
      <c r="X315" s="72" t="s">
        <v>32</v>
      </c>
      <c r="Y315" s="68" t="s">
        <v>245</v>
      </c>
      <c r="Z315" s="68"/>
      <c r="AA315" s="68" t="s">
        <v>532</v>
      </c>
      <c r="AB315" s="68" t="s">
        <v>16</v>
      </c>
      <c r="AC315" s="68" t="s">
        <v>1709</v>
      </c>
    </row>
    <row r="316" spans="1:29" s="634" customFormat="1" ht="15" hidden="1" customHeight="1">
      <c r="A316" s="67" t="s">
        <v>25</v>
      </c>
      <c r="B316" s="67" t="s">
        <v>25</v>
      </c>
      <c r="C316" s="66" t="s">
        <v>1604</v>
      </c>
      <c r="D316" s="66" t="s">
        <v>1605</v>
      </c>
      <c r="E316" s="66" t="s">
        <v>864</v>
      </c>
      <c r="F316" s="66">
        <v>173391242</v>
      </c>
      <c r="G316" s="66">
        <v>505283652</v>
      </c>
      <c r="H316" s="68">
        <v>5.8367979999999999</v>
      </c>
      <c r="I316" s="68">
        <v>-5.3585269999999996</v>
      </c>
      <c r="J316" s="66" t="s">
        <v>36</v>
      </c>
      <c r="K316" s="68" t="s">
        <v>198</v>
      </c>
      <c r="L316" s="68" t="s">
        <v>1165</v>
      </c>
      <c r="M316" s="77" t="s">
        <v>1681</v>
      </c>
      <c r="N316" s="77">
        <v>2150016323</v>
      </c>
      <c r="O316" s="69">
        <v>45756</v>
      </c>
      <c r="P316" s="70">
        <f t="shared" ca="1" si="8"/>
        <v>313</v>
      </c>
      <c r="Q316" s="69">
        <v>45756</v>
      </c>
      <c r="R316" s="68" t="s">
        <v>30</v>
      </c>
      <c r="S316" s="68"/>
      <c r="T316" s="68">
        <v>1</v>
      </c>
      <c r="U316" s="71">
        <v>45763</v>
      </c>
      <c r="V316" s="68" t="s">
        <v>310</v>
      </c>
      <c r="W316" s="68">
        <v>150</v>
      </c>
      <c r="X316" s="72" t="s">
        <v>32</v>
      </c>
      <c r="Y316" s="68" t="s">
        <v>697</v>
      </c>
      <c r="Z316" s="26"/>
      <c r="AA316" s="26" t="s">
        <v>532</v>
      </c>
      <c r="AB316" s="26" t="s">
        <v>16</v>
      </c>
      <c r="AC316" s="26" t="s">
        <v>1665</v>
      </c>
    </row>
    <row r="317" spans="1:29" s="634" customFormat="1" ht="15" hidden="1" customHeight="1">
      <c r="A317" s="67" t="s">
        <v>25</v>
      </c>
      <c r="B317" s="67" t="s">
        <v>25</v>
      </c>
      <c r="C317" s="66" t="s">
        <v>1627</v>
      </c>
      <c r="D317" s="66" t="s">
        <v>1628</v>
      </c>
      <c r="E317" s="66" t="s">
        <v>1629</v>
      </c>
      <c r="F317" s="66">
        <v>153959560</v>
      </c>
      <c r="G317" s="66">
        <v>789691742</v>
      </c>
      <c r="H317" s="68">
        <v>5.8359389999999998</v>
      </c>
      <c r="I317" s="68">
        <v>-5.3675730000000001</v>
      </c>
      <c r="J317" s="66" t="s">
        <v>36</v>
      </c>
      <c r="K317" s="68" t="s">
        <v>203</v>
      </c>
      <c r="L317" s="68" t="s">
        <v>1661</v>
      </c>
      <c r="M317" s="77" t="s">
        <v>1682</v>
      </c>
      <c r="N317" s="77">
        <v>2150016324</v>
      </c>
      <c r="O317" s="69">
        <v>45756</v>
      </c>
      <c r="P317" s="70">
        <f t="shared" ca="1" si="8"/>
        <v>312</v>
      </c>
      <c r="Q317" s="69">
        <v>45757</v>
      </c>
      <c r="R317" s="68" t="s">
        <v>30</v>
      </c>
      <c r="S317" s="68"/>
      <c r="T317" s="68">
        <v>1</v>
      </c>
      <c r="U317" s="71">
        <v>45763</v>
      </c>
      <c r="V317" s="68" t="s">
        <v>310</v>
      </c>
      <c r="W317" s="68">
        <v>500</v>
      </c>
      <c r="X317" s="72" t="s">
        <v>32</v>
      </c>
      <c r="Y317" s="68" t="s">
        <v>697</v>
      </c>
      <c r="Z317" s="26"/>
      <c r="AA317" s="26" t="s">
        <v>532</v>
      </c>
      <c r="AB317" s="26" t="s">
        <v>16</v>
      </c>
      <c r="AC317" s="26" t="s">
        <v>1707</v>
      </c>
    </row>
    <row r="318" spans="1:29" s="634" customFormat="1" ht="15" hidden="1" customHeight="1">
      <c r="A318" s="67" t="s">
        <v>25</v>
      </c>
      <c r="B318" s="67" t="s">
        <v>25</v>
      </c>
      <c r="C318" s="210" t="s">
        <v>1653</v>
      </c>
      <c r="D318" s="210" t="s">
        <v>1654</v>
      </c>
      <c r="E318" s="210" t="s">
        <v>1553</v>
      </c>
      <c r="F318" s="210">
        <v>797730199</v>
      </c>
      <c r="G318" s="210">
        <v>797730199</v>
      </c>
      <c r="H318" s="68">
        <v>5.8421640000000004</v>
      </c>
      <c r="I318" s="68">
        <v>-5.3411390000000001</v>
      </c>
      <c r="J318" s="210" t="s">
        <v>189</v>
      </c>
      <c r="K318" s="68" t="s">
        <v>274</v>
      </c>
      <c r="L318" s="68" t="s">
        <v>283</v>
      </c>
      <c r="M318" s="77" t="s">
        <v>1685</v>
      </c>
      <c r="N318" s="77">
        <v>2150016317</v>
      </c>
      <c r="O318" s="211">
        <v>45758</v>
      </c>
      <c r="P318" s="70">
        <f t="shared" ca="1" si="8"/>
        <v>310</v>
      </c>
      <c r="Q318" s="212">
        <v>45759</v>
      </c>
      <c r="R318" s="68" t="s">
        <v>30</v>
      </c>
      <c r="S318" s="68"/>
      <c r="T318" s="68">
        <v>2</v>
      </c>
      <c r="U318" s="71">
        <v>45763</v>
      </c>
      <c r="V318" s="68" t="s">
        <v>310</v>
      </c>
      <c r="W318" s="68">
        <v>500</v>
      </c>
      <c r="X318" s="72" t="s">
        <v>32</v>
      </c>
      <c r="Y318" s="68" t="s">
        <v>578</v>
      </c>
      <c r="Z318" s="26"/>
      <c r="AA318" s="26" t="s">
        <v>532</v>
      </c>
      <c r="AB318" s="26" t="s">
        <v>16</v>
      </c>
      <c r="AC318" s="26" t="s">
        <v>1708</v>
      </c>
    </row>
    <row r="319" spans="1:29" s="634" customFormat="1" ht="15" hidden="1" customHeight="1">
      <c r="A319" s="67" t="s">
        <v>25</v>
      </c>
      <c r="B319" s="67" t="s">
        <v>25</v>
      </c>
      <c r="C319" s="66" t="s">
        <v>1699</v>
      </c>
      <c r="D319" s="66" t="s">
        <v>1700</v>
      </c>
      <c r="E319" s="66" t="s">
        <v>1701</v>
      </c>
      <c r="F319" s="66">
        <v>707773065</v>
      </c>
      <c r="G319" s="66">
        <v>707773065</v>
      </c>
      <c r="H319" s="66">
        <v>5.8363670000000001</v>
      </c>
      <c r="I319" s="68">
        <v>-5.3593780000000004</v>
      </c>
      <c r="J319" s="66" t="s">
        <v>36</v>
      </c>
      <c r="K319" s="68" t="s">
        <v>198</v>
      </c>
      <c r="L319" s="68" t="s">
        <v>581</v>
      </c>
      <c r="M319" s="77" t="s">
        <v>1715</v>
      </c>
      <c r="N319" s="77">
        <v>2150016333</v>
      </c>
      <c r="O319" s="69">
        <v>45761</v>
      </c>
      <c r="P319" s="70">
        <f t="shared" ca="1" si="8"/>
        <v>307</v>
      </c>
      <c r="Q319" s="69">
        <v>45762</v>
      </c>
      <c r="R319" s="68" t="s">
        <v>30</v>
      </c>
      <c r="S319" s="68"/>
      <c r="T319" s="68">
        <v>0</v>
      </c>
      <c r="U319" s="71">
        <v>45763</v>
      </c>
      <c r="V319" s="68" t="s">
        <v>310</v>
      </c>
      <c r="W319" s="68">
        <v>150</v>
      </c>
      <c r="X319" s="72" t="s">
        <v>32</v>
      </c>
      <c r="Y319" s="68" t="s">
        <v>343</v>
      </c>
      <c r="Z319" s="26"/>
      <c r="AA319" s="26" t="s">
        <v>532</v>
      </c>
      <c r="AB319" s="26" t="s">
        <v>16</v>
      </c>
      <c r="AC319" s="26" t="s">
        <v>1706</v>
      </c>
    </row>
    <row r="320" spans="1:29" s="628" customFormat="1" ht="15" hidden="1" customHeight="1">
      <c r="A320" s="42" t="s">
        <v>25</v>
      </c>
      <c r="B320" s="42" t="s">
        <v>25</v>
      </c>
      <c r="C320" s="213" t="s">
        <v>1635</v>
      </c>
      <c r="D320" s="213" t="s">
        <v>1636</v>
      </c>
      <c r="E320" s="213" t="s">
        <v>402</v>
      </c>
      <c r="F320" s="213">
        <v>101350712</v>
      </c>
      <c r="G320" s="213">
        <v>707725880</v>
      </c>
      <c r="H320" s="26">
        <v>5.8450699999999998</v>
      </c>
      <c r="I320" s="26">
        <v>-5.3637170000000003</v>
      </c>
      <c r="J320" s="213" t="s">
        <v>36</v>
      </c>
      <c r="K320" s="26" t="s">
        <v>190</v>
      </c>
      <c r="L320" s="26" t="s">
        <v>1705</v>
      </c>
      <c r="M320" s="48" t="s">
        <v>1712</v>
      </c>
      <c r="N320" s="48">
        <v>2150016332</v>
      </c>
      <c r="O320" s="214">
        <v>45757</v>
      </c>
      <c r="P320" s="44">
        <f t="shared" ca="1" si="8"/>
        <v>311</v>
      </c>
      <c r="Q320" s="214">
        <v>45758</v>
      </c>
      <c r="R320" s="26" t="s">
        <v>30</v>
      </c>
      <c r="S320" s="26"/>
      <c r="T320" s="26">
        <v>1</v>
      </c>
      <c r="U320" s="45">
        <v>45764</v>
      </c>
      <c r="V320" s="26" t="s">
        <v>310</v>
      </c>
      <c r="W320" s="26">
        <v>300</v>
      </c>
      <c r="X320" s="46" t="s">
        <v>32</v>
      </c>
      <c r="Y320" s="26" t="s">
        <v>696</v>
      </c>
      <c r="Z320" s="26"/>
      <c r="AA320" s="26" t="s">
        <v>532</v>
      </c>
      <c r="AB320" s="26" t="s">
        <v>16</v>
      </c>
      <c r="AC320" s="26" t="s">
        <v>1745</v>
      </c>
    </row>
    <row r="321" spans="1:29" s="634" customFormat="1" ht="15" hidden="1" customHeight="1">
      <c r="A321" s="42" t="s">
        <v>25</v>
      </c>
      <c r="B321" s="42" t="s">
        <v>25</v>
      </c>
      <c r="C321" s="213" t="s">
        <v>1643</v>
      </c>
      <c r="D321" s="213" t="s">
        <v>1644</v>
      </c>
      <c r="E321" s="213" t="s">
        <v>1645</v>
      </c>
      <c r="F321" s="213">
        <v>505669914</v>
      </c>
      <c r="G321" s="213">
        <v>505669914</v>
      </c>
      <c r="H321" s="26">
        <v>5.8395669999999997</v>
      </c>
      <c r="I321" s="26">
        <v>-5.3543760000000002</v>
      </c>
      <c r="J321" s="213" t="s">
        <v>189</v>
      </c>
      <c r="K321" s="26" t="s">
        <v>203</v>
      </c>
      <c r="L321" s="26" t="s">
        <v>322</v>
      </c>
      <c r="M321" s="48" t="s">
        <v>1683</v>
      </c>
      <c r="N321" s="48">
        <v>2150016319</v>
      </c>
      <c r="O321" s="214">
        <v>45758</v>
      </c>
      <c r="P321" s="44">
        <f t="shared" ca="1" si="8"/>
        <v>310</v>
      </c>
      <c r="Q321" s="215">
        <v>45759</v>
      </c>
      <c r="R321" s="26" t="s">
        <v>30</v>
      </c>
      <c r="S321" s="26"/>
      <c r="T321" s="26">
        <v>1</v>
      </c>
      <c r="U321" s="45">
        <v>45764</v>
      </c>
      <c r="V321" s="26" t="s">
        <v>310</v>
      </c>
      <c r="W321" s="26">
        <v>200</v>
      </c>
      <c r="X321" s="46" t="s">
        <v>32</v>
      </c>
      <c r="Y321" s="26" t="s">
        <v>578</v>
      </c>
      <c r="Z321" s="26"/>
      <c r="AA321" s="26" t="s">
        <v>532</v>
      </c>
      <c r="AB321" s="26" t="s">
        <v>16</v>
      </c>
      <c r="AC321" s="26" t="s">
        <v>1666</v>
      </c>
    </row>
    <row r="322" spans="1:29" s="635" customFormat="1" ht="15" hidden="1" customHeight="1">
      <c r="A322" s="42" t="s">
        <v>25</v>
      </c>
      <c r="B322" s="42" t="s">
        <v>25</v>
      </c>
      <c r="C322" s="213" t="s">
        <v>1646</v>
      </c>
      <c r="D322" s="213" t="s">
        <v>333</v>
      </c>
      <c r="E322" s="213" t="s">
        <v>1647</v>
      </c>
      <c r="F322" s="213">
        <v>150839307</v>
      </c>
      <c r="G322" s="213">
        <v>777038797</v>
      </c>
      <c r="H322" s="26">
        <v>5.8332850000000001</v>
      </c>
      <c r="I322" s="26">
        <v>-5.3622820000000004</v>
      </c>
      <c r="J322" s="213" t="s">
        <v>36</v>
      </c>
      <c r="K322" s="26" t="s">
        <v>198</v>
      </c>
      <c r="L322" s="26" t="s">
        <v>950</v>
      </c>
      <c r="M322" s="48" t="s">
        <v>1684</v>
      </c>
      <c r="N322" s="48">
        <v>2150016318</v>
      </c>
      <c r="O322" s="214">
        <v>45758</v>
      </c>
      <c r="P322" s="44">
        <f t="shared" ca="1" si="8"/>
        <v>310</v>
      </c>
      <c r="Q322" s="215">
        <v>45759</v>
      </c>
      <c r="R322" s="26" t="s">
        <v>30</v>
      </c>
      <c r="S322" s="26"/>
      <c r="T322" s="26">
        <v>1</v>
      </c>
      <c r="U322" s="45">
        <v>45764</v>
      </c>
      <c r="V322" s="26" t="s">
        <v>310</v>
      </c>
      <c r="W322" s="26">
        <v>300</v>
      </c>
      <c r="X322" s="46" t="s">
        <v>32</v>
      </c>
      <c r="Y322" s="26" t="s">
        <v>578</v>
      </c>
      <c r="Z322" s="168"/>
      <c r="AA322" s="168" t="s">
        <v>532</v>
      </c>
      <c r="AB322" s="168" t="s">
        <v>16</v>
      </c>
      <c r="AC322" s="219" t="s">
        <v>1752</v>
      </c>
    </row>
    <row r="323" spans="1:29" s="635" customFormat="1" ht="15" hidden="1" customHeight="1">
      <c r="A323" s="42" t="s">
        <v>25</v>
      </c>
      <c r="B323" s="42" t="s">
        <v>25</v>
      </c>
      <c r="C323" s="47" t="s">
        <v>1686</v>
      </c>
      <c r="D323" s="47" t="s">
        <v>1687</v>
      </c>
      <c r="E323" s="47" t="s">
        <v>1688</v>
      </c>
      <c r="F323" s="47">
        <v>759401940</v>
      </c>
      <c r="G323" s="47">
        <v>707088063</v>
      </c>
      <c r="H323" s="26">
        <v>5.834746</v>
      </c>
      <c r="I323" s="26">
        <v>-5.3649649999999998</v>
      </c>
      <c r="J323" s="47" t="s">
        <v>36</v>
      </c>
      <c r="K323" s="26" t="s">
        <v>203</v>
      </c>
      <c r="L323" s="26" t="s">
        <v>1270</v>
      </c>
      <c r="M323" s="48" t="s">
        <v>1713</v>
      </c>
      <c r="N323" s="48">
        <v>2150016331</v>
      </c>
      <c r="O323" s="216">
        <v>45761</v>
      </c>
      <c r="P323" s="44">
        <f t="shared" ca="1" si="8"/>
        <v>307</v>
      </c>
      <c r="Q323" s="216">
        <v>45762</v>
      </c>
      <c r="R323" s="26" t="s">
        <v>30</v>
      </c>
      <c r="S323" s="26"/>
      <c r="T323" s="26">
        <v>0</v>
      </c>
      <c r="U323" s="45">
        <v>45764</v>
      </c>
      <c r="V323" s="26" t="s">
        <v>310</v>
      </c>
      <c r="W323" s="26">
        <v>150</v>
      </c>
      <c r="X323" s="46" t="s">
        <v>32</v>
      </c>
      <c r="Y323" s="26" t="s">
        <v>245</v>
      </c>
      <c r="Z323" s="168"/>
      <c r="AA323" s="168" t="s">
        <v>532</v>
      </c>
      <c r="AB323" s="168" t="s">
        <v>16</v>
      </c>
      <c r="AC323" s="168" t="s">
        <v>1745</v>
      </c>
    </row>
    <row r="324" spans="1:29" s="634" customFormat="1" ht="15" hidden="1" customHeight="1">
      <c r="A324" s="42" t="s">
        <v>25</v>
      </c>
      <c r="B324" s="42" t="s">
        <v>25</v>
      </c>
      <c r="C324" s="47" t="s">
        <v>1691</v>
      </c>
      <c r="D324" s="47" t="s">
        <v>1692</v>
      </c>
      <c r="E324" s="47" t="s">
        <v>84</v>
      </c>
      <c r="F324" s="47">
        <v>707943717</v>
      </c>
      <c r="G324" s="47">
        <v>707943717</v>
      </c>
      <c r="H324" s="26">
        <v>5.8346520000000002</v>
      </c>
      <c r="I324" s="26">
        <v>-5.36395</v>
      </c>
      <c r="J324" s="47" t="s">
        <v>36</v>
      </c>
      <c r="K324" s="26" t="s">
        <v>203</v>
      </c>
      <c r="L324" s="26" t="s">
        <v>1595</v>
      </c>
      <c r="M324" s="48" t="s">
        <v>1714</v>
      </c>
      <c r="N324" s="48">
        <v>2150016334</v>
      </c>
      <c r="O324" s="216">
        <v>45761</v>
      </c>
      <c r="P324" s="44">
        <f t="shared" ca="1" si="8"/>
        <v>307</v>
      </c>
      <c r="Q324" s="216">
        <v>45762</v>
      </c>
      <c r="R324" s="26" t="s">
        <v>30</v>
      </c>
      <c r="S324" s="26"/>
      <c r="T324" s="26">
        <v>0</v>
      </c>
      <c r="U324" s="45">
        <v>45764</v>
      </c>
      <c r="V324" s="26" t="s">
        <v>310</v>
      </c>
      <c r="W324" s="26">
        <v>100</v>
      </c>
      <c r="X324" s="46" t="s">
        <v>32</v>
      </c>
      <c r="Y324" s="26" t="s">
        <v>228</v>
      </c>
      <c r="Z324" s="103"/>
      <c r="AA324" s="103" t="s">
        <v>532</v>
      </c>
      <c r="AB324" s="103" t="s">
        <v>16</v>
      </c>
      <c r="AC324" s="103" t="s">
        <v>1711</v>
      </c>
    </row>
    <row r="325" spans="1:29" s="634" customFormat="1" ht="15" hidden="1" customHeight="1">
      <c r="A325" s="42" t="s">
        <v>25</v>
      </c>
      <c r="B325" s="42" t="s">
        <v>25</v>
      </c>
      <c r="C325" s="217" t="s">
        <v>1456</v>
      </c>
      <c r="D325" s="217" t="s">
        <v>1457</v>
      </c>
      <c r="E325" s="217" t="s">
        <v>1458</v>
      </c>
      <c r="F325" s="217">
        <v>102637044</v>
      </c>
      <c r="G325" s="217">
        <v>585951568</v>
      </c>
      <c r="H325" s="168">
        <v>5.833005</v>
      </c>
      <c r="I325" s="168">
        <v>-5.3619469999999998</v>
      </c>
      <c r="J325" s="166" t="s">
        <v>36</v>
      </c>
      <c r="K325" s="168" t="s">
        <v>198</v>
      </c>
      <c r="L325" s="168" t="s">
        <v>950</v>
      </c>
      <c r="M325" s="169" t="s">
        <v>1750</v>
      </c>
      <c r="N325" s="169">
        <v>2150016315</v>
      </c>
      <c r="O325" s="218">
        <v>45744</v>
      </c>
      <c r="P325" s="171">
        <f t="shared" ca="1" si="8"/>
        <v>324</v>
      </c>
      <c r="Q325" s="218">
        <v>45745</v>
      </c>
      <c r="R325" s="168" t="s">
        <v>30</v>
      </c>
      <c r="S325" s="168"/>
      <c r="T325" s="168">
        <v>1</v>
      </c>
      <c r="U325" s="172">
        <v>45768</v>
      </c>
      <c r="V325" s="168" t="s">
        <v>310</v>
      </c>
      <c r="W325" s="168">
        <v>300</v>
      </c>
      <c r="X325" s="173" t="s">
        <v>32</v>
      </c>
      <c r="Y325" s="168" t="s">
        <v>343</v>
      </c>
      <c r="Z325" s="103"/>
      <c r="AA325" s="103" t="s">
        <v>532</v>
      </c>
      <c r="AB325" s="103" t="s">
        <v>16</v>
      </c>
      <c r="AC325" s="103" t="s">
        <v>1741</v>
      </c>
    </row>
    <row r="326" spans="1:29" s="634" customFormat="1" ht="15" hidden="1" customHeight="1">
      <c r="A326" s="166" t="s">
        <v>25</v>
      </c>
      <c r="B326" s="167" t="s">
        <v>25</v>
      </c>
      <c r="C326" s="166" t="s">
        <v>1732</v>
      </c>
      <c r="D326" s="166" t="s">
        <v>1733</v>
      </c>
      <c r="E326" s="220" t="s">
        <v>35</v>
      </c>
      <c r="F326" s="166">
        <v>101790104</v>
      </c>
      <c r="G326" s="166">
        <v>707792379</v>
      </c>
      <c r="H326" s="168">
        <v>5.8412420000000003</v>
      </c>
      <c r="I326" s="168">
        <v>-5.3613499999999998</v>
      </c>
      <c r="J326" s="166" t="s">
        <v>36</v>
      </c>
      <c r="K326" s="168" t="s">
        <v>190</v>
      </c>
      <c r="L326" s="168" t="s">
        <v>276</v>
      </c>
      <c r="M326" s="169" t="s">
        <v>1748</v>
      </c>
      <c r="N326" s="169">
        <v>2150016328</v>
      </c>
      <c r="O326" s="170">
        <v>45763</v>
      </c>
      <c r="P326" s="171">
        <f t="shared" ca="1" si="8"/>
        <v>305</v>
      </c>
      <c r="Q326" s="170">
        <v>45764</v>
      </c>
      <c r="R326" s="168" t="s">
        <v>30</v>
      </c>
      <c r="S326" s="168"/>
      <c r="T326" s="168">
        <v>0</v>
      </c>
      <c r="U326" s="172">
        <v>45768</v>
      </c>
      <c r="V326" s="168" t="s">
        <v>310</v>
      </c>
      <c r="W326" s="168">
        <v>150</v>
      </c>
      <c r="X326" s="173" t="s">
        <v>32</v>
      </c>
      <c r="Y326" s="168" t="s">
        <v>245</v>
      </c>
      <c r="Z326" s="103"/>
      <c r="AA326" s="103" t="s">
        <v>532</v>
      </c>
      <c r="AB326" s="103" t="s">
        <v>16</v>
      </c>
      <c r="AC326" s="103" t="s">
        <v>1742</v>
      </c>
    </row>
    <row r="327" spans="1:29" s="634" customFormat="1" ht="15" hidden="1" customHeight="1">
      <c r="A327" s="109" t="s">
        <v>25</v>
      </c>
      <c r="B327" s="109" t="s">
        <v>25</v>
      </c>
      <c r="C327" s="102" t="s">
        <v>1702</v>
      </c>
      <c r="D327" s="102" t="s">
        <v>1703</v>
      </c>
      <c r="E327" s="102" t="s">
        <v>1704</v>
      </c>
      <c r="F327" s="102">
        <v>102054340</v>
      </c>
      <c r="G327" s="102">
        <v>574020215</v>
      </c>
      <c r="H327" s="102">
        <v>5.8365720000000003</v>
      </c>
      <c r="I327" s="103">
        <v>-5.3598520000000001</v>
      </c>
      <c r="J327" s="102" t="s">
        <v>36</v>
      </c>
      <c r="K327" s="103" t="s">
        <v>198</v>
      </c>
      <c r="L327" s="103" t="s">
        <v>1710</v>
      </c>
      <c r="M327" s="104" t="s">
        <v>1716</v>
      </c>
      <c r="N327" s="104">
        <v>2150016316</v>
      </c>
      <c r="O327" s="105">
        <v>45761</v>
      </c>
      <c r="P327" s="106">
        <f t="shared" ca="1" si="8"/>
        <v>307</v>
      </c>
      <c r="Q327" s="105">
        <v>45762</v>
      </c>
      <c r="R327" s="103" t="s">
        <v>30</v>
      </c>
      <c r="S327" s="103"/>
      <c r="T327" s="103">
        <v>0</v>
      </c>
      <c r="U327" s="107">
        <v>45769</v>
      </c>
      <c r="V327" s="103" t="s">
        <v>310</v>
      </c>
      <c r="W327" s="103">
        <v>150</v>
      </c>
      <c r="X327" s="108" t="s">
        <v>32</v>
      </c>
      <c r="Y327" s="103" t="s">
        <v>193</v>
      </c>
      <c r="Z327" s="103"/>
      <c r="AA327" s="103" t="s">
        <v>532</v>
      </c>
      <c r="AB327" s="103" t="s">
        <v>16</v>
      </c>
      <c r="AC327" s="103" t="s">
        <v>1744</v>
      </c>
    </row>
    <row r="328" spans="1:29" s="634" customFormat="1" ht="15" hidden="1" customHeight="1">
      <c r="A328" s="221" t="s">
        <v>25</v>
      </c>
      <c r="B328" s="221" t="s">
        <v>25</v>
      </c>
      <c r="C328" s="126" t="s">
        <v>1693</v>
      </c>
      <c r="D328" s="126" t="s">
        <v>1694</v>
      </c>
      <c r="E328" s="126" t="s">
        <v>1695</v>
      </c>
      <c r="F328" s="126">
        <v>140662499</v>
      </c>
      <c r="G328" s="126">
        <v>707739573</v>
      </c>
      <c r="H328" s="126">
        <v>5.9367000000000001</v>
      </c>
      <c r="I328" s="123">
        <v>-5.361872</v>
      </c>
      <c r="J328" s="126" t="s">
        <v>36</v>
      </c>
      <c r="K328" s="123" t="s">
        <v>203</v>
      </c>
      <c r="L328" s="123" t="s">
        <v>1131</v>
      </c>
      <c r="M328" s="127" t="s">
        <v>1762</v>
      </c>
      <c r="N328" s="127">
        <v>2150016379</v>
      </c>
      <c r="O328" s="141">
        <v>45761</v>
      </c>
      <c r="P328" s="135">
        <f t="shared" ca="1" si="8"/>
        <v>307</v>
      </c>
      <c r="Q328" s="141">
        <v>45762</v>
      </c>
      <c r="R328" s="123" t="s">
        <v>30</v>
      </c>
      <c r="S328" s="123"/>
      <c r="T328" s="123">
        <v>1</v>
      </c>
      <c r="U328" s="129">
        <v>45769</v>
      </c>
      <c r="V328" s="123" t="s">
        <v>310</v>
      </c>
      <c r="W328" s="123">
        <v>250</v>
      </c>
      <c r="X328" s="130" t="s">
        <v>32</v>
      </c>
      <c r="Y328" s="123" t="s">
        <v>228</v>
      </c>
      <c r="Z328" s="103"/>
      <c r="AA328" s="103" t="s">
        <v>532</v>
      </c>
      <c r="AB328" s="103" t="s">
        <v>16</v>
      </c>
      <c r="AC328" s="103" t="s">
        <v>1745</v>
      </c>
    </row>
    <row r="329" spans="1:29" s="634" customFormat="1" ht="15" hidden="1" customHeight="1">
      <c r="A329" s="167" t="s">
        <v>25</v>
      </c>
      <c r="B329" s="167" t="s">
        <v>25</v>
      </c>
      <c r="C329" s="25" t="s">
        <v>1723</v>
      </c>
      <c r="D329" s="25" t="s">
        <v>1724</v>
      </c>
      <c r="E329" s="25" t="s">
        <v>84</v>
      </c>
      <c r="F329" s="25">
        <v>707537573</v>
      </c>
      <c r="G329" s="25">
        <v>544228217</v>
      </c>
      <c r="H329" s="26">
        <v>5.8311710000000003</v>
      </c>
      <c r="I329" s="26">
        <v>-5.3604229999999999</v>
      </c>
      <c r="J329" s="25" t="s">
        <v>36</v>
      </c>
      <c r="K329" s="26" t="s">
        <v>198</v>
      </c>
      <c r="L329" s="26" t="s">
        <v>1028</v>
      </c>
      <c r="M329" s="48" t="s">
        <v>1747</v>
      </c>
      <c r="N329" s="48">
        <v>2150016327</v>
      </c>
      <c r="O329" s="43">
        <v>45762</v>
      </c>
      <c r="P329" s="44">
        <f t="shared" ca="1" si="8"/>
        <v>306</v>
      </c>
      <c r="Q329" s="43">
        <v>45763</v>
      </c>
      <c r="R329" s="26" t="s">
        <v>30</v>
      </c>
      <c r="S329" s="26"/>
      <c r="T329" s="26">
        <v>0</v>
      </c>
      <c r="U329" s="45">
        <v>45769</v>
      </c>
      <c r="V329" s="26" t="s">
        <v>310</v>
      </c>
      <c r="W329" s="26">
        <v>150</v>
      </c>
      <c r="X329" s="46" t="s">
        <v>32</v>
      </c>
      <c r="Y329" s="26" t="s">
        <v>245</v>
      </c>
      <c r="Z329" s="223"/>
      <c r="AA329" s="223" t="s">
        <v>532</v>
      </c>
      <c r="AB329" s="223" t="s">
        <v>16</v>
      </c>
      <c r="AC329" s="223" t="s">
        <v>1775</v>
      </c>
    </row>
    <row r="330" spans="1:29" s="634" customFormat="1" ht="15" hidden="1" customHeight="1">
      <c r="A330" s="109" t="s">
        <v>25</v>
      </c>
      <c r="B330" s="109" t="s">
        <v>25</v>
      </c>
      <c r="C330" s="102" t="s">
        <v>1717</v>
      </c>
      <c r="D330" s="102" t="s">
        <v>1718</v>
      </c>
      <c r="E330" s="102" t="s">
        <v>402</v>
      </c>
      <c r="F330" s="102">
        <v>102631926</v>
      </c>
      <c r="G330" s="102">
        <v>707772772</v>
      </c>
      <c r="H330" s="103">
        <v>5.8426679999999998</v>
      </c>
      <c r="I330" s="103">
        <v>-5.3611199999999997</v>
      </c>
      <c r="J330" s="102" t="s">
        <v>36</v>
      </c>
      <c r="K330" s="103" t="s">
        <v>190</v>
      </c>
      <c r="L330" s="103" t="s">
        <v>1740</v>
      </c>
      <c r="M330" s="104" t="s">
        <v>1761</v>
      </c>
      <c r="N330" s="104">
        <v>2150016378</v>
      </c>
      <c r="O330" s="105">
        <v>45762</v>
      </c>
      <c r="P330" s="106">
        <f t="shared" ca="1" si="8"/>
        <v>306</v>
      </c>
      <c r="Q330" s="105">
        <v>45763</v>
      </c>
      <c r="R330" s="103" t="s">
        <v>30</v>
      </c>
      <c r="S330" s="103"/>
      <c r="T330" s="103">
        <v>1</v>
      </c>
      <c r="U330" s="107">
        <v>45769</v>
      </c>
      <c r="V330" s="103" t="s">
        <v>310</v>
      </c>
      <c r="W330" s="103">
        <v>100</v>
      </c>
      <c r="X330" s="108" t="s">
        <v>32</v>
      </c>
      <c r="Y330" s="103" t="s">
        <v>193</v>
      </c>
      <c r="Z330" s="223"/>
      <c r="AA330" s="223" t="s">
        <v>532</v>
      </c>
      <c r="AB330" s="223" t="s">
        <v>16</v>
      </c>
      <c r="AC330" s="223" t="s">
        <v>1777</v>
      </c>
    </row>
    <row r="331" spans="1:29" s="634" customFormat="1" ht="15" hidden="1" customHeight="1">
      <c r="A331" s="109" t="s">
        <v>25</v>
      </c>
      <c r="B331" s="109" t="s">
        <v>25</v>
      </c>
      <c r="C331" s="102" t="s">
        <v>1728</v>
      </c>
      <c r="D331" s="102" t="s">
        <v>1729</v>
      </c>
      <c r="E331" s="102" t="s">
        <v>35</v>
      </c>
      <c r="F331" s="102">
        <v>505759575</v>
      </c>
      <c r="G331" s="102">
        <v>709015032</v>
      </c>
      <c r="H331" s="103">
        <v>5.8407669999999996</v>
      </c>
      <c r="I331" s="103">
        <v>-5.3569589999999998</v>
      </c>
      <c r="J331" s="102" t="s">
        <v>36</v>
      </c>
      <c r="K331" s="103" t="s">
        <v>190</v>
      </c>
      <c r="L331" s="103" t="s">
        <v>639</v>
      </c>
      <c r="M331" s="104" t="s">
        <v>1763</v>
      </c>
      <c r="N331" s="104">
        <v>2150016325</v>
      </c>
      <c r="O331" s="105">
        <v>45763</v>
      </c>
      <c r="P331" s="106">
        <f t="shared" ca="1" si="8"/>
        <v>305</v>
      </c>
      <c r="Q331" s="105">
        <v>45764</v>
      </c>
      <c r="R331" s="103" t="s">
        <v>30</v>
      </c>
      <c r="S331" s="103"/>
      <c r="T331" s="103">
        <v>1</v>
      </c>
      <c r="U331" s="107">
        <v>45769</v>
      </c>
      <c r="V331" s="103" t="s">
        <v>310</v>
      </c>
      <c r="W331" s="103">
        <v>350</v>
      </c>
      <c r="X331" s="108" t="s">
        <v>32</v>
      </c>
      <c r="Y331" s="103" t="s">
        <v>1521</v>
      </c>
      <c r="Z331" s="223"/>
      <c r="AA331" s="223" t="s">
        <v>1427</v>
      </c>
      <c r="AB331" s="223" t="s">
        <v>16</v>
      </c>
      <c r="AC331" s="223" t="s">
        <v>1746</v>
      </c>
    </row>
    <row r="332" spans="1:29" s="634" customFormat="1" ht="15" hidden="1" customHeight="1">
      <c r="A332" s="109" t="s">
        <v>25</v>
      </c>
      <c r="B332" s="109" t="s">
        <v>25</v>
      </c>
      <c r="C332" s="102" t="s">
        <v>1730</v>
      </c>
      <c r="D332" s="102" t="s">
        <v>1731</v>
      </c>
      <c r="E332" s="110" t="s">
        <v>983</v>
      </c>
      <c r="F332" s="102">
        <v>102303025</v>
      </c>
      <c r="G332" s="102">
        <v>709370006</v>
      </c>
      <c r="H332" s="103">
        <v>5.8306880000000003</v>
      </c>
      <c r="I332" s="103">
        <v>-5.3586739999999997</v>
      </c>
      <c r="J332" s="102" t="s">
        <v>36</v>
      </c>
      <c r="K332" s="103" t="s">
        <v>274</v>
      </c>
      <c r="L332" s="103" t="s">
        <v>1743</v>
      </c>
      <c r="M332" s="104" t="s">
        <v>1764</v>
      </c>
      <c r="N332" s="104">
        <v>2150016326</v>
      </c>
      <c r="O332" s="105">
        <v>45763</v>
      </c>
      <c r="P332" s="106">
        <f t="shared" ca="1" si="8"/>
        <v>305</v>
      </c>
      <c r="Q332" s="105">
        <v>45764</v>
      </c>
      <c r="R332" s="103" t="s">
        <v>30</v>
      </c>
      <c r="S332" s="103"/>
      <c r="T332" s="103">
        <v>3</v>
      </c>
      <c r="U332" s="107">
        <v>45769</v>
      </c>
      <c r="V332" s="103" t="s">
        <v>310</v>
      </c>
      <c r="W332" s="103">
        <v>300</v>
      </c>
      <c r="X332" s="108" t="s">
        <v>32</v>
      </c>
      <c r="Y332" s="103" t="s">
        <v>193</v>
      </c>
      <c r="Z332" s="123"/>
      <c r="AA332" s="123" t="s">
        <v>532</v>
      </c>
      <c r="AB332" s="123" t="s">
        <v>16</v>
      </c>
      <c r="AC332" s="131" t="s">
        <v>1781</v>
      </c>
    </row>
    <row r="333" spans="1:29" s="634" customFormat="1" ht="15" hidden="1" customHeight="1">
      <c r="A333" s="109" t="s">
        <v>25</v>
      </c>
      <c r="B333" s="109" t="s">
        <v>25</v>
      </c>
      <c r="C333" s="102" t="s">
        <v>1736</v>
      </c>
      <c r="D333" s="102" t="s">
        <v>1737</v>
      </c>
      <c r="E333" s="110" t="s">
        <v>84</v>
      </c>
      <c r="F333" s="102">
        <v>705074313</v>
      </c>
      <c r="G333" s="102">
        <v>705074313</v>
      </c>
      <c r="H333" s="103">
        <v>5.8311590000000004</v>
      </c>
      <c r="I333" s="103">
        <v>-5.3601789999999996</v>
      </c>
      <c r="J333" s="102" t="s">
        <v>36</v>
      </c>
      <c r="K333" s="103" t="s">
        <v>198</v>
      </c>
      <c r="L333" s="103" t="s">
        <v>896</v>
      </c>
      <c r="M333" s="104" t="s">
        <v>1751</v>
      </c>
      <c r="N333" s="104">
        <v>2150016330</v>
      </c>
      <c r="O333" s="105">
        <v>45763</v>
      </c>
      <c r="P333" s="106">
        <f t="shared" ca="1" si="8"/>
        <v>305</v>
      </c>
      <c r="Q333" s="105">
        <v>45764</v>
      </c>
      <c r="R333" s="103" t="s">
        <v>30</v>
      </c>
      <c r="S333" s="103"/>
      <c r="T333" s="103">
        <v>0</v>
      </c>
      <c r="U333" s="107">
        <v>45769</v>
      </c>
      <c r="V333" s="103" t="s">
        <v>310</v>
      </c>
      <c r="W333" s="103">
        <v>100</v>
      </c>
      <c r="X333" s="108" t="s">
        <v>32</v>
      </c>
      <c r="Y333" s="103" t="s">
        <v>343</v>
      </c>
      <c r="Z333" s="123"/>
      <c r="AA333" s="123" t="s">
        <v>532</v>
      </c>
      <c r="AB333" s="123" t="s">
        <v>16</v>
      </c>
      <c r="AC333" s="123" t="s">
        <v>1745</v>
      </c>
    </row>
    <row r="334" spans="1:29" s="634" customFormat="1" ht="15" hidden="1" customHeight="1">
      <c r="A334" s="124" t="s">
        <v>25</v>
      </c>
      <c r="B334" s="124" t="s">
        <v>25</v>
      </c>
      <c r="C334" s="222" t="s">
        <v>1734</v>
      </c>
      <c r="D334" s="222" t="s">
        <v>1735</v>
      </c>
      <c r="E334" s="228" t="s">
        <v>35</v>
      </c>
      <c r="F334" s="222">
        <v>799703483</v>
      </c>
      <c r="G334" s="222">
        <v>788977472</v>
      </c>
      <c r="H334" s="223">
        <v>5.8402089999999998</v>
      </c>
      <c r="I334" s="223">
        <v>-5.3583489999999996</v>
      </c>
      <c r="J334" s="222" t="s">
        <v>36</v>
      </c>
      <c r="K334" s="223" t="s">
        <v>190</v>
      </c>
      <c r="L334" s="223" t="s">
        <v>1263</v>
      </c>
      <c r="M334" s="224" t="s">
        <v>1749</v>
      </c>
      <c r="N334" s="224">
        <v>2150016329</v>
      </c>
      <c r="O334" s="225">
        <v>45763</v>
      </c>
      <c r="P334" s="229">
        <f t="shared" ca="1" si="8"/>
        <v>305</v>
      </c>
      <c r="Q334" s="225">
        <v>45764</v>
      </c>
      <c r="R334" s="223" t="s">
        <v>30</v>
      </c>
      <c r="S334" s="223"/>
      <c r="T334" s="223">
        <v>0</v>
      </c>
      <c r="U334" s="226">
        <v>45770</v>
      </c>
      <c r="V334" s="223" t="s">
        <v>310</v>
      </c>
      <c r="W334" s="223">
        <v>200</v>
      </c>
      <c r="X334" s="227" t="s">
        <v>32</v>
      </c>
      <c r="Y334" s="223" t="s">
        <v>193</v>
      </c>
      <c r="Z334" s="123"/>
      <c r="AA334" s="123" t="s">
        <v>532</v>
      </c>
      <c r="AB334" s="123" t="s">
        <v>16</v>
      </c>
      <c r="AC334" s="123" t="s">
        <v>1776</v>
      </c>
    </row>
    <row r="335" spans="1:29" s="634" customFormat="1" ht="15" hidden="1" customHeight="1">
      <c r="A335" s="221" t="s">
        <v>25</v>
      </c>
      <c r="B335" s="221" t="s">
        <v>25</v>
      </c>
      <c r="C335" s="222" t="s">
        <v>1757</v>
      </c>
      <c r="D335" s="222" t="s">
        <v>1758</v>
      </c>
      <c r="E335" s="222" t="s">
        <v>89</v>
      </c>
      <c r="F335" s="222">
        <v>140762575</v>
      </c>
      <c r="G335" s="222">
        <v>712450783</v>
      </c>
      <c r="H335" s="223">
        <v>5.8390690000000003</v>
      </c>
      <c r="I335" s="223">
        <v>-5.352506</v>
      </c>
      <c r="J335" s="222" t="s">
        <v>189</v>
      </c>
      <c r="K335" s="223" t="s">
        <v>190</v>
      </c>
      <c r="L335" s="223" t="s">
        <v>583</v>
      </c>
      <c r="M335" s="224" t="s">
        <v>1779</v>
      </c>
      <c r="N335" s="224">
        <v>2150016384</v>
      </c>
      <c r="O335" s="225">
        <v>45764</v>
      </c>
      <c r="P335" s="223"/>
      <c r="Q335" s="225">
        <v>45765</v>
      </c>
      <c r="R335" s="223" t="s">
        <v>30</v>
      </c>
      <c r="S335" s="223"/>
      <c r="T335" s="223">
        <v>0</v>
      </c>
      <c r="U335" s="226">
        <v>45770</v>
      </c>
      <c r="V335" s="223" t="s">
        <v>310</v>
      </c>
      <c r="W335" s="223">
        <v>150</v>
      </c>
      <c r="X335" s="227" t="s">
        <v>32</v>
      </c>
      <c r="Y335" s="223" t="s">
        <v>228</v>
      </c>
      <c r="Z335" s="123"/>
      <c r="AA335" s="123" t="s">
        <v>532</v>
      </c>
      <c r="AB335" s="123" t="s">
        <v>16</v>
      </c>
      <c r="AC335" s="131" t="s">
        <v>1783</v>
      </c>
    </row>
    <row r="336" spans="1:29" s="634" customFormat="1" ht="15" hidden="1" customHeight="1">
      <c r="A336" s="221" t="s">
        <v>25</v>
      </c>
      <c r="B336" s="221" t="s">
        <v>25</v>
      </c>
      <c r="C336" s="222" t="s">
        <v>1773</v>
      </c>
      <c r="D336" s="222" t="s">
        <v>1774</v>
      </c>
      <c r="E336" s="222" t="s">
        <v>375</v>
      </c>
      <c r="F336" s="222">
        <v>103121204</v>
      </c>
      <c r="G336" s="222">
        <v>708828482</v>
      </c>
      <c r="H336" s="223">
        <v>5.8384260000000001</v>
      </c>
      <c r="I336" s="223">
        <v>-5.3683449999999997</v>
      </c>
      <c r="J336" s="222" t="s">
        <v>36</v>
      </c>
      <c r="K336" s="223" t="s">
        <v>203</v>
      </c>
      <c r="L336" s="223" t="s">
        <v>1567</v>
      </c>
      <c r="M336" s="224" t="s">
        <v>1780</v>
      </c>
      <c r="N336" s="224">
        <v>2150016383</v>
      </c>
      <c r="O336" s="225">
        <v>45765</v>
      </c>
      <c r="P336" s="223"/>
      <c r="Q336" s="225">
        <v>45769</v>
      </c>
      <c r="R336" s="223" t="s">
        <v>30</v>
      </c>
      <c r="S336" s="223"/>
      <c r="T336" s="223">
        <v>0</v>
      </c>
      <c r="U336" s="226">
        <v>45770</v>
      </c>
      <c r="V336" s="223" t="s">
        <v>310</v>
      </c>
      <c r="W336" s="223">
        <v>500</v>
      </c>
      <c r="X336" s="227" t="s">
        <v>32</v>
      </c>
      <c r="Y336" s="223" t="s">
        <v>228</v>
      </c>
      <c r="Z336" s="24"/>
      <c r="AA336" s="24" t="s">
        <v>532</v>
      </c>
      <c r="AB336" s="24" t="s">
        <v>16</v>
      </c>
      <c r="AC336" s="24" t="s">
        <v>1807</v>
      </c>
    </row>
    <row r="337" spans="1:46" s="634" customFormat="1" ht="15" hidden="1" customHeight="1">
      <c r="A337" s="124" t="s">
        <v>25</v>
      </c>
      <c r="B337" s="124" t="s">
        <v>25</v>
      </c>
      <c r="C337" s="126" t="s">
        <v>988</v>
      </c>
      <c r="D337" s="126" t="s">
        <v>989</v>
      </c>
      <c r="E337" s="126" t="s">
        <v>990</v>
      </c>
      <c r="F337" s="126">
        <v>140013580</v>
      </c>
      <c r="G337" s="126">
        <v>706193200</v>
      </c>
      <c r="H337" s="123">
        <v>5.8329269999999998</v>
      </c>
      <c r="I337" s="123">
        <v>-5.3536999999999999</v>
      </c>
      <c r="J337" s="123" t="s">
        <v>36</v>
      </c>
      <c r="K337" s="123" t="s">
        <v>274</v>
      </c>
      <c r="L337" s="123" t="s">
        <v>1782</v>
      </c>
      <c r="M337" s="127" t="s">
        <v>1803</v>
      </c>
      <c r="N337" s="127">
        <v>2150016377</v>
      </c>
      <c r="O337" s="141">
        <v>45722</v>
      </c>
      <c r="P337" s="135">
        <f t="shared" ref="P337:P349" ca="1" si="9">TODAY()-Q337</f>
        <v>347</v>
      </c>
      <c r="Q337" s="141">
        <v>45722</v>
      </c>
      <c r="R337" s="141" t="s">
        <v>30</v>
      </c>
      <c r="S337" s="123"/>
      <c r="T337" s="123">
        <v>0</v>
      </c>
      <c r="U337" s="129">
        <v>45771</v>
      </c>
      <c r="V337" s="124" t="s">
        <v>310</v>
      </c>
      <c r="W337" s="123">
        <v>200</v>
      </c>
      <c r="X337" s="130" t="s">
        <v>32</v>
      </c>
      <c r="Y337" s="123" t="s">
        <v>193</v>
      </c>
      <c r="Z337" s="24"/>
      <c r="AA337" s="24" t="s">
        <v>532</v>
      </c>
      <c r="AB337" s="24" t="s">
        <v>16</v>
      </c>
      <c r="AC337" s="24" t="s">
        <v>1808</v>
      </c>
    </row>
    <row r="338" spans="1:46" s="634" customFormat="1" ht="15" hidden="1" customHeight="1">
      <c r="A338" s="124" t="s">
        <v>25</v>
      </c>
      <c r="B338" s="124" t="s">
        <v>25</v>
      </c>
      <c r="C338" s="126" t="s">
        <v>1606</v>
      </c>
      <c r="D338" s="126" t="s">
        <v>693</v>
      </c>
      <c r="E338" s="126" t="s">
        <v>1607</v>
      </c>
      <c r="F338" s="126">
        <v>153490155</v>
      </c>
      <c r="G338" s="126">
        <v>759860717</v>
      </c>
      <c r="H338" s="123">
        <v>5.8474110000000001</v>
      </c>
      <c r="I338" s="123">
        <v>-5.3570549999999999</v>
      </c>
      <c r="J338" s="126" t="s">
        <v>189</v>
      </c>
      <c r="K338" s="123" t="s">
        <v>190</v>
      </c>
      <c r="L338" s="123" t="s">
        <v>495</v>
      </c>
      <c r="M338" s="127" t="s">
        <v>1778</v>
      </c>
      <c r="N338" s="127">
        <v>2150016380</v>
      </c>
      <c r="O338" s="141">
        <v>45756</v>
      </c>
      <c r="P338" s="135">
        <f t="shared" ca="1" si="9"/>
        <v>313</v>
      </c>
      <c r="Q338" s="141">
        <v>45756</v>
      </c>
      <c r="R338" s="123" t="s">
        <v>30</v>
      </c>
      <c r="S338" s="123"/>
      <c r="T338" s="123">
        <v>0</v>
      </c>
      <c r="U338" s="129">
        <v>45771</v>
      </c>
      <c r="V338" s="123" t="s">
        <v>310</v>
      </c>
      <c r="W338" s="123">
        <v>150</v>
      </c>
      <c r="X338" s="130" t="s">
        <v>32</v>
      </c>
      <c r="Y338" s="123" t="s">
        <v>578</v>
      </c>
      <c r="Z338" s="24"/>
      <c r="AA338" s="24" t="s">
        <v>532</v>
      </c>
      <c r="AB338" s="24" t="s">
        <v>16</v>
      </c>
      <c r="AC338" s="24" t="s">
        <v>1809</v>
      </c>
    </row>
    <row r="339" spans="1:46" s="634" customFormat="1" ht="15" hidden="1" customHeight="1">
      <c r="A339" s="124" t="s">
        <v>25</v>
      </c>
      <c r="B339" s="124" t="s">
        <v>25</v>
      </c>
      <c r="C339" s="126" t="s">
        <v>1721</v>
      </c>
      <c r="D339" s="123" t="s">
        <v>1722</v>
      </c>
      <c r="E339" s="123"/>
      <c r="F339" s="126">
        <v>777538595</v>
      </c>
      <c r="G339" s="123"/>
      <c r="H339" s="123">
        <v>5.8505130000000003</v>
      </c>
      <c r="I339" s="123">
        <v>-5.3484579999999999</v>
      </c>
      <c r="J339" s="126" t="s">
        <v>189</v>
      </c>
      <c r="K339" s="123" t="s">
        <v>198</v>
      </c>
      <c r="L339" s="123" t="s">
        <v>1137</v>
      </c>
      <c r="M339" s="127" t="s">
        <v>1766</v>
      </c>
      <c r="N339" s="127">
        <v>2150016382</v>
      </c>
      <c r="O339" s="141">
        <v>45762</v>
      </c>
      <c r="P339" s="135">
        <f t="shared" ca="1" si="9"/>
        <v>306</v>
      </c>
      <c r="Q339" s="141">
        <v>45763</v>
      </c>
      <c r="R339" s="123" t="s">
        <v>30</v>
      </c>
      <c r="S339" s="123"/>
      <c r="T339" s="123">
        <v>1</v>
      </c>
      <c r="U339" s="129">
        <v>45771</v>
      </c>
      <c r="V339" s="123" t="s">
        <v>310</v>
      </c>
      <c r="W339" s="123">
        <v>150</v>
      </c>
      <c r="X339" s="130" t="s">
        <v>32</v>
      </c>
      <c r="Y339" s="123" t="s">
        <v>228</v>
      </c>
      <c r="Z339" s="179"/>
      <c r="AA339" s="179" t="s">
        <v>532</v>
      </c>
      <c r="AB339" s="179" t="s">
        <v>16</v>
      </c>
      <c r="AC339" s="179" t="s">
        <v>1802</v>
      </c>
    </row>
    <row r="340" spans="1:46" s="634" customFormat="1" ht="15" hidden="1" customHeight="1">
      <c r="A340" s="28" t="s">
        <v>25</v>
      </c>
      <c r="B340" s="28" t="s">
        <v>25</v>
      </c>
      <c r="C340" s="35" t="s">
        <v>1785</v>
      </c>
      <c r="D340" s="35" t="s">
        <v>1786</v>
      </c>
      <c r="E340" s="35" t="s">
        <v>621</v>
      </c>
      <c r="F340" s="35">
        <v>707735973</v>
      </c>
      <c r="G340" s="35">
        <v>707735973</v>
      </c>
      <c r="H340" s="24">
        <v>5.8526530000000001</v>
      </c>
      <c r="I340" s="24">
        <v>-5.3523360000000002</v>
      </c>
      <c r="J340" s="35" t="s">
        <v>189</v>
      </c>
      <c r="K340" s="24" t="s">
        <v>198</v>
      </c>
      <c r="L340" s="24" t="s">
        <v>516</v>
      </c>
      <c r="M340" s="36" t="s">
        <v>1810</v>
      </c>
      <c r="N340" s="36">
        <v>2150016394</v>
      </c>
      <c r="O340" s="37">
        <v>45769</v>
      </c>
      <c r="P340" s="31">
        <f t="shared" ca="1" si="9"/>
        <v>299</v>
      </c>
      <c r="Q340" s="37">
        <v>45770</v>
      </c>
      <c r="R340" s="24" t="s">
        <v>30</v>
      </c>
      <c r="S340" s="24"/>
      <c r="T340" s="24">
        <v>0</v>
      </c>
      <c r="U340" s="32">
        <v>45772</v>
      </c>
      <c r="V340" s="24" t="s">
        <v>310</v>
      </c>
      <c r="W340" s="24">
        <v>100</v>
      </c>
      <c r="X340" s="33" t="s">
        <v>32</v>
      </c>
      <c r="Y340" s="24" t="s">
        <v>343</v>
      </c>
      <c r="Z340" s="179"/>
      <c r="AA340" s="179" t="s">
        <v>532</v>
      </c>
      <c r="AB340" s="179" t="s">
        <v>16</v>
      </c>
      <c r="AC340" s="179" t="s">
        <v>1801</v>
      </c>
    </row>
    <row r="341" spans="1:46" s="634" customFormat="1" ht="15" hidden="1" customHeight="1">
      <c r="A341" s="28" t="s">
        <v>25</v>
      </c>
      <c r="B341" s="28" t="s">
        <v>25</v>
      </c>
      <c r="C341" s="35" t="s">
        <v>1787</v>
      </c>
      <c r="D341" s="35" t="s">
        <v>1788</v>
      </c>
      <c r="E341" s="35" t="s">
        <v>1004</v>
      </c>
      <c r="F341" s="35">
        <v>779754777</v>
      </c>
      <c r="G341" s="35">
        <v>779754777</v>
      </c>
      <c r="H341" s="24">
        <v>5.839874</v>
      </c>
      <c r="I341" s="24">
        <v>-5.3653849999999998</v>
      </c>
      <c r="J341" s="35" t="s">
        <v>36</v>
      </c>
      <c r="K341" s="24" t="s">
        <v>203</v>
      </c>
      <c r="L341" s="24" t="s">
        <v>1188</v>
      </c>
      <c r="M341" s="36" t="s">
        <v>1811</v>
      </c>
      <c r="N341" s="36">
        <v>2150016376</v>
      </c>
      <c r="O341" s="37">
        <v>45769</v>
      </c>
      <c r="P341" s="31">
        <f t="shared" ca="1" si="9"/>
        <v>299</v>
      </c>
      <c r="Q341" s="37">
        <v>45770</v>
      </c>
      <c r="R341" s="24" t="s">
        <v>30</v>
      </c>
      <c r="S341" s="24"/>
      <c r="T341" s="24">
        <v>0</v>
      </c>
      <c r="U341" s="32">
        <v>45772</v>
      </c>
      <c r="V341" s="24" t="s">
        <v>310</v>
      </c>
      <c r="W341" s="24">
        <v>300</v>
      </c>
      <c r="X341" s="33" t="s">
        <v>32</v>
      </c>
      <c r="Y341" s="24" t="s">
        <v>343</v>
      </c>
      <c r="Z341" s="179"/>
      <c r="AA341" s="179" t="s">
        <v>532</v>
      </c>
      <c r="AB341" s="179" t="s">
        <v>16</v>
      </c>
      <c r="AC341" s="179" t="s">
        <v>1784</v>
      </c>
    </row>
    <row r="342" spans="1:46" s="634" customFormat="1" ht="15" hidden="1" customHeight="1">
      <c r="A342" s="28" t="s">
        <v>25</v>
      </c>
      <c r="B342" s="28" t="s">
        <v>25</v>
      </c>
      <c r="C342" s="23" t="s">
        <v>1804</v>
      </c>
      <c r="D342" s="23" t="s">
        <v>1805</v>
      </c>
      <c r="E342" s="23" t="s">
        <v>1806</v>
      </c>
      <c r="F342" s="23">
        <v>711633728</v>
      </c>
      <c r="G342" s="23">
        <v>716017887</v>
      </c>
      <c r="H342" s="24">
        <v>5.8451269999999997</v>
      </c>
      <c r="I342" s="24">
        <v>-5.3654679999999999</v>
      </c>
      <c r="J342" s="23" t="s">
        <v>36</v>
      </c>
      <c r="K342" s="24" t="s">
        <v>190</v>
      </c>
      <c r="L342" s="24" t="s">
        <v>579</v>
      </c>
      <c r="M342" s="36" t="s">
        <v>1812</v>
      </c>
      <c r="N342" s="36">
        <v>2150016375</v>
      </c>
      <c r="O342" s="30">
        <v>45770</v>
      </c>
      <c r="P342" s="31">
        <f t="shared" ca="1" si="9"/>
        <v>298</v>
      </c>
      <c r="Q342" s="30">
        <v>45771</v>
      </c>
      <c r="R342" s="24" t="s">
        <v>30</v>
      </c>
      <c r="S342" s="24"/>
      <c r="T342" s="24">
        <v>1</v>
      </c>
      <c r="U342" s="32">
        <v>45772</v>
      </c>
      <c r="V342" s="24" t="s">
        <v>310</v>
      </c>
      <c r="W342" s="24">
        <v>300</v>
      </c>
      <c r="X342" s="33" t="s">
        <v>32</v>
      </c>
      <c r="Y342" s="24" t="s">
        <v>343</v>
      </c>
      <c r="Z342" s="179"/>
      <c r="AA342" s="179" t="s">
        <v>532</v>
      </c>
      <c r="AB342" s="179" t="s">
        <v>16</v>
      </c>
      <c r="AC342" s="179" t="s">
        <v>1796</v>
      </c>
    </row>
    <row r="343" spans="1:46" s="634" customFormat="1" ht="15" hidden="1" customHeight="1">
      <c r="A343" s="177" t="s">
        <v>25</v>
      </c>
      <c r="B343" s="177" t="s">
        <v>25</v>
      </c>
      <c r="C343" s="178" t="s">
        <v>1769</v>
      </c>
      <c r="D343" s="231" t="s">
        <v>1770</v>
      </c>
      <c r="E343" s="178" t="s">
        <v>84</v>
      </c>
      <c r="F343" s="178">
        <v>797059739</v>
      </c>
      <c r="G343" s="178">
        <v>797025477</v>
      </c>
      <c r="H343" s="179">
        <v>5.832471</v>
      </c>
      <c r="I343" s="179">
        <v>-5.3606379999999998</v>
      </c>
      <c r="J343" s="178" t="s">
        <v>36</v>
      </c>
      <c r="K343" s="179" t="s">
        <v>198</v>
      </c>
      <c r="L343" s="179" t="s">
        <v>894</v>
      </c>
      <c r="M343" s="179" t="s">
        <v>1820</v>
      </c>
      <c r="N343" s="179">
        <v>2150016389</v>
      </c>
      <c r="O343" s="180">
        <v>45765</v>
      </c>
      <c r="P343" s="230">
        <f t="shared" ca="1" si="9"/>
        <v>300</v>
      </c>
      <c r="Q343" s="180">
        <v>45769</v>
      </c>
      <c r="R343" s="179" t="s">
        <v>30</v>
      </c>
      <c r="S343" s="179"/>
      <c r="T343" s="179">
        <v>1</v>
      </c>
      <c r="U343" s="181">
        <v>45773</v>
      </c>
      <c r="V343" s="179" t="s">
        <v>310</v>
      </c>
      <c r="W343" s="179">
        <v>100</v>
      </c>
      <c r="X343" s="182" t="s">
        <v>32</v>
      </c>
      <c r="Y343" s="179" t="s">
        <v>627</v>
      </c>
      <c r="Z343" s="179"/>
      <c r="AA343" s="179" t="s">
        <v>532</v>
      </c>
      <c r="AB343" s="179" t="s">
        <v>16</v>
      </c>
      <c r="AC343" s="179" t="s">
        <v>1833</v>
      </c>
    </row>
    <row r="344" spans="1:46" s="622" customFormat="1" ht="15" hidden="1" customHeight="1">
      <c r="A344" s="177" t="s">
        <v>25</v>
      </c>
      <c r="B344" s="177" t="s">
        <v>25</v>
      </c>
      <c r="C344" s="178" t="s">
        <v>1771</v>
      </c>
      <c r="D344" s="231" t="s">
        <v>1772</v>
      </c>
      <c r="E344" s="178" t="s">
        <v>402</v>
      </c>
      <c r="F344" s="178">
        <v>151628147</v>
      </c>
      <c r="G344" s="178">
        <v>748641403</v>
      </c>
      <c r="H344" s="179">
        <v>5.8410460000000004</v>
      </c>
      <c r="I344" s="179">
        <v>-5.3618439999999996</v>
      </c>
      <c r="J344" s="178" t="s">
        <v>36</v>
      </c>
      <c r="K344" s="179" t="s">
        <v>190</v>
      </c>
      <c r="L344" s="179" t="s">
        <v>480</v>
      </c>
      <c r="M344" s="179" t="s">
        <v>1834</v>
      </c>
      <c r="N344" s="179">
        <v>2150016385</v>
      </c>
      <c r="O344" s="180">
        <v>45765</v>
      </c>
      <c r="P344" s="230">
        <f t="shared" ca="1" si="9"/>
        <v>300</v>
      </c>
      <c r="Q344" s="180">
        <v>45769</v>
      </c>
      <c r="R344" s="179" t="s">
        <v>30</v>
      </c>
      <c r="S344" s="179"/>
      <c r="T344" s="179">
        <v>0</v>
      </c>
      <c r="U344" s="181">
        <v>45773</v>
      </c>
      <c r="V344" s="179" t="s">
        <v>310</v>
      </c>
      <c r="W344" s="179">
        <v>200</v>
      </c>
      <c r="X344" s="182" t="s">
        <v>32</v>
      </c>
      <c r="Y344" s="179" t="s">
        <v>245</v>
      </c>
      <c r="Z344" s="232"/>
      <c r="AA344" s="232" t="s">
        <v>532</v>
      </c>
      <c r="AB344" s="232" t="s">
        <v>16</v>
      </c>
      <c r="AC344" s="90" t="s">
        <v>1798</v>
      </c>
    </row>
    <row r="345" spans="1:46" s="622" customFormat="1" ht="15" hidden="1" customHeight="1">
      <c r="A345" s="177" t="s">
        <v>25</v>
      </c>
      <c r="B345" s="177" t="s">
        <v>25</v>
      </c>
      <c r="C345" s="178" t="s">
        <v>1791</v>
      </c>
      <c r="D345" s="178" t="s">
        <v>1792</v>
      </c>
      <c r="E345" s="178" t="s">
        <v>295</v>
      </c>
      <c r="F345" s="178">
        <v>103971716</v>
      </c>
      <c r="G345" s="178">
        <v>749196979</v>
      </c>
      <c r="H345" s="179">
        <v>5.8391279999999997</v>
      </c>
      <c r="I345" s="179">
        <v>-5.3539630000000002</v>
      </c>
      <c r="J345" s="178" t="s">
        <v>189</v>
      </c>
      <c r="K345" s="179" t="s">
        <v>190</v>
      </c>
      <c r="L345" s="179" t="s">
        <v>514</v>
      </c>
      <c r="M345" s="179" t="s">
        <v>1822</v>
      </c>
      <c r="N345" s="179">
        <v>2150016391</v>
      </c>
      <c r="O345" s="180">
        <v>45770</v>
      </c>
      <c r="P345" s="230">
        <f t="shared" ca="1" si="9"/>
        <v>299</v>
      </c>
      <c r="Q345" s="180">
        <v>45770</v>
      </c>
      <c r="R345" s="179" t="s">
        <v>30</v>
      </c>
      <c r="S345" s="179"/>
      <c r="T345" s="179">
        <v>4</v>
      </c>
      <c r="U345" s="181">
        <v>45773</v>
      </c>
      <c r="V345" s="179" t="s">
        <v>310</v>
      </c>
      <c r="W345" s="179">
        <v>350</v>
      </c>
      <c r="X345" s="182" t="s">
        <v>32</v>
      </c>
      <c r="Y345" s="179" t="s">
        <v>578</v>
      </c>
      <c r="Z345" s="89"/>
      <c r="AA345" s="90" t="s">
        <v>532</v>
      </c>
      <c r="AB345" s="90" t="s">
        <v>16</v>
      </c>
      <c r="AC345" s="90" t="s">
        <v>1739</v>
      </c>
      <c r="AD345" s="623"/>
      <c r="AE345" s="623"/>
      <c r="AF345" s="623"/>
      <c r="AG345" s="623"/>
      <c r="AH345" s="623"/>
      <c r="AI345" s="623"/>
      <c r="AJ345" s="623"/>
      <c r="AK345" s="623"/>
      <c r="AL345" s="623"/>
      <c r="AM345" s="623"/>
      <c r="AN345" s="623"/>
      <c r="AO345" s="623"/>
      <c r="AP345" s="623"/>
      <c r="AQ345" s="623"/>
      <c r="AR345" s="623"/>
      <c r="AS345" s="623"/>
      <c r="AT345" s="623"/>
    </row>
    <row r="346" spans="1:46" s="622" customFormat="1" ht="15" hidden="1" customHeight="1">
      <c r="A346" s="177" t="s">
        <v>25</v>
      </c>
      <c r="B346" s="177" t="s">
        <v>25</v>
      </c>
      <c r="C346" s="178" t="s">
        <v>1793</v>
      </c>
      <c r="D346" s="178" t="s">
        <v>1794</v>
      </c>
      <c r="E346" s="178" t="s">
        <v>1795</v>
      </c>
      <c r="F346" s="178">
        <v>757201117</v>
      </c>
      <c r="G346" s="178">
        <v>564912538</v>
      </c>
      <c r="H346" s="179">
        <v>5.8330310000000001</v>
      </c>
      <c r="I346" s="179">
        <v>-5.3590049999999998</v>
      </c>
      <c r="J346" s="178" t="s">
        <v>36</v>
      </c>
      <c r="K346" s="179" t="s">
        <v>198</v>
      </c>
      <c r="L346" s="179" t="s">
        <v>1800</v>
      </c>
      <c r="M346" s="179" t="s">
        <v>1821</v>
      </c>
      <c r="N346" s="179">
        <v>2150016390</v>
      </c>
      <c r="O346" s="180">
        <v>45769</v>
      </c>
      <c r="P346" s="230">
        <f t="shared" ca="1" si="9"/>
        <v>299</v>
      </c>
      <c r="Q346" s="180">
        <v>45770</v>
      </c>
      <c r="R346" s="179" t="s">
        <v>30</v>
      </c>
      <c r="S346" s="179"/>
      <c r="T346" s="179">
        <v>2</v>
      </c>
      <c r="U346" s="181">
        <v>45773</v>
      </c>
      <c r="V346" s="179" t="s">
        <v>310</v>
      </c>
      <c r="W346" s="179">
        <v>200</v>
      </c>
      <c r="X346" s="182" t="s">
        <v>32</v>
      </c>
      <c r="Y346" s="179" t="s">
        <v>245</v>
      </c>
      <c r="Z346" s="232"/>
      <c r="AA346" s="232" t="s">
        <v>532</v>
      </c>
      <c r="AB346" s="232" t="s">
        <v>16</v>
      </c>
      <c r="AC346" s="232" t="s">
        <v>1799</v>
      </c>
    </row>
    <row r="347" spans="1:46" s="632" customFormat="1" ht="15" hidden="1" customHeight="1">
      <c r="A347" s="177" t="s">
        <v>25</v>
      </c>
      <c r="B347" s="177" t="s">
        <v>25</v>
      </c>
      <c r="C347" s="183" t="s">
        <v>1789</v>
      </c>
      <c r="D347" s="183" t="s">
        <v>1790</v>
      </c>
      <c r="E347" s="183" t="s">
        <v>289</v>
      </c>
      <c r="F347" s="183">
        <v>102244330</v>
      </c>
      <c r="G347" s="183">
        <v>747016616</v>
      </c>
      <c r="H347" s="179">
        <v>5.831734</v>
      </c>
      <c r="I347" s="179">
        <v>-5.3545780000000001</v>
      </c>
      <c r="J347" s="183" t="s">
        <v>36</v>
      </c>
      <c r="K347" s="179" t="s">
        <v>198</v>
      </c>
      <c r="L347" s="179" t="s">
        <v>538</v>
      </c>
      <c r="M347" s="179" t="s">
        <v>1823</v>
      </c>
      <c r="N347" s="179">
        <v>2150016392</v>
      </c>
      <c r="O347" s="184">
        <v>45769</v>
      </c>
      <c r="P347" s="230">
        <f t="shared" ca="1" si="9"/>
        <v>299</v>
      </c>
      <c r="Q347" s="184">
        <v>45770</v>
      </c>
      <c r="R347" s="179" t="s">
        <v>30</v>
      </c>
      <c r="S347" s="179"/>
      <c r="T347" s="179">
        <v>1</v>
      </c>
      <c r="U347" s="181">
        <v>45773</v>
      </c>
      <c r="V347" s="179" t="s">
        <v>310</v>
      </c>
      <c r="W347" s="179">
        <v>150</v>
      </c>
      <c r="X347" s="182" t="s">
        <v>32</v>
      </c>
      <c r="Y347" s="179" t="s">
        <v>533</v>
      </c>
      <c r="Z347" s="123"/>
      <c r="AA347" s="123" t="s">
        <v>532</v>
      </c>
      <c r="AB347" s="123" t="s">
        <v>16</v>
      </c>
      <c r="AC347" s="123" t="s">
        <v>1819</v>
      </c>
    </row>
    <row r="348" spans="1:46" s="632" customFormat="1" ht="15" hidden="1" customHeight="1">
      <c r="A348" s="89" t="s">
        <v>25</v>
      </c>
      <c r="B348" s="89" t="s">
        <v>25</v>
      </c>
      <c r="C348" s="306" t="s">
        <v>1061</v>
      </c>
      <c r="D348" s="306" t="s">
        <v>997</v>
      </c>
      <c r="E348" s="306" t="s">
        <v>240</v>
      </c>
      <c r="F348" s="306">
        <v>749904022</v>
      </c>
      <c r="G348" s="306">
        <v>749904022</v>
      </c>
      <c r="H348" s="232">
        <v>5.8338219999999996</v>
      </c>
      <c r="I348" s="232">
        <v>-5.3551399999999996</v>
      </c>
      <c r="J348" s="232" t="s">
        <v>36</v>
      </c>
      <c r="K348" s="232" t="s">
        <v>274</v>
      </c>
      <c r="L348" s="232" t="s">
        <v>1797</v>
      </c>
      <c r="M348" s="232" t="s">
        <v>1824</v>
      </c>
      <c r="N348" s="232">
        <v>2150016393</v>
      </c>
      <c r="O348" s="314">
        <v>45722</v>
      </c>
      <c r="P348" s="360">
        <f t="shared" ca="1" si="9"/>
        <v>342</v>
      </c>
      <c r="Q348" s="314">
        <v>45727</v>
      </c>
      <c r="R348" s="232" t="s">
        <v>30</v>
      </c>
      <c r="S348" s="232"/>
      <c r="T348" s="232">
        <v>1</v>
      </c>
      <c r="U348" s="361">
        <v>45775</v>
      </c>
      <c r="V348" s="264" t="s">
        <v>310</v>
      </c>
      <c r="W348" s="232">
        <v>150</v>
      </c>
      <c r="X348" s="301" t="s">
        <v>32</v>
      </c>
      <c r="Y348" s="232" t="s">
        <v>193</v>
      </c>
      <c r="Z348" s="123"/>
      <c r="AA348" s="123" t="s">
        <v>532</v>
      </c>
      <c r="AB348" s="123" t="s">
        <v>16</v>
      </c>
      <c r="AC348" s="123" t="s">
        <v>1739</v>
      </c>
    </row>
    <row r="349" spans="1:46" s="632" customFormat="1" ht="15" hidden="1" customHeight="1">
      <c r="A349" s="306" t="s">
        <v>25</v>
      </c>
      <c r="B349" s="264" t="s">
        <v>25</v>
      </c>
      <c r="C349" s="305" t="s">
        <v>1459</v>
      </c>
      <c r="D349" s="305" t="s">
        <v>1460</v>
      </c>
      <c r="E349" s="305" t="s">
        <v>240</v>
      </c>
      <c r="F349" s="305">
        <v>152507611</v>
      </c>
      <c r="G349" s="305">
        <v>505685631</v>
      </c>
      <c r="H349" s="232">
        <v>5.8338219999999996</v>
      </c>
      <c r="I349" s="232">
        <v>-5.3551399999999996</v>
      </c>
      <c r="J349" s="306" t="s">
        <v>36</v>
      </c>
      <c r="K349" s="232" t="s">
        <v>274</v>
      </c>
      <c r="L349" s="232" t="s">
        <v>1797</v>
      </c>
      <c r="M349" s="232" t="s">
        <v>1825</v>
      </c>
      <c r="N349" s="232">
        <v>2150016386</v>
      </c>
      <c r="O349" s="307">
        <v>45744</v>
      </c>
      <c r="P349" s="360">
        <f t="shared" ca="1" si="9"/>
        <v>324</v>
      </c>
      <c r="Q349" s="307">
        <v>45745</v>
      </c>
      <c r="R349" s="232" t="s">
        <v>30</v>
      </c>
      <c r="S349" s="232"/>
      <c r="T349" s="232">
        <v>2</v>
      </c>
      <c r="U349" s="361">
        <v>45775</v>
      </c>
      <c r="V349" s="232" t="s">
        <v>310</v>
      </c>
      <c r="W349" s="232">
        <v>200</v>
      </c>
      <c r="X349" s="301" t="s">
        <v>32</v>
      </c>
      <c r="Y349" s="232" t="s">
        <v>228</v>
      </c>
      <c r="Z349" s="123"/>
      <c r="AA349" s="123" t="s">
        <v>532</v>
      </c>
      <c r="AB349" s="123" t="s">
        <v>16</v>
      </c>
      <c r="AC349" s="123" t="s">
        <v>1835</v>
      </c>
    </row>
    <row r="350" spans="1:46" s="632" customFormat="1" ht="15" hidden="1" customHeight="1">
      <c r="A350" s="306" t="s">
        <v>25</v>
      </c>
      <c r="B350" s="264" t="s">
        <v>25</v>
      </c>
      <c r="C350" s="857" t="s">
        <v>1719</v>
      </c>
      <c r="D350" s="857" t="s">
        <v>1720</v>
      </c>
      <c r="E350" s="858" t="s">
        <v>89</v>
      </c>
      <c r="F350" s="857">
        <v>140462120</v>
      </c>
      <c r="G350" s="857">
        <v>707666864</v>
      </c>
      <c r="H350" s="90">
        <v>5.8388980000000004</v>
      </c>
      <c r="I350" s="90">
        <v>-5.348516</v>
      </c>
      <c r="J350" s="857" t="s">
        <v>189</v>
      </c>
      <c r="K350" s="90" t="s">
        <v>190</v>
      </c>
      <c r="L350" s="90" t="s">
        <v>1738</v>
      </c>
      <c r="M350" s="89" t="s">
        <v>1765</v>
      </c>
      <c r="N350" s="89">
        <v>2150016381</v>
      </c>
      <c r="O350" s="859">
        <v>45762</v>
      </c>
      <c r="P350" s="90">
        <v>14</v>
      </c>
      <c r="Q350" s="859">
        <v>45763</v>
      </c>
      <c r="R350" s="90" t="s">
        <v>192</v>
      </c>
      <c r="S350" s="90"/>
      <c r="T350" s="90">
        <v>4</v>
      </c>
      <c r="U350" s="860">
        <v>45777</v>
      </c>
      <c r="V350" s="90" t="s">
        <v>310</v>
      </c>
      <c r="W350" s="90">
        <v>300</v>
      </c>
      <c r="X350" s="89" t="s">
        <v>32</v>
      </c>
      <c r="Y350" s="89" t="s">
        <v>228</v>
      </c>
      <c r="Z350" s="123"/>
      <c r="AA350" s="123" t="s">
        <v>532</v>
      </c>
      <c r="AB350" s="123" t="s">
        <v>16</v>
      </c>
      <c r="AC350" s="123" t="s">
        <v>1831</v>
      </c>
    </row>
    <row r="351" spans="1:46" s="632" customFormat="1" ht="15" hidden="1" customHeight="1">
      <c r="A351" s="124" t="s">
        <v>25</v>
      </c>
      <c r="B351" s="124" t="s">
        <v>25</v>
      </c>
      <c r="C351" s="126" t="s">
        <v>1719</v>
      </c>
      <c r="D351" s="126" t="s">
        <v>1720</v>
      </c>
      <c r="E351" s="248" t="s">
        <v>89</v>
      </c>
      <c r="F351" s="126">
        <v>140462120</v>
      </c>
      <c r="G351" s="126">
        <v>707666864</v>
      </c>
      <c r="H351" s="123">
        <v>5.8388980000000004</v>
      </c>
      <c r="I351" s="123">
        <v>-5.348516</v>
      </c>
      <c r="J351" s="126" t="s">
        <v>189</v>
      </c>
      <c r="K351" s="123" t="s">
        <v>190</v>
      </c>
      <c r="L351" s="123" t="s">
        <v>1738</v>
      </c>
      <c r="M351" s="127" t="s">
        <v>1765</v>
      </c>
      <c r="N351" s="127">
        <v>2150016381</v>
      </c>
      <c r="O351" s="141">
        <v>45762</v>
      </c>
      <c r="P351" s="135">
        <f ca="1">TODAY()-Q351</f>
        <v>306</v>
      </c>
      <c r="Q351" s="141">
        <v>45763</v>
      </c>
      <c r="R351" s="123" t="s">
        <v>30</v>
      </c>
      <c r="S351" s="123"/>
      <c r="T351" s="123">
        <v>4</v>
      </c>
      <c r="U351" s="129">
        <v>45777</v>
      </c>
      <c r="V351" s="123" t="s">
        <v>310</v>
      </c>
      <c r="W351" s="123">
        <v>300</v>
      </c>
      <c r="X351" s="130" t="s">
        <v>32</v>
      </c>
      <c r="Y351" s="123" t="s">
        <v>228</v>
      </c>
      <c r="Z351" s="123"/>
      <c r="AA351" s="123" t="s">
        <v>532</v>
      </c>
      <c r="AB351" s="123" t="s">
        <v>16</v>
      </c>
      <c r="AC351" s="123" t="s">
        <v>1832</v>
      </c>
    </row>
    <row r="352" spans="1:46" s="632" customFormat="1" ht="15" hidden="1" customHeight="1">
      <c r="A352" s="124" t="s">
        <v>25</v>
      </c>
      <c r="B352" s="124" t="s">
        <v>25</v>
      </c>
      <c r="C352" s="126" t="s">
        <v>1753</v>
      </c>
      <c r="D352" s="126" t="s">
        <v>1754</v>
      </c>
      <c r="E352" s="126" t="s">
        <v>35</v>
      </c>
      <c r="F352" s="126">
        <v>152541074</v>
      </c>
      <c r="G352" s="126">
        <v>749252521</v>
      </c>
      <c r="H352" s="123">
        <v>5.8397680000000003</v>
      </c>
      <c r="I352" s="123">
        <v>-5.3606569999999998</v>
      </c>
      <c r="J352" s="126" t="s">
        <v>36</v>
      </c>
      <c r="K352" s="123" t="s">
        <v>190</v>
      </c>
      <c r="L352" s="123" t="s">
        <v>1077</v>
      </c>
      <c r="M352" s="127" t="s">
        <v>1838</v>
      </c>
      <c r="N352" s="127">
        <v>2150021397</v>
      </c>
      <c r="O352" s="141">
        <v>45764</v>
      </c>
      <c r="P352" s="135">
        <f ca="1">TODAY()-Q352</f>
        <v>304</v>
      </c>
      <c r="Q352" s="141">
        <v>45765</v>
      </c>
      <c r="R352" s="123" t="s">
        <v>30</v>
      </c>
      <c r="S352" s="123"/>
      <c r="T352" s="123">
        <v>1</v>
      </c>
      <c r="U352" s="129">
        <v>45777</v>
      </c>
      <c r="V352" s="123" t="s">
        <v>310</v>
      </c>
      <c r="W352" s="123">
        <v>100</v>
      </c>
      <c r="X352" s="130" t="s">
        <v>32</v>
      </c>
      <c r="Y352" s="123" t="s">
        <v>193</v>
      </c>
      <c r="Z352" s="123"/>
      <c r="AA352" s="123" t="s">
        <v>532</v>
      </c>
      <c r="AB352" s="123" t="s">
        <v>16</v>
      </c>
      <c r="AC352" s="123" t="s">
        <v>1817</v>
      </c>
    </row>
    <row r="353" spans="1:29" s="628" customFormat="1" ht="15" hidden="1" customHeight="1">
      <c r="A353" s="124" t="s">
        <v>25</v>
      </c>
      <c r="B353" s="124" t="s">
        <v>25</v>
      </c>
      <c r="C353" s="126" t="s">
        <v>1759</v>
      </c>
      <c r="D353" s="126" t="s">
        <v>1760</v>
      </c>
      <c r="E353" s="126" t="s">
        <v>25</v>
      </c>
      <c r="F353" s="126">
        <v>142379858</v>
      </c>
      <c r="G353" s="126">
        <v>757642977</v>
      </c>
      <c r="H353" s="123">
        <v>5.838222</v>
      </c>
      <c r="I353" s="123">
        <v>-5.3599420000000002</v>
      </c>
      <c r="J353" s="126" t="s">
        <v>36</v>
      </c>
      <c r="K353" s="123" t="s">
        <v>190</v>
      </c>
      <c r="L353" s="123" t="s">
        <v>642</v>
      </c>
      <c r="M353" s="127" t="s">
        <v>1839</v>
      </c>
      <c r="N353" s="127">
        <v>2150021398</v>
      </c>
      <c r="O353" s="141">
        <v>45764</v>
      </c>
      <c r="P353" s="135">
        <f ca="1">TODAY()-Q353</f>
        <v>304</v>
      </c>
      <c r="Q353" s="141">
        <v>45765</v>
      </c>
      <c r="R353" s="123" t="s">
        <v>30</v>
      </c>
      <c r="S353" s="123"/>
      <c r="T353" s="123">
        <v>2</v>
      </c>
      <c r="U353" s="129">
        <v>45777</v>
      </c>
      <c r="V353" s="123" t="s">
        <v>310</v>
      </c>
      <c r="W353" s="123">
        <v>200</v>
      </c>
      <c r="X353" s="130" t="s">
        <v>32</v>
      </c>
      <c r="Y353" s="123" t="s">
        <v>228</v>
      </c>
      <c r="Z353" s="26"/>
      <c r="AA353" s="26" t="s">
        <v>532</v>
      </c>
      <c r="AB353" s="26" t="s">
        <v>16</v>
      </c>
      <c r="AC353" s="26" t="s">
        <v>1830</v>
      </c>
    </row>
    <row r="354" spans="1:29" s="628" customFormat="1" ht="15" hidden="1" customHeight="1">
      <c r="A354" s="124" t="s">
        <v>25</v>
      </c>
      <c r="B354" s="124" t="s">
        <v>25</v>
      </c>
      <c r="C354" s="126" t="s">
        <v>1815</v>
      </c>
      <c r="D354" s="126" t="s">
        <v>1816</v>
      </c>
      <c r="E354" s="126" t="s">
        <v>621</v>
      </c>
      <c r="F354" s="126">
        <v>748897266</v>
      </c>
      <c r="G354" s="126">
        <v>594582107</v>
      </c>
      <c r="H354" s="123">
        <v>5.8519439999999996</v>
      </c>
      <c r="I354" s="123">
        <v>-5.3481610000000002</v>
      </c>
      <c r="J354" s="126" t="s">
        <v>189</v>
      </c>
      <c r="K354" s="123" t="s">
        <v>198</v>
      </c>
      <c r="L354" s="123" t="s">
        <v>1818</v>
      </c>
      <c r="M354" s="123" t="s">
        <v>1826</v>
      </c>
      <c r="N354" s="123">
        <v>2150016387</v>
      </c>
      <c r="O354" s="141">
        <v>45771</v>
      </c>
      <c r="P354" s="135">
        <f ca="1">TODAY()-Q354</f>
        <v>297</v>
      </c>
      <c r="Q354" s="141">
        <v>45772</v>
      </c>
      <c r="R354" s="123" t="s">
        <v>30</v>
      </c>
      <c r="S354" s="123"/>
      <c r="T354" s="123">
        <v>3</v>
      </c>
      <c r="U354" s="129">
        <v>45777</v>
      </c>
      <c r="V354" s="123" t="s">
        <v>310</v>
      </c>
      <c r="W354" s="123">
        <v>300</v>
      </c>
      <c r="X354" s="130" t="s">
        <v>32</v>
      </c>
      <c r="Y354" s="123" t="s">
        <v>228</v>
      </c>
      <c r="Z354" s="26"/>
      <c r="AA354" s="26" t="s">
        <v>532</v>
      </c>
      <c r="AB354" s="26" t="s">
        <v>16</v>
      </c>
      <c r="AC354" s="26" t="s">
        <v>1866</v>
      </c>
    </row>
    <row r="355" spans="1:29" s="628" customFormat="1" ht="15" hidden="1" customHeight="1">
      <c r="A355" s="124" t="s">
        <v>25</v>
      </c>
      <c r="B355" s="124" t="s">
        <v>25</v>
      </c>
      <c r="C355" s="126" t="s">
        <v>1813</v>
      </c>
      <c r="D355" s="126" t="s">
        <v>1814</v>
      </c>
      <c r="E355" s="126" t="s">
        <v>35</v>
      </c>
      <c r="F355" s="126">
        <v>102694727</v>
      </c>
      <c r="G355" s="126">
        <v>757258629</v>
      </c>
      <c r="H355" s="123">
        <v>5.8419379999999999</v>
      </c>
      <c r="I355" s="123">
        <v>-5.3573789999999999</v>
      </c>
      <c r="J355" s="126" t="s">
        <v>189</v>
      </c>
      <c r="K355" s="123" t="s">
        <v>198</v>
      </c>
      <c r="L355" s="123" t="s">
        <v>1048</v>
      </c>
      <c r="M355" s="127" t="s">
        <v>1840</v>
      </c>
      <c r="N355" s="127">
        <v>2150021395</v>
      </c>
      <c r="O355" s="141">
        <v>45770</v>
      </c>
      <c r="P355" s="123"/>
      <c r="Q355" s="141">
        <v>45772</v>
      </c>
      <c r="R355" s="123" t="s">
        <v>30</v>
      </c>
      <c r="S355" s="123"/>
      <c r="T355" s="123">
        <v>5</v>
      </c>
      <c r="U355" s="129">
        <v>45777</v>
      </c>
      <c r="V355" s="123" t="s">
        <v>310</v>
      </c>
      <c r="W355" s="123">
        <v>400</v>
      </c>
      <c r="X355" s="130" t="s">
        <v>32</v>
      </c>
      <c r="Y355" s="123" t="s">
        <v>343</v>
      </c>
      <c r="Z355" s="26"/>
      <c r="AA355" s="26" t="s">
        <v>532</v>
      </c>
      <c r="AB355" s="26" t="s">
        <v>16</v>
      </c>
      <c r="AC355" s="26" t="s">
        <v>1860</v>
      </c>
    </row>
    <row r="356" spans="1:29" s="628" customFormat="1" ht="15" hidden="1" customHeight="1">
      <c r="A356" s="124" t="s">
        <v>25</v>
      </c>
      <c r="B356" s="124" t="s">
        <v>25</v>
      </c>
      <c r="C356" s="126" t="s">
        <v>1828</v>
      </c>
      <c r="D356" s="126" t="s">
        <v>1829</v>
      </c>
      <c r="E356" s="126" t="s">
        <v>375</v>
      </c>
      <c r="F356" s="126">
        <v>798065418</v>
      </c>
      <c r="G356" s="126">
        <v>798065418</v>
      </c>
      <c r="H356" s="123">
        <v>5.8405170000000002</v>
      </c>
      <c r="I356" s="123">
        <v>-5.3665729999999998</v>
      </c>
      <c r="J356" s="126" t="s">
        <v>36</v>
      </c>
      <c r="K356" s="123" t="s">
        <v>203</v>
      </c>
      <c r="L356" s="123" t="s">
        <v>1188</v>
      </c>
      <c r="M356" s="123" t="s">
        <v>1836</v>
      </c>
      <c r="N356" s="123">
        <v>2150016388</v>
      </c>
      <c r="O356" s="141">
        <v>45772</v>
      </c>
      <c r="P356" s="135">
        <f ca="1">TODAY()-Q356</f>
        <v>296</v>
      </c>
      <c r="Q356" s="141">
        <v>45773</v>
      </c>
      <c r="R356" s="123" t="s">
        <v>30</v>
      </c>
      <c r="S356" s="123"/>
      <c r="T356" s="123">
        <v>0</v>
      </c>
      <c r="U356" s="129">
        <v>45777</v>
      </c>
      <c r="V356" s="123" t="s">
        <v>310</v>
      </c>
      <c r="W356" s="123">
        <v>150</v>
      </c>
      <c r="X356" s="130" t="s">
        <v>32</v>
      </c>
      <c r="Y356" s="123" t="s">
        <v>533</v>
      </c>
      <c r="Z356" s="26"/>
      <c r="AA356" s="26" t="s">
        <v>532</v>
      </c>
      <c r="AB356" s="26" t="s">
        <v>16</v>
      </c>
      <c r="AC356" s="26" t="s">
        <v>1859</v>
      </c>
    </row>
    <row r="357" spans="1:29" s="628" customFormat="1" ht="15" hidden="1" customHeight="1">
      <c r="A357" s="42" t="s">
        <v>25</v>
      </c>
      <c r="B357" s="42" t="s">
        <v>25</v>
      </c>
      <c r="C357" s="25" t="s">
        <v>1623</v>
      </c>
      <c r="D357" s="25" t="s">
        <v>1624</v>
      </c>
      <c r="E357" s="25" t="s">
        <v>84</v>
      </c>
      <c r="F357" s="25">
        <v>544521011</v>
      </c>
      <c r="G357" s="25">
        <v>713267063</v>
      </c>
      <c r="H357" s="26">
        <v>5.8346549999999997</v>
      </c>
      <c r="I357" s="26">
        <v>-5.3572139999999999</v>
      </c>
      <c r="J357" s="25" t="s">
        <v>36</v>
      </c>
      <c r="K357" s="26" t="s">
        <v>198</v>
      </c>
      <c r="L357" s="26" t="s">
        <v>511</v>
      </c>
      <c r="M357" s="48" t="s">
        <v>1837</v>
      </c>
      <c r="N357" s="48">
        <v>2150021396</v>
      </c>
      <c r="O357" s="43">
        <v>45756</v>
      </c>
      <c r="P357" s="44">
        <f ca="1">TODAY()-Q357</f>
        <v>312</v>
      </c>
      <c r="Q357" s="43">
        <v>45757</v>
      </c>
      <c r="R357" s="26" t="s">
        <v>30</v>
      </c>
      <c r="S357" s="26"/>
      <c r="T357" s="26">
        <v>1</v>
      </c>
      <c r="U357" s="45">
        <v>45778</v>
      </c>
      <c r="V357" s="26" t="s">
        <v>310</v>
      </c>
      <c r="W357" s="26">
        <v>500</v>
      </c>
      <c r="X357" s="46" t="s">
        <v>32</v>
      </c>
      <c r="Y357" s="26" t="s">
        <v>228</v>
      </c>
      <c r="Z357" s="26"/>
      <c r="AA357" s="26" t="s">
        <v>532</v>
      </c>
      <c r="AB357" s="26" t="s">
        <v>16</v>
      </c>
      <c r="AC357" s="26" t="s">
        <v>1867</v>
      </c>
    </row>
    <row r="358" spans="1:29" s="628" customFormat="1" ht="15" hidden="1" customHeight="1">
      <c r="A358" s="42" t="s">
        <v>25</v>
      </c>
      <c r="B358" s="42" t="s">
        <v>25</v>
      </c>
      <c r="C358" s="25" t="s">
        <v>1846</v>
      </c>
      <c r="D358" s="25" t="s">
        <v>1847</v>
      </c>
      <c r="E358" s="25" t="s">
        <v>1848</v>
      </c>
      <c r="F358" s="25">
        <v>506645161</v>
      </c>
      <c r="G358" s="25">
        <v>758886874</v>
      </c>
      <c r="H358" s="26">
        <v>5.8414549999999998</v>
      </c>
      <c r="I358" s="26">
        <v>-5.3662559999999999</v>
      </c>
      <c r="J358" s="25" t="s">
        <v>36</v>
      </c>
      <c r="K358" s="26" t="s">
        <v>203</v>
      </c>
      <c r="L358" s="26" t="s">
        <v>1132</v>
      </c>
      <c r="M358" s="48" t="s">
        <v>1870</v>
      </c>
      <c r="N358" s="48">
        <v>2150021399</v>
      </c>
      <c r="O358" s="43">
        <v>45775</v>
      </c>
      <c r="P358" s="26"/>
      <c r="Q358" s="43">
        <v>45776</v>
      </c>
      <c r="R358" s="26" t="s">
        <v>30</v>
      </c>
      <c r="S358" s="26"/>
      <c r="T358" s="26">
        <v>1</v>
      </c>
      <c r="U358" s="45">
        <v>45779</v>
      </c>
      <c r="V358" s="26" t="s">
        <v>310</v>
      </c>
      <c r="W358" s="26">
        <v>300</v>
      </c>
      <c r="X358" s="46" t="s">
        <v>32</v>
      </c>
      <c r="Y358" s="26" t="s">
        <v>578</v>
      </c>
      <c r="Z358" s="26"/>
      <c r="AA358" s="26" t="s">
        <v>532</v>
      </c>
      <c r="AB358" s="26" t="s">
        <v>16</v>
      </c>
      <c r="AC358" s="26" t="s">
        <v>1867</v>
      </c>
    </row>
    <row r="359" spans="1:29" s="638" customFormat="1" ht="15" hidden="1" customHeight="1">
      <c r="A359" s="42" t="s">
        <v>25</v>
      </c>
      <c r="B359" s="42" t="s">
        <v>25</v>
      </c>
      <c r="C359" s="25" t="s">
        <v>1857</v>
      </c>
      <c r="D359" s="25" t="s">
        <v>1847</v>
      </c>
      <c r="E359" s="25" t="s">
        <v>1858</v>
      </c>
      <c r="F359" s="25">
        <v>758886874</v>
      </c>
      <c r="G359" s="25">
        <v>506648161</v>
      </c>
      <c r="H359" s="26">
        <v>5.8413779999999997</v>
      </c>
      <c r="I359" s="26">
        <v>-5.3663509999999999</v>
      </c>
      <c r="J359" s="25" t="s">
        <v>36</v>
      </c>
      <c r="K359" s="26" t="s">
        <v>203</v>
      </c>
      <c r="L359" s="26" t="s">
        <v>1132</v>
      </c>
      <c r="M359" s="48" t="s">
        <v>1874</v>
      </c>
      <c r="N359" s="48">
        <v>2150021392</v>
      </c>
      <c r="O359" s="43">
        <v>45775</v>
      </c>
      <c r="P359" s="26"/>
      <c r="Q359" s="43">
        <v>45776</v>
      </c>
      <c r="R359" s="26" t="s">
        <v>30</v>
      </c>
      <c r="S359" s="26"/>
      <c r="T359" s="26">
        <v>1</v>
      </c>
      <c r="U359" s="45">
        <v>45779</v>
      </c>
      <c r="V359" s="26" t="s">
        <v>310</v>
      </c>
      <c r="W359" s="26">
        <v>300</v>
      </c>
      <c r="X359" s="46" t="s">
        <v>32</v>
      </c>
      <c r="Y359" s="26" t="s">
        <v>533</v>
      </c>
      <c r="Z359" s="236"/>
      <c r="AA359" s="236" t="s">
        <v>532</v>
      </c>
      <c r="AB359" s="236" t="s">
        <v>16</v>
      </c>
      <c r="AC359" s="236" t="s">
        <v>1866</v>
      </c>
    </row>
    <row r="360" spans="1:29" s="638" customFormat="1" ht="15" hidden="1" customHeight="1">
      <c r="A360" s="42" t="s">
        <v>25</v>
      </c>
      <c r="B360" s="42" t="s">
        <v>25</v>
      </c>
      <c r="C360" s="25" t="s">
        <v>1851</v>
      </c>
      <c r="D360" s="25" t="s">
        <v>1852</v>
      </c>
      <c r="E360" s="25" t="s">
        <v>1853</v>
      </c>
      <c r="F360" s="25">
        <v>151175925</v>
      </c>
      <c r="G360" s="25">
        <v>708459896</v>
      </c>
      <c r="H360" s="26">
        <v>5.8343100000000003</v>
      </c>
      <c r="I360" s="26">
        <v>-5.3617509999999999</v>
      </c>
      <c r="J360" s="25" t="s">
        <v>36</v>
      </c>
      <c r="K360" s="26" t="s">
        <v>198</v>
      </c>
      <c r="L360" s="26" t="s">
        <v>950</v>
      </c>
      <c r="M360" s="48" t="s">
        <v>1872</v>
      </c>
      <c r="N360" s="48">
        <v>2150021401</v>
      </c>
      <c r="O360" s="43">
        <v>45775</v>
      </c>
      <c r="P360" s="26"/>
      <c r="Q360" s="43">
        <v>45776</v>
      </c>
      <c r="R360" s="26" t="s">
        <v>30</v>
      </c>
      <c r="S360" s="26"/>
      <c r="T360" s="26">
        <v>1</v>
      </c>
      <c r="U360" s="45">
        <v>45779</v>
      </c>
      <c r="V360" s="26" t="s">
        <v>310</v>
      </c>
      <c r="W360" s="26">
        <v>100</v>
      </c>
      <c r="X360" s="46" t="s">
        <v>32</v>
      </c>
      <c r="Y360" s="26"/>
      <c r="Z360" s="236"/>
      <c r="AA360" s="236" t="s">
        <v>532</v>
      </c>
      <c r="AB360" s="236" t="s">
        <v>16</v>
      </c>
      <c r="AC360" s="236" t="s">
        <v>1866</v>
      </c>
    </row>
    <row r="361" spans="1:29" s="634" customFormat="1" ht="14.4" hidden="1" customHeight="1">
      <c r="A361" s="42" t="s">
        <v>25</v>
      </c>
      <c r="B361" s="42" t="s">
        <v>25</v>
      </c>
      <c r="C361" s="25" t="s">
        <v>87</v>
      </c>
      <c r="D361" s="25" t="s">
        <v>1841</v>
      </c>
      <c r="E361" s="248" t="s">
        <v>89</v>
      </c>
      <c r="F361" s="25">
        <v>758606274</v>
      </c>
      <c r="G361" s="25">
        <v>102191366</v>
      </c>
      <c r="H361" s="26">
        <v>5.8533819999999999</v>
      </c>
      <c r="I361" s="26">
        <v>-5.3512959999999996</v>
      </c>
      <c r="J361" s="25" t="s">
        <v>189</v>
      </c>
      <c r="K361" s="26" t="s">
        <v>1869</v>
      </c>
      <c r="L361" s="26" t="s">
        <v>1868</v>
      </c>
      <c r="M361" s="233" t="s">
        <v>312</v>
      </c>
      <c r="N361" s="233">
        <v>2150011929</v>
      </c>
      <c r="O361" s="43">
        <v>45685</v>
      </c>
      <c r="P361" s="26"/>
      <c r="Q361" s="43">
        <v>45776</v>
      </c>
      <c r="R361" s="26" t="s">
        <v>30</v>
      </c>
      <c r="S361" s="26"/>
      <c r="T361" s="26">
        <v>1</v>
      </c>
      <c r="U361" s="45">
        <v>45779</v>
      </c>
      <c r="V361" s="26" t="s">
        <v>310</v>
      </c>
      <c r="W361" s="26">
        <v>100</v>
      </c>
      <c r="X361" s="46" t="s">
        <v>32</v>
      </c>
      <c r="Y361" s="26"/>
      <c r="Z361" s="68"/>
      <c r="AA361" s="68" t="s">
        <v>532</v>
      </c>
      <c r="AB361" s="241" t="s">
        <v>16</v>
      </c>
      <c r="AC361" s="68" t="s">
        <v>1880</v>
      </c>
    </row>
    <row r="362" spans="1:29" s="634" customFormat="1" ht="15" hidden="1" customHeight="1">
      <c r="A362" s="42" t="s">
        <v>25</v>
      </c>
      <c r="B362" s="42" t="s">
        <v>25</v>
      </c>
      <c r="C362" s="25" t="s">
        <v>1861</v>
      </c>
      <c r="D362" s="25" t="s">
        <v>1862</v>
      </c>
      <c r="E362" s="25" t="s">
        <v>1863</v>
      </c>
      <c r="F362" s="25">
        <v>709536927</v>
      </c>
      <c r="G362" s="25">
        <v>544274383</v>
      </c>
      <c r="H362" s="26">
        <v>5.8523319999999996</v>
      </c>
      <c r="I362" s="26">
        <v>-5.3564400000000001</v>
      </c>
      <c r="J362" s="25" t="s">
        <v>189</v>
      </c>
      <c r="K362" s="26" t="s">
        <v>198</v>
      </c>
      <c r="L362" s="26" t="s">
        <v>1307</v>
      </c>
      <c r="M362" s="48" t="s">
        <v>1875</v>
      </c>
      <c r="N362" s="48">
        <v>2150021390</v>
      </c>
      <c r="O362" s="43">
        <v>45776</v>
      </c>
      <c r="P362" s="26"/>
      <c r="Q362" s="43">
        <v>45777</v>
      </c>
      <c r="R362" s="26" t="s">
        <v>30</v>
      </c>
      <c r="S362" s="26"/>
      <c r="T362" s="26">
        <v>1</v>
      </c>
      <c r="U362" s="45">
        <v>45779</v>
      </c>
      <c r="V362" s="26" t="s">
        <v>310</v>
      </c>
      <c r="W362" s="26">
        <v>150</v>
      </c>
      <c r="X362" s="46" t="s">
        <v>32</v>
      </c>
      <c r="Y362" s="26"/>
      <c r="Z362" s="68"/>
      <c r="AA362" s="68" t="s">
        <v>532</v>
      </c>
      <c r="AB362" s="68" t="s">
        <v>16</v>
      </c>
      <c r="AC362" s="68" t="s">
        <v>1893</v>
      </c>
    </row>
    <row r="363" spans="1:29" s="627" customFormat="1" ht="15" hidden="1" customHeight="1">
      <c r="A363" s="234" t="s">
        <v>25</v>
      </c>
      <c r="B363" s="234" t="s">
        <v>25</v>
      </c>
      <c r="C363" s="235" t="s">
        <v>1854</v>
      </c>
      <c r="D363" s="235" t="s">
        <v>1855</v>
      </c>
      <c r="E363" s="235" t="s">
        <v>1856</v>
      </c>
      <c r="F363" s="235">
        <v>719628169</v>
      </c>
      <c r="G363" s="235">
        <v>719628169</v>
      </c>
      <c r="H363" s="236">
        <v>5.8385109999999996</v>
      </c>
      <c r="I363" s="236">
        <v>-5.3461379999999998</v>
      </c>
      <c r="J363" s="235" t="s">
        <v>189</v>
      </c>
      <c r="K363" s="236" t="s">
        <v>198</v>
      </c>
      <c r="L363" s="236" t="s">
        <v>625</v>
      </c>
      <c r="M363" s="237" t="s">
        <v>1873</v>
      </c>
      <c r="N363" s="237">
        <v>2150021393</v>
      </c>
      <c r="O363" s="238">
        <v>45775</v>
      </c>
      <c r="P363" s="236"/>
      <c r="Q363" s="238">
        <v>45776</v>
      </c>
      <c r="R363" s="236" t="s">
        <v>30</v>
      </c>
      <c r="S363" s="236"/>
      <c r="T363" s="236">
        <v>1</v>
      </c>
      <c r="U363" s="239">
        <v>45780</v>
      </c>
      <c r="V363" s="236" t="s">
        <v>310</v>
      </c>
      <c r="W363" s="236">
        <v>500</v>
      </c>
      <c r="X363" s="240" t="s">
        <v>32</v>
      </c>
      <c r="Y363" s="236"/>
      <c r="Z363" s="24"/>
      <c r="AA363" s="24" t="s">
        <v>532</v>
      </c>
      <c r="AB363" s="24" t="s">
        <v>16</v>
      </c>
      <c r="AC363" s="24" t="s">
        <v>1910</v>
      </c>
    </row>
    <row r="364" spans="1:29" s="627" customFormat="1" ht="15" hidden="1" customHeight="1">
      <c r="A364" s="234" t="s">
        <v>25</v>
      </c>
      <c r="B364" s="234" t="s">
        <v>25</v>
      </c>
      <c r="C364" s="235" t="s">
        <v>1864</v>
      </c>
      <c r="D364" s="235" t="s">
        <v>1862</v>
      </c>
      <c r="E364" s="235" t="s">
        <v>1865</v>
      </c>
      <c r="F364" s="235">
        <v>709536927</v>
      </c>
      <c r="G364" s="235">
        <v>544274383</v>
      </c>
      <c r="H364" s="236">
        <v>5.830438</v>
      </c>
      <c r="I364" s="236">
        <v>-5.3579850000000002</v>
      </c>
      <c r="J364" s="235" t="s">
        <v>36</v>
      </c>
      <c r="K364" s="236" t="s">
        <v>274</v>
      </c>
      <c r="L364" s="236" t="s">
        <v>521</v>
      </c>
      <c r="M364" s="237" t="s">
        <v>1876</v>
      </c>
      <c r="N364" s="237">
        <v>2150021391</v>
      </c>
      <c r="O364" s="238">
        <v>45776</v>
      </c>
      <c r="P364" s="236"/>
      <c r="Q364" s="238">
        <v>45777</v>
      </c>
      <c r="R364" s="236" t="s">
        <v>30</v>
      </c>
      <c r="S364" s="236"/>
      <c r="T364" s="236">
        <v>1</v>
      </c>
      <c r="U364" s="239">
        <v>45780</v>
      </c>
      <c r="V364" s="236" t="s">
        <v>310</v>
      </c>
      <c r="W364" s="236">
        <v>300</v>
      </c>
      <c r="X364" s="240" t="s">
        <v>32</v>
      </c>
      <c r="Y364" s="236"/>
      <c r="Z364" s="24"/>
      <c r="AA364" s="24" t="s">
        <v>532</v>
      </c>
      <c r="AB364" s="24" t="s">
        <v>16</v>
      </c>
      <c r="AC364" s="24" t="s">
        <v>1911</v>
      </c>
    </row>
    <row r="365" spans="1:29" s="627" customFormat="1" ht="15" hidden="1" customHeight="1">
      <c r="A365" s="67" t="s">
        <v>25</v>
      </c>
      <c r="B365" s="67" t="s">
        <v>25</v>
      </c>
      <c r="C365" s="66" t="s">
        <v>1877</v>
      </c>
      <c r="D365" s="66" t="s">
        <v>1878</v>
      </c>
      <c r="E365" s="74" t="s">
        <v>1879</v>
      </c>
      <c r="F365" s="66">
        <v>101380038</v>
      </c>
      <c r="G365" s="66">
        <v>747223419</v>
      </c>
      <c r="H365" s="68">
        <v>5.8443069999999997</v>
      </c>
      <c r="I365" s="68">
        <v>-5.3573389999999996</v>
      </c>
      <c r="J365" s="66" t="s">
        <v>189</v>
      </c>
      <c r="K365" s="68" t="s">
        <v>203</v>
      </c>
      <c r="L365" s="68" t="s">
        <v>1048</v>
      </c>
      <c r="M365" s="77" t="s">
        <v>1891</v>
      </c>
      <c r="N365" s="77">
        <v>2150021394</v>
      </c>
      <c r="O365" s="69">
        <v>45777</v>
      </c>
      <c r="P365" s="68"/>
      <c r="Q365" s="69">
        <v>45779</v>
      </c>
      <c r="R365" s="241" t="s">
        <v>30</v>
      </c>
      <c r="S365" s="241"/>
      <c r="T365" s="241">
        <v>0</v>
      </c>
      <c r="U365" s="71">
        <v>45782</v>
      </c>
      <c r="V365" s="68" t="s">
        <v>310</v>
      </c>
      <c r="W365" s="68">
        <v>300</v>
      </c>
      <c r="X365" s="72" t="s">
        <v>32</v>
      </c>
      <c r="Y365" s="68" t="s">
        <v>343</v>
      </c>
      <c r="Z365" s="24"/>
      <c r="AA365" s="24" t="s">
        <v>532</v>
      </c>
      <c r="AB365" s="24" t="s">
        <v>16</v>
      </c>
      <c r="AC365" s="24" t="s">
        <v>1909</v>
      </c>
    </row>
    <row r="366" spans="1:29" s="627" customFormat="1" ht="15" hidden="1" customHeight="1">
      <c r="A366" s="67" t="s">
        <v>25</v>
      </c>
      <c r="B366" s="67" t="s">
        <v>25</v>
      </c>
      <c r="C366" s="74" t="s">
        <v>1885</v>
      </c>
      <c r="D366" s="74" t="s">
        <v>1886</v>
      </c>
      <c r="E366" s="74" t="s">
        <v>41</v>
      </c>
      <c r="F366" s="74">
        <v>143459456</v>
      </c>
      <c r="G366" s="74">
        <v>748944257</v>
      </c>
      <c r="H366" s="68">
        <v>5.844741</v>
      </c>
      <c r="I366" s="68">
        <v>-5.3518509999999999</v>
      </c>
      <c r="J366" s="74" t="s">
        <v>189</v>
      </c>
      <c r="K366" s="68" t="s">
        <v>203</v>
      </c>
      <c r="L366" s="68" t="s">
        <v>280</v>
      </c>
      <c r="M366" s="77" t="s">
        <v>1892</v>
      </c>
      <c r="N366" s="77">
        <v>2150021406</v>
      </c>
      <c r="O366" s="242">
        <v>45779</v>
      </c>
      <c r="P366" s="68"/>
      <c r="Q366" s="242">
        <v>45780</v>
      </c>
      <c r="R366" s="68" t="s">
        <v>30</v>
      </c>
      <c r="S366" s="68"/>
      <c r="T366" s="68">
        <v>1</v>
      </c>
      <c r="U366" s="71">
        <v>45782</v>
      </c>
      <c r="V366" s="68" t="s">
        <v>310</v>
      </c>
      <c r="W366" s="68">
        <v>150</v>
      </c>
      <c r="X366" s="72" t="s">
        <v>32</v>
      </c>
      <c r="Y366" s="68" t="s">
        <v>245</v>
      </c>
      <c r="Z366" s="24"/>
      <c r="AA366" s="24" t="s">
        <v>532</v>
      </c>
      <c r="AB366" s="24" t="s">
        <v>16</v>
      </c>
      <c r="AC366" s="24" t="s">
        <v>1912</v>
      </c>
    </row>
    <row r="367" spans="1:29" s="634" customFormat="1" ht="15" hidden="1" customHeight="1">
      <c r="A367" s="28" t="s">
        <v>25</v>
      </c>
      <c r="B367" s="28" t="s">
        <v>25</v>
      </c>
      <c r="C367" s="29" t="s">
        <v>1897</v>
      </c>
      <c r="D367" s="29" t="s">
        <v>1898</v>
      </c>
      <c r="E367" s="29" t="s">
        <v>885</v>
      </c>
      <c r="F367" s="29">
        <v>747689837</v>
      </c>
      <c r="G367" s="29">
        <v>504493704</v>
      </c>
      <c r="H367" s="24">
        <v>5.8440190000000003</v>
      </c>
      <c r="I367" s="24">
        <v>-5.3650919999999998</v>
      </c>
      <c r="J367" s="29" t="s">
        <v>36</v>
      </c>
      <c r="K367" s="24" t="s">
        <v>190</v>
      </c>
      <c r="L367" s="24" t="s">
        <v>423</v>
      </c>
      <c r="M367" s="36" t="s">
        <v>1913</v>
      </c>
      <c r="N367" s="36">
        <v>2150021407</v>
      </c>
      <c r="O367" s="40">
        <v>45782</v>
      </c>
      <c r="P367" s="24"/>
      <c r="Q367" s="40">
        <v>45783</v>
      </c>
      <c r="R367" s="24" t="s">
        <v>30</v>
      </c>
      <c r="S367" s="24"/>
      <c r="T367" s="24">
        <v>2</v>
      </c>
      <c r="U367" s="32">
        <v>45784</v>
      </c>
      <c r="V367" s="24" t="s">
        <v>310</v>
      </c>
      <c r="W367" s="24">
        <v>500</v>
      </c>
      <c r="X367" s="33" t="s">
        <v>32</v>
      </c>
      <c r="Y367" s="24" t="s">
        <v>578</v>
      </c>
      <c r="Z367" s="103"/>
      <c r="AA367" s="103" t="s">
        <v>532</v>
      </c>
      <c r="AB367" s="103" t="s">
        <v>16</v>
      </c>
      <c r="AC367" s="103" t="s">
        <v>1945</v>
      </c>
    </row>
    <row r="368" spans="1:29" s="634" customFormat="1" ht="15" hidden="1" customHeight="1">
      <c r="A368" s="28" t="s">
        <v>25</v>
      </c>
      <c r="B368" s="28" t="s">
        <v>25</v>
      </c>
      <c r="C368" s="29" t="s">
        <v>1901</v>
      </c>
      <c r="D368" s="29" t="s">
        <v>1902</v>
      </c>
      <c r="E368" s="29" t="s">
        <v>1903</v>
      </c>
      <c r="F368" s="29">
        <v>717341520</v>
      </c>
      <c r="G368" s="29">
        <v>717341520</v>
      </c>
      <c r="H368" s="24">
        <v>5.839931</v>
      </c>
      <c r="I368" s="24">
        <v>-5.3598470000000002</v>
      </c>
      <c r="J368" s="29" t="s">
        <v>36</v>
      </c>
      <c r="K368" s="24" t="s">
        <v>190</v>
      </c>
      <c r="L368" s="24" t="s">
        <v>1350</v>
      </c>
      <c r="M368" s="36" t="s">
        <v>1915</v>
      </c>
      <c r="N368" s="36">
        <v>2150021404</v>
      </c>
      <c r="O368" s="40">
        <v>45782</v>
      </c>
      <c r="P368" s="24"/>
      <c r="Q368" s="40">
        <v>45783</v>
      </c>
      <c r="R368" s="24" t="s">
        <v>30</v>
      </c>
      <c r="S368" s="24"/>
      <c r="T368" s="24">
        <v>0</v>
      </c>
      <c r="U368" s="32">
        <v>45784</v>
      </c>
      <c r="V368" s="24" t="s">
        <v>310</v>
      </c>
      <c r="W368" s="24">
        <v>150</v>
      </c>
      <c r="X368" s="33" t="s">
        <v>32</v>
      </c>
      <c r="Y368" s="24" t="s">
        <v>245</v>
      </c>
      <c r="Z368" s="103"/>
      <c r="AA368" s="103" t="s">
        <v>532</v>
      </c>
      <c r="AB368" s="103" t="s">
        <v>16</v>
      </c>
      <c r="AC368" s="103" t="s">
        <v>1943</v>
      </c>
    </row>
    <row r="369" spans="1:29" s="639" customFormat="1" ht="15" hidden="1" customHeight="1">
      <c r="A369" s="28" t="s">
        <v>25</v>
      </c>
      <c r="B369" s="28" t="s">
        <v>25</v>
      </c>
      <c r="C369" s="29" t="s">
        <v>1899</v>
      </c>
      <c r="D369" s="29" t="s">
        <v>1900</v>
      </c>
      <c r="E369" s="29" t="s">
        <v>375</v>
      </c>
      <c r="F369" s="29">
        <v>103080990</v>
      </c>
      <c r="G369" s="29">
        <v>504384818</v>
      </c>
      <c r="H369" s="24">
        <v>5.8396790000000003</v>
      </c>
      <c r="I369" s="24">
        <v>-5.3658479999999997</v>
      </c>
      <c r="J369" s="29" t="s">
        <v>36</v>
      </c>
      <c r="K369" s="24" t="s">
        <v>198</v>
      </c>
      <c r="L369" s="24" t="s">
        <v>1188</v>
      </c>
      <c r="M369" s="36" t="s">
        <v>1914</v>
      </c>
      <c r="N369" s="36">
        <v>2150021403</v>
      </c>
      <c r="O369" s="40">
        <v>45782</v>
      </c>
      <c r="P369" s="24"/>
      <c r="Q369" s="40">
        <v>45783</v>
      </c>
      <c r="R369" s="24" t="s">
        <v>30</v>
      </c>
      <c r="S369" s="24"/>
      <c r="T369" s="24"/>
      <c r="U369" s="32">
        <v>45784</v>
      </c>
      <c r="V369" s="24" t="s">
        <v>310</v>
      </c>
      <c r="W369" s="24">
        <v>150</v>
      </c>
      <c r="X369" s="33" t="s">
        <v>32</v>
      </c>
      <c r="Y369" s="24" t="s">
        <v>578</v>
      </c>
      <c r="Z369" s="367"/>
      <c r="AA369" s="367" t="s">
        <v>532</v>
      </c>
      <c r="AB369" s="367" t="s">
        <v>16</v>
      </c>
      <c r="AC369" s="367" t="s">
        <v>1940</v>
      </c>
    </row>
    <row r="370" spans="1:29" s="639" customFormat="1" ht="15" hidden="1" customHeight="1">
      <c r="A370" s="28" t="s">
        <v>25</v>
      </c>
      <c r="B370" s="28" t="s">
        <v>25</v>
      </c>
      <c r="C370" s="29" t="s">
        <v>1904</v>
      </c>
      <c r="D370" s="29" t="s">
        <v>1905</v>
      </c>
      <c r="E370" s="29" t="s">
        <v>295</v>
      </c>
      <c r="F370" s="29">
        <v>747125691</v>
      </c>
      <c r="G370" s="29">
        <v>544724421</v>
      </c>
      <c r="H370" s="24">
        <v>5.8310529999999998</v>
      </c>
      <c r="I370" s="24">
        <v>-5.3545360000000004</v>
      </c>
      <c r="J370" s="29" t="s">
        <v>36</v>
      </c>
      <c r="K370" s="24" t="s">
        <v>274</v>
      </c>
      <c r="L370" s="24" t="s">
        <v>538</v>
      </c>
      <c r="M370" s="36" t="s">
        <v>1916</v>
      </c>
      <c r="N370" s="36">
        <v>2150021405</v>
      </c>
      <c r="O370" s="40">
        <v>45782</v>
      </c>
      <c r="P370" s="24"/>
      <c r="Q370" s="40">
        <v>45783</v>
      </c>
      <c r="R370" s="24" t="s">
        <v>30</v>
      </c>
      <c r="S370" s="24"/>
      <c r="T370" s="24">
        <v>1</v>
      </c>
      <c r="U370" s="32">
        <v>45784</v>
      </c>
      <c r="V370" s="24" t="s">
        <v>310</v>
      </c>
      <c r="W370" s="24">
        <v>250</v>
      </c>
      <c r="X370" s="33" t="s">
        <v>32</v>
      </c>
      <c r="Y370" s="24" t="s">
        <v>578</v>
      </c>
      <c r="Z370" s="367"/>
      <c r="AA370" s="367" t="s">
        <v>532</v>
      </c>
      <c r="AB370" s="367" t="s">
        <v>16</v>
      </c>
      <c r="AC370" s="367" t="s">
        <v>1939</v>
      </c>
    </row>
    <row r="371" spans="1:29" s="639" customFormat="1" ht="15" hidden="1" customHeight="1">
      <c r="A371" s="109" t="s">
        <v>25</v>
      </c>
      <c r="B371" s="109" t="s">
        <v>25</v>
      </c>
      <c r="C371" s="110" t="s">
        <v>1926</v>
      </c>
      <c r="D371" s="110" t="s">
        <v>1927</v>
      </c>
      <c r="E371" s="110" t="s">
        <v>1934</v>
      </c>
      <c r="F371" s="110">
        <v>103312261</v>
      </c>
      <c r="G371" s="110">
        <v>708386759</v>
      </c>
      <c r="H371" s="103">
        <v>5.8459519999999996</v>
      </c>
      <c r="I371" s="103">
        <v>-5.3652629999999997</v>
      </c>
      <c r="J371" s="110" t="s">
        <v>36</v>
      </c>
      <c r="K371" s="103" t="s">
        <v>190</v>
      </c>
      <c r="L371" s="103" t="s">
        <v>579</v>
      </c>
      <c r="M371" s="104" t="s">
        <v>1946</v>
      </c>
      <c r="N371" s="104">
        <v>2150021402</v>
      </c>
      <c r="O371" s="111">
        <v>45784</v>
      </c>
      <c r="P371" s="103"/>
      <c r="Q371" s="111">
        <v>45785</v>
      </c>
      <c r="R371" s="103" t="s">
        <v>30</v>
      </c>
      <c r="S371" s="103"/>
      <c r="T371" s="103">
        <v>0</v>
      </c>
      <c r="U371" s="107">
        <v>45786</v>
      </c>
      <c r="V371" s="103" t="s">
        <v>310</v>
      </c>
      <c r="W371" s="103">
        <v>50</v>
      </c>
      <c r="X371" s="108" t="s">
        <v>32</v>
      </c>
      <c r="Y371" s="103" t="s">
        <v>533</v>
      </c>
      <c r="Z371" s="367"/>
      <c r="AA371" s="367" t="s">
        <v>532</v>
      </c>
      <c r="AB371" s="367" t="s">
        <v>16</v>
      </c>
      <c r="AC371" s="367" t="s">
        <v>1944</v>
      </c>
    </row>
    <row r="372" spans="1:29" s="639" customFormat="1" ht="15" hidden="1" customHeight="1">
      <c r="A372" s="109" t="s">
        <v>25</v>
      </c>
      <c r="B372" s="109" t="s">
        <v>25</v>
      </c>
      <c r="C372" s="110" t="s">
        <v>1928</v>
      </c>
      <c r="D372" s="110" t="s">
        <v>1929</v>
      </c>
      <c r="E372" s="110" t="s">
        <v>35</v>
      </c>
      <c r="F372" s="110">
        <v>502477177</v>
      </c>
      <c r="G372" s="110">
        <v>747578876</v>
      </c>
      <c r="H372" s="103">
        <v>5.8419369999999997</v>
      </c>
      <c r="I372" s="103">
        <v>-5.3570529999999996</v>
      </c>
      <c r="J372" s="110" t="s">
        <v>189</v>
      </c>
      <c r="K372" s="103" t="s">
        <v>203</v>
      </c>
      <c r="L372" s="103" t="s">
        <v>1048</v>
      </c>
      <c r="M372" s="104" t="s">
        <v>1871</v>
      </c>
      <c r="N372" s="104">
        <v>2150021400</v>
      </c>
      <c r="O372" s="111">
        <v>45784</v>
      </c>
      <c r="P372" s="103"/>
      <c r="Q372" s="111">
        <v>45785</v>
      </c>
      <c r="R372" s="103" t="s">
        <v>30</v>
      </c>
      <c r="S372" s="103"/>
      <c r="T372" s="103">
        <v>1</v>
      </c>
      <c r="U372" s="107">
        <v>45786</v>
      </c>
      <c r="V372" s="103" t="s">
        <v>310</v>
      </c>
      <c r="W372" s="103">
        <v>500</v>
      </c>
      <c r="X372" s="108" t="s">
        <v>32</v>
      </c>
      <c r="Y372" s="103" t="s">
        <v>578</v>
      </c>
      <c r="Z372" s="367"/>
      <c r="AA372" s="367" t="s">
        <v>532</v>
      </c>
      <c r="AB372" s="367" t="s">
        <v>16</v>
      </c>
      <c r="AC372" s="367" t="s">
        <v>1941</v>
      </c>
    </row>
    <row r="373" spans="1:29" s="639" customFormat="1" ht="15" hidden="1" customHeight="1">
      <c r="A373" s="366" t="s">
        <v>25</v>
      </c>
      <c r="B373" s="366" t="s">
        <v>25</v>
      </c>
      <c r="C373" s="370" t="s">
        <v>1895</v>
      </c>
      <c r="D373" s="370" t="s">
        <v>1896</v>
      </c>
      <c r="E373" s="370" t="s">
        <v>110</v>
      </c>
      <c r="F373" s="370">
        <v>504355816</v>
      </c>
      <c r="G373" s="370">
        <v>758527838</v>
      </c>
      <c r="H373" s="367">
        <v>5.8448039999999999</v>
      </c>
      <c r="I373" s="367">
        <v>-5.3413180000000002</v>
      </c>
      <c r="J373" s="370" t="s">
        <v>189</v>
      </c>
      <c r="K373" s="367" t="s">
        <v>274</v>
      </c>
      <c r="L373" s="367" t="s">
        <v>283</v>
      </c>
      <c r="M373" s="812" t="s">
        <v>1959</v>
      </c>
      <c r="N373" s="812">
        <v>2150022478</v>
      </c>
      <c r="O373" s="814">
        <v>45782</v>
      </c>
      <c r="P373" s="367"/>
      <c r="Q373" s="814">
        <v>45783</v>
      </c>
      <c r="R373" s="367" t="s">
        <v>30</v>
      </c>
      <c r="S373" s="367"/>
      <c r="T373" s="367">
        <v>4</v>
      </c>
      <c r="U373" s="368">
        <v>45789</v>
      </c>
      <c r="V373" s="367" t="s">
        <v>310</v>
      </c>
      <c r="W373" s="367">
        <v>500</v>
      </c>
      <c r="X373" s="369" t="s">
        <v>32</v>
      </c>
      <c r="Y373" s="367" t="s">
        <v>627</v>
      </c>
      <c r="Z373" s="367"/>
      <c r="AA373" s="367" t="s">
        <v>532</v>
      </c>
      <c r="AB373" s="367" t="s">
        <v>16</v>
      </c>
      <c r="AC373" s="367" t="s">
        <v>1942</v>
      </c>
    </row>
    <row r="374" spans="1:29" s="639" customFormat="1" ht="15" hidden="1" customHeight="1">
      <c r="A374" s="366" t="s">
        <v>25</v>
      </c>
      <c r="B374" s="366" t="s">
        <v>25</v>
      </c>
      <c r="C374" s="811" t="s">
        <v>1920</v>
      </c>
      <c r="D374" s="811" t="s">
        <v>1921</v>
      </c>
      <c r="E374" s="811" t="s">
        <v>1922</v>
      </c>
      <c r="F374" s="811">
        <v>749883661</v>
      </c>
      <c r="G374" s="811">
        <v>709238577</v>
      </c>
      <c r="H374" s="367">
        <v>5.8330279999999997</v>
      </c>
      <c r="I374" s="367">
        <v>-5.3598889999999999</v>
      </c>
      <c r="J374" s="811" t="s">
        <v>36</v>
      </c>
      <c r="K374" s="367" t="s">
        <v>198</v>
      </c>
      <c r="L374" s="367" t="s">
        <v>278</v>
      </c>
      <c r="M374" s="812" t="s">
        <v>1958</v>
      </c>
      <c r="N374" s="812">
        <v>2150022479</v>
      </c>
      <c r="O374" s="813">
        <v>45783</v>
      </c>
      <c r="P374" s="367"/>
      <c r="Q374" s="813">
        <v>45784</v>
      </c>
      <c r="R374" s="367" t="s">
        <v>30</v>
      </c>
      <c r="S374" s="367"/>
      <c r="T374" s="367">
        <v>1</v>
      </c>
      <c r="U374" s="368">
        <v>45789</v>
      </c>
      <c r="V374" s="367" t="s">
        <v>310</v>
      </c>
      <c r="W374" s="367">
        <v>100</v>
      </c>
      <c r="X374" s="369" t="s">
        <v>32</v>
      </c>
      <c r="Y374" s="367" t="s">
        <v>578</v>
      </c>
      <c r="Z374" s="374"/>
      <c r="AA374" s="374" t="s">
        <v>532</v>
      </c>
      <c r="AB374" s="374" t="s">
        <v>16</v>
      </c>
      <c r="AC374" s="374" t="s">
        <v>1961</v>
      </c>
    </row>
    <row r="375" spans="1:29" s="639" customFormat="1" ht="15.6" hidden="1" customHeight="1">
      <c r="A375" s="366" t="s">
        <v>25</v>
      </c>
      <c r="B375" s="366" t="s">
        <v>25</v>
      </c>
      <c r="C375" s="811" t="s">
        <v>1917</v>
      </c>
      <c r="D375" s="811" t="s">
        <v>1918</v>
      </c>
      <c r="E375" s="811" t="s">
        <v>1919</v>
      </c>
      <c r="F375" s="811">
        <v>748281393</v>
      </c>
      <c r="G375" s="811">
        <v>2733728951</v>
      </c>
      <c r="H375" s="367">
        <v>5.8299630000000002</v>
      </c>
      <c r="I375" s="367">
        <v>-5.3585039999999999</v>
      </c>
      <c r="J375" s="811" t="s">
        <v>36</v>
      </c>
      <c r="K375" s="367" t="s">
        <v>198</v>
      </c>
      <c r="L375" s="367" t="s">
        <v>1743</v>
      </c>
      <c r="M375" s="371" t="s">
        <v>1156</v>
      </c>
      <c r="N375" s="371">
        <v>2150012051</v>
      </c>
      <c r="O375" s="813">
        <v>45783</v>
      </c>
      <c r="P375" s="367"/>
      <c r="Q375" s="813">
        <v>45784</v>
      </c>
      <c r="R375" s="367" t="s">
        <v>30</v>
      </c>
      <c r="S375" s="367"/>
      <c r="T375" s="367">
        <v>1</v>
      </c>
      <c r="U375" s="368">
        <v>45789</v>
      </c>
      <c r="V375" s="367" t="s">
        <v>310</v>
      </c>
      <c r="W375" s="367">
        <v>200</v>
      </c>
      <c r="X375" s="369" t="s">
        <v>32</v>
      </c>
      <c r="Y375" s="367" t="s">
        <v>228</v>
      </c>
      <c r="Z375" s="374"/>
      <c r="AA375" s="374" t="s">
        <v>532</v>
      </c>
      <c r="AB375" s="374" t="s">
        <v>16</v>
      </c>
      <c r="AC375" s="374" t="s">
        <v>1964</v>
      </c>
    </row>
    <row r="376" spans="1:29" s="641" customFormat="1" ht="15" hidden="1" customHeight="1">
      <c r="A376" s="366" t="s">
        <v>25</v>
      </c>
      <c r="B376" s="366" t="s">
        <v>25</v>
      </c>
      <c r="C376" s="370" t="s">
        <v>1930</v>
      </c>
      <c r="D376" s="370" t="s">
        <v>1931</v>
      </c>
      <c r="E376" s="370" t="s">
        <v>295</v>
      </c>
      <c r="F376" s="370">
        <v>701330514</v>
      </c>
      <c r="G376" s="370">
        <v>564809947</v>
      </c>
      <c r="H376" s="367">
        <v>5.8340610000000002</v>
      </c>
      <c r="I376" s="367">
        <v>-5.3511990000000003</v>
      </c>
      <c r="J376" s="370" t="s">
        <v>36</v>
      </c>
      <c r="K376" s="367" t="s">
        <v>274</v>
      </c>
      <c r="L376" s="367" t="s">
        <v>1030</v>
      </c>
      <c r="M376" s="371" t="s">
        <v>1947</v>
      </c>
      <c r="N376" s="371">
        <v>2150021408</v>
      </c>
      <c r="O376" s="814">
        <v>45784</v>
      </c>
      <c r="P376" s="367"/>
      <c r="Q376" s="814">
        <v>45785</v>
      </c>
      <c r="R376" s="367" t="s">
        <v>30</v>
      </c>
      <c r="S376" s="367"/>
      <c r="T376" s="367">
        <v>3</v>
      </c>
      <c r="U376" s="368">
        <v>45789</v>
      </c>
      <c r="V376" s="367" t="s">
        <v>310</v>
      </c>
      <c r="W376" s="367">
        <v>150</v>
      </c>
      <c r="X376" s="369" t="s">
        <v>32</v>
      </c>
      <c r="Y376" s="367" t="s">
        <v>343</v>
      </c>
      <c r="Z376" s="374"/>
      <c r="AA376" s="374" t="s">
        <v>532</v>
      </c>
      <c r="AB376" s="374" t="s">
        <v>16</v>
      </c>
      <c r="AC376" s="374" t="s">
        <v>1965</v>
      </c>
    </row>
    <row r="377" spans="1:29" s="641" customFormat="1" ht="15" hidden="1" customHeight="1">
      <c r="A377" s="366" t="s">
        <v>25</v>
      </c>
      <c r="B377" s="366" t="s">
        <v>25</v>
      </c>
      <c r="C377" s="370" t="s">
        <v>1932</v>
      </c>
      <c r="D377" s="370" t="s">
        <v>1933</v>
      </c>
      <c r="E377" s="370" t="s">
        <v>1935</v>
      </c>
      <c r="F377" s="370">
        <v>172681853</v>
      </c>
      <c r="G377" s="370">
        <v>172681853</v>
      </c>
      <c r="H377" s="367">
        <v>5.8399530000000004</v>
      </c>
      <c r="I377" s="367">
        <v>-5.3540450000000002</v>
      </c>
      <c r="J377" s="370" t="s">
        <v>189</v>
      </c>
      <c r="K377" s="367" t="s">
        <v>203</v>
      </c>
      <c r="L377" s="367" t="s">
        <v>322</v>
      </c>
      <c r="M377" s="371" t="s">
        <v>1209</v>
      </c>
      <c r="N377" s="371">
        <v>2150016564</v>
      </c>
      <c r="O377" s="814">
        <v>45784</v>
      </c>
      <c r="P377" s="367"/>
      <c r="Q377" s="814">
        <v>45785</v>
      </c>
      <c r="R377" s="367" t="s">
        <v>30</v>
      </c>
      <c r="S377" s="367"/>
      <c r="T377" s="367">
        <v>1</v>
      </c>
      <c r="U377" s="368">
        <v>45789</v>
      </c>
      <c r="V377" s="367" t="s">
        <v>310</v>
      </c>
      <c r="W377" s="367">
        <v>150</v>
      </c>
      <c r="X377" s="369" t="s">
        <v>32</v>
      </c>
      <c r="Y377" s="367" t="s">
        <v>627</v>
      </c>
      <c r="Z377" s="374"/>
      <c r="AA377" s="374" t="s">
        <v>532</v>
      </c>
      <c r="AB377" s="374" t="s">
        <v>16</v>
      </c>
      <c r="AC377" s="374" t="s">
        <v>1963</v>
      </c>
    </row>
    <row r="378" spans="1:29" s="641" customFormat="1" ht="15" hidden="1" customHeight="1">
      <c r="A378" s="372" t="s">
        <v>25</v>
      </c>
      <c r="B378" s="372" t="s">
        <v>25</v>
      </c>
      <c r="C378" s="380" t="s">
        <v>1576</v>
      </c>
      <c r="D378" s="380" t="s">
        <v>1577</v>
      </c>
      <c r="E378" s="380" t="s">
        <v>295</v>
      </c>
      <c r="F378" s="380">
        <v>769229667</v>
      </c>
      <c r="G378" s="380">
        <v>789435315</v>
      </c>
      <c r="H378" s="374">
        <v>5.8373999999999997</v>
      </c>
      <c r="I378" s="374">
        <v>-5.3573300000000001</v>
      </c>
      <c r="J378" s="380" t="s">
        <v>36</v>
      </c>
      <c r="K378" s="374" t="s">
        <v>190</v>
      </c>
      <c r="L378" s="374" t="s">
        <v>601</v>
      </c>
      <c r="M378" s="543" t="s">
        <v>1968</v>
      </c>
      <c r="N378" s="543">
        <v>2150022480</v>
      </c>
      <c r="O378" s="381">
        <v>45754</v>
      </c>
      <c r="P378" s="377">
        <f t="shared" ref="P378:P385" ca="1" si="10">TODAY()-Q378</f>
        <v>314</v>
      </c>
      <c r="Q378" s="381">
        <v>45755</v>
      </c>
      <c r="R378" s="374" t="s">
        <v>30</v>
      </c>
      <c r="S378" s="374"/>
      <c r="T378" s="374">
        <v>0</v>
      </c>
      <c r="U378" s="378">
        <v>45790</v>
      </c>
      <c r="V378" s="374" t="s">
        <v>310</v>
      </c>
      <c r="W378" s="374">
        <v>250</v>
      </c>
      <c r="X378" s="379" t="s">
        <v>32</v>
      </c>
      <c r="Y378" s="374" t="s">
        <v>245</v>
      </c>
      <c r="Z378" s="374"/>
      <c r="AA378" s="374" t="s">
        <v>532</v>
      </c>
      <c r="AB378" s="374" t="s">
        <v>16</v>
      </c>
      <c r="AC378" s="374" t="s">
        <v>1960</v>
      </c>
    </row>
    <row r="379" spans="1:29" s="639" customFormat="1" ht="15" hidden="1" customHeight="1">
      <c r="A379" s="372" t="s">
        <v>25</v>
      </c>
      <c r="B379" s="372" t="s">
        <v>25</v>
      </c>
      <c r="C379" s="373" t="s">
        <v>1956</v>
      </c>
      <c r="D379" s="373" t="s">
        <v>1957</v>
      </c>
      <c r="E379" s="373" t="s">
        <v>621</v>
      </c>
      <c r="F379" s="373">
        <v>759200879</v>
      </c>
      <c r="G379" s="373">
        <v>787984822</v>
      </c>
      <c r="H379" s="374">
        <v>5.8526340000000001</v>
      </c>
      <c r="I379" s="374">
        <v>-5.3518400000000002</v>
      </c>
      <c r="J379" s="375" t="s">
        <v>189</v>
      </c>
      <c r="K379" s="374" t="s">
        <v>198</v>
      </c>
      <c r="L379" s="374" t="s">
        <v>516</v>
      </c>
      <c r="M379" s="543" t="s">
        <v>1967</v>
      </c>
      <c r="N379" s="543">
        <v>2150022481</v>
      </c>
      <c r="O379" s="376">
        <v>45786</v>
      </c>
      <c r="P379" s="377">
        <f t="shared" ca="1" si="10"/>
        <v>282</v>
      </c>
      <c r="Q379" s="376">
        <v>45787</v>
      </c>
      <c r="R379" s="374" t="s">
        <v>30</v>
      </c>
      <c r="S379" s="374"/>
      <c r="T379" s="374">
        <v>0</v>
      </c>
      <c r="U379" s="378">
        <v>45790</v>
      </c>
      <c r="V379" s="374" t="s">
        <v>310</v>
      </c>
      <c r="W379" s="374">
        <v>100</v>
      </c>
      <c r="X379" s="379" t="s">
        <v>32</v>
      </c>
      <c r="Y379" s="374" t="s">
        <v>533</v>
      </c>
      <c r="Z379" s="383"/>
      <c r="AA379" s="383" t="s">
        <v>532</v>
      </c>
      <c r="AB379" s="383" t="s">
        <v>16</v>
      </c>
      <c r="AC379" s="383" t="s">
        <v>1977</v>
      </c>
    </row>
    <row r="380" spans="1:29" s="641" customFormat="1" ht="15" hidden="1" customHeight="1">
      <c r="A380" s="372" t="s">
        <v>25</v>
      </c>
      <c r="B380" s="372" t="s">
        <v>25</v>
      </c>
      <c r="C380" s="373" t="s">
        <v>1950</v>
      </c>
      <c r="D380" s="373" t="s">
        <v>1951</v>
      </c>
      <c r="E380" s="373" t="s">
        <v>35</v>
      </c>
      <c r="F380" s="373">
        <v>759477644</v>
      </c>
      <c r="G380" s="373">
        <v>565018184</v>
      </c>
      <c r="H380" s="374">
        <v>5.8372440000000001</v>
      </c>
      <c r="I380" s="374">
        <v>-5.358752</v>
      </c>
      <c r="J380" s="375" t="s">
        <v>36</v>
      </c>
      <c r="K380" s="374" t="s">
        <v>190</v>
      </c>
      <c r="L380" s="374" t="s">
        <v>601</v>
      </c>
      <c r="M380" s="543" t="s">
        <v>1969</v>
      </c>
      <c r="N380" s="543">
        <v>2150022483</v>
      </c>
      <c r="O380" s="376">
        <v>45786</v>
      </c>
      <c r="P380" s="377">
        <f t="shared" ca="1" si="10"/>
        <v>282</v>
      </c>
      <c r="Q380" s="376">
        <v>45787</v>
      </c>
      <c r="R380" s="374" t="s">
        <v>30</v>
      </c>
      <c r="S380" s="374"/>
      <c r="T380" s="374">
        <v>0</v>
      </c>
      <c r="U380" s="378">
        <v>45790</v>
      </c>
      <c r="V380" s="374" t="s">
        <v>310</v>
      </c>
      <c r="W380" s="374">
        <v>100</v>
      </c>
      <c r="X380" s="379" t="s">
        <v>32</v>
      </c>
      <c r="Y380" s="374" t="s">
        <v>343</v>
      </c>
      <c r="Z380" s="390"/>
      <c r="AA380" s="390" t="s">
        <v>532</v>
      </c>
      <c r="AB380" s="390" t="s">
        <v>16</v>
      </c>
      <c r="AC380" s="390" t="s">
        <v>2007</v>
      </c>
    </row>
    <row r="381" spans="1:29" s="639" customFormat="1" ht="15" hidden="1" customHeight="1">
      <c r="A381" s="372" t="s">
        <v>25</v>
      </c>
      <c r="B381" s="372" t="s">
        <v>25</v>
      </c>
      <c r="C381" s="373" t="s">
        <v>1954</v>
      </c>
      <c r="D381" s="373" t="s">
        <v>1955</v>
      </c>
      <c r="E381" s="373" t="s">
        <v>1591</v>
      </c>
      <c r="F381" s="373">
        <v>102794707</v>
      </c>
      <c r="G381" s="373">
        <v>777658748</v>
      </c>
      <c r="H381" s="374">
        <v>5.8498559999999999</v>
      </c>
      <c r="I381" s="374">
        <v>-5.348935</v>
      </c>
      <c r="J381" s="375" t="s">
        <v>189</v>
      </c>
      <c r="K381" s="374" t="s">
        <v>198</v>
      </c>
      <c r="L381" s="374" t="s">
        <v>1962</v>
      </c>
      <c r="M381" s="543" t="s">
        <v>1970</v>
      </c>
      <c r="N381" s="543">
        <v>2150022482</v>
      </c>
      <c r="O381" s="376">
        <v>45786</v>
      </c>
      <c r="P381" s="377">
        <f t="shared" ca="1" si="10"/>
        <v>282</v>
      </c>
      <c r="Q381" s="376">
        <v>45787</v>
      </c>
      <c r="R381" s="374" t="s">
        <v>30</v>
      </c>
      <c r="S381" s="374"/>
      <c r="T381" s="374"/>
      <c r="U381" s="378">
        <v>45790</v>
      </c>
      <c r="V381" s="374" t="s">
        <v>310</v>
      </c>
      <c r="W381" s="374">
        <v>100</v>
      </c>
      <c r="X381" s="379" t="s">
        <v>32</v>
      </c>
      <c r="Y381" s="374" t="s">
        <v>193</v>
      </c>
      <c r="Z381" s="390"/>
      <c r="AA381" s="390" t="s">
        <v>532</v>
      </c>
      <c r="AB381" s="390" t="s">
        <v>16</v>
      </c>
      <c r="AC381" s="390" t="s">
        <v>1966</v>
      </c>
    </row>
    <row r="382" spans="1:29" s="641" customFormat="1" ht="15" hidden="1" customHeight="1">
      <c r="A382" s="372" t="s">
        <v>25</v>
      </c>
      <c r="B382" s="372" t="s">
        <v>25</v>
      </c>
      <c r="C382" s="373" t="s">
        <v>1952</v>
      </c>
      <c r="D382" s="373" t="s">
        <v>1953</v>
      </c>
      <c r="E382" s="373" t="s">
        <v>110</v>
      </c>
      <c r="F382" s="373">
        <v>788351197</v>
      </c>
      <c r="G382" s="373">
        <v>788351197</v>
      </c>
      <c r="H382" s="374">
        <v>5.8444950000000002</v>
      </c>
      <c r="I382" s="374">
        <v>-5.3453850000000003</v>
      </c>
      <c r="J382" s="375" t="s">
        <v>189</v>
      </c>
      <c r="K382" s="374" t="s">
        <v>274</v>
      </c>
      <c r="L382" s="374" t="s">
        <v>283</v>
      </c>
      <c r="M382" s="543" t="s">
        <v>1971</v>
      </c>
      <c r="N382" s="543">
        <v>2150022485</v>
      </c>
      <c r="O382" s="376">
        <v>45786</v>
      </c>
      <c r="P382" s="377">
        <f t="shared" ca="1" si="10"/>
        <v>282</v>
      </c>
      <c r="Q382" s="376">
        <v>45787</v>
      </c>
      <c r="R382" s="374" t="s">
        <v>30</v>
      </c>
      <c r="S382" s="374"/>
      <c r="T382" s="374">
        <v>0</v>
      </c>
      <c r="U382" s="378">
        <v>45790</v>
      </c>
      <c r="V382" s="374" t="s">
        <v>310</v>
      </c>
      <c r="W382" s="374">
        <v>500</v>
      </c>
      <c r="X382" s="379" t="s">
        <v>32</v>
      </c>
      <c r="Y382" s="374" t="s">
        <v>1521</v>
      </c>
      <c r="Z382" s="390"/>
      <c r="AA382" s="390" t="s">
        <v>532</v>
      </c>
      <c r="AB382" s="390" t="s">
        <v>16</v>
      </c>
      <c r="AC382" s="390" t="s">
        <v>2012</v>
      </c>
    </row>
    <row r="383" spans="1:29" s="639" customFormat="1" ht="15" hidden="1" customHeight="1">
      <c r="A383" s="382" t="s">
        <v>25</v>
      </c>
      <c r="B383" s="382" t="s">
        <v>25</v>
      </c>
      <c r="C383" s="384" t="s">
        <v>1973</v>
      </c>
      <c r="D383" s="384" t="s">
        <v>1974</v>
      </c>
      <c r="E383" s="384" t="s">
        <v>864</v>
      </c>
      <c r="F383" s="384">
        <v>707232109</v>
      </c>
      <c r="G383" s="384">
        <v>707232109</v>
      </c>
      <c r="H383" s="383">
        <v>5.837726</v>
      </c>
      <c r="I383" s="383">
        <v>-5.3584290000000001</v>
      </c>
      <c r="J383" s="384" t="s">
        <v>36</v>
      </c>
      <c r="K383" s="383" t="s">
        <v>190</v>
      </c>
      <c r="L383" s="383" t="s">
        <v>601</v>
      </c>
      <c r="M383" s="815" t="s">
        <v>1980</v>
      </c>
      <c r="N383" s="815">
        <v>2150022486</v>
      </c>
      <c r="O383" s="816">
        <v>45790</v>
      </c>
      <c r="P383" s="385">
        <f t="shared" ca="1" si="10"/>
        <v>279</v>
      </c>
      <c r="Q383" s="816">
        <v>45790</v>
      </c>
      <c r="R383" s="383" t="s">
        <v>30</v>
      </c>
      <c r="S383" s="383"/>
      <c r="T383" s="383">
        <v>0</v>
      </c>
      <c r="U383" s="386">
        <v>45791</v>
      </c>
      <c r="V383" s="383" t="s">
        <v>310</v>
      </c>
      <c r="W383" s="383">
        <v>150</v>
      </c>
      <c r="X383" s="387" t="s">
        <v>32</v>
      </c>
      <c r="Y383" s="383" t="s">
        <v>533</v>
      </c>
      <c r="Z383" s="390"/>
      <c r="AA383" s="390" t="s">
        <v>532</v>
      </c>
      <c r="AB383" s="390" t="s">
        <v>16</v>
      </c>
      <c r="AC383" s="390" t="s">
        <v>1979</v>
      </c>
    </row>
    <row r="384" spans="1:29" s="639" customFormat="1" ht="15" hidden="1" customHeight="1">
      <c r="A384" s="388" t="s">
        <v>25</v>
      </c>
      <c r="B384" s="388" t="s">
        <v>25</v>
      </c>
      <c r="C384" s="396" t="s">
        <v>1948</v>
      </c>
      <c r="D384" s="396" t="s">
        <v>1949</v>
      </c>
      <c r="E384" s="396" t="s">
        <v>295</v>
      </c>
      <c r="F384" s="396">
        <v>705489762</v>
      </c>
      <c r="G384" s="396">
        <v>503506022</v>
      </c>
      <c r="H384" s="390">
        <v>5.8333370000000002</v>
      </c>
      <c r="I384" s="390">
        <v>-5.3542709999999998</v>
      </c>
      <c r="J384" s="396" t="s">
        <v>36</v>
      </c>
      <c r="K384" s="390" t="s">
        <v>274</v>
      </c>
      <c r="L384" s="390" t="s">
        <v>523</v>
      </c>
      <c r="M384" s="392" t="s">
        <v>1972</v>
      </c>
      <c r="N384" s="392">
        <v>2150022484</v>
      </c>
      <c r="O384" s="397">
        <v>45785</v>
      </c>
      <c r="P384" s="398">
        <f t="shared" ca="1" si="10"/>
        <v>283</v>
      </c>
      <c r="Q384" s="397">
        <v>45786</v>
      </c>
      <c r="R384" s="390" t="s">
        <v>30</v>
      </c>
      <c r="S384" s="390"/>
      <c r="T384" s="390">
        <v>1</v>
      </c>
      <c r="U384" s="394">
        <v>45792</v>
      </c>
      <c r="V384" s="390" t="s">
        <v>310</v>
      </c>
      <c r="W384" s="390">
        <v>150</v>
      </c>
      <c r="X384" s="395" t="s">
        <v>32</v>
      </c>
      <c r="Y384" s="390" t="s">
        <v>343</v>
      </c>
      <c r="Z384" s="402"/>
      <c r="AA384" s="402" t="s">
        <v>532</v>
      </c>
      <c r="AB384" s="402" t="s">
        <v>16</v>
      </c>
      <c r="AC384" s="402" t="s">
        <v>2006</v>
      </c>
    </row>
    <row r="385" spans="1:29" s="639" customFormat="1" ht="15" hidden="1" customHeight="1">
      <c r="A385" s="388" t="s">
        <v>25</v>
      </c>
      <c r="B385" s="388" t="s">
        <v>25</v>
      </c>
      <c r="C385" s="391" t="s">
        <v>1975</v>
      </c>
      <c r="D385" s="391" t="s">
        <v>1976</v>
      </c>
      <c r="E385" s="391" t="s">
        <v>1701</v>
      </c>
      <c r="F385" s="391">
        <v>103461347</v>
      </c>
      <c r="G385" s="391">
        <v>747517011</v>
      </c>
      <c r="H385" s="390">
        <v>5.8335929999999996</v>
      </c>
      <c r="I385" s="390">
        <v>-5.3608760000000002</v>
      </c>
      <c r="J385" s="391" t="s">
        <v>36</v>
      </c>
      <c r="K385" s="390" t="s">
        <v>198</v>
      </c>
      <c r="L385" s="390" t="s">
        <v>1978</v>
      </c>
      <c r="M385" s="392" t="s">
        <v>1981</v>
      </c>
      <c r="N385" s="392">
        <v>2150022487</v>
      </c>
      <c r="O385" s="399">
        <v>45790</v>
      </c>
      <c r="P385" s="398">
        <f t="shared" ca="1" si="10"/>
        <v>279</v>
      </c>
      <c r="Q385" s="399">
        <v>45790</v>
      </c>
      <c r="R385" s="390" t="s">
        <v>30</v>
      </c>
      <c r="S385" s="390"/>
      <c r="T385" s="390">
        <v>1</v>
      </c>
      <c r="U385" s="394">
        <v>45792</v>
      </c>
      <c r="V385" s="390" t="s">
        <v>310</v>
      </c>
      <c r="W385" s="390">
        <v>100</v>
      </c>
      <c r="X385" s="390" t="s">
        <v>32</v>
      </c>
      <c r="Y385" s="390" t="s">
        <v>193</v>
      </c>
      <c r="Z385" s="402"/>
      <c r="AA385" s="402" t="s">
        <v>532</v>
      </c>
      <c r="AB385" s="402" t="s">
        <v>16</v>
      </c>
      <c r="AC385" s="402" t="s">
        <v>2010</v>
      </c>
    </row>
    <row r="386" spans="1:29" s="639" customFormat="1" ht="15" hidden="1" customHeight="1">
      <c r="A386" s="388" t="s">
        <v>25</v>
      </c>
      <c r="B386" s="388" t="s">
        <v>25</v>
      </c>
      <c r="C386" s="389" t="s">
        <v>1987</v>
      </c>
      <c r="D386" s="389" t="s">
        <v>1988</v>
      </c>
      <c r="E386" s="389" t="s">
        <v>1989</v>
      </c>
      <c r="F386" s="389">
        <v>141235324</v>
      </c>
      <c r="G386" s="389">
        <v>707508629</v>
      </c>
      <c r="H386" s="390">
        <v>5.8503189999999998</v>
      </c>
      <c r="I386" s="390">
        <v>-5.349844</v>
      </c>
      <c r="J386" s="391" t="s">
        <v>189</v>
      </c>
      <c r="K386" s="390" t="s">
        <v>198</v>
      </c>
      <c r="L386" s="390" t="s">
        <v>1962</v>
      </c>
      <c r="M386" s="392" t="s">
        <v>2015</v>
      </c>
      <c r="N386" s="392">
        <v>2150022446</v>
      </c>
      <c r="O386" s="393">
        <v>45790</v>
      </c>
      <c r="P386" s="390"/>
      <c r="Q386" s="393">
        <v>45791</v>
      </c>
      <c r="R386" s="390" t="s">
        <v>30</v>
      </c>
      <c r="S386" s="390"/>
      <c r="T386" s="390">
        <v>0</v>
      </c>
      <c r="U386" s="394">
        <v>45792</v>
      </c>
      <c r="V386" s="390" t="s">
        <v>310</v>
      </c>
      <c r="W386" s="390">
        <v>200</v>
      </c>
      <c r="X386" s="395" t="s">
        <v>32</v>
      </c>
      <c r="Y386" s="390" t="s">
        <v>193</v>
      </c>
      <c r="Z386" s="402"/>
      <c r="AA386" s="402" t="s">
        <v>532</v>
      </c>
      <c r="AB386" s="402" t="s">
        <v>16</v>
      </c>
      <c r="AC386" s="402" t="s">
        <v>2009</v>
      </c>
    </row>
    <row r="387" spans="1:29" s="643" customFormat="1" ht="15" hidden="1" customHeight="1">
      <c r="A387" s="388" t="s">
        <v>25</v>
      </c>
      <c r="B387" s="388" t="s">
        <v>25</v>
      </c>
      <c r="C387" s="389" t="s">
        <v>1996</v>
      </c>
      <c r="D387" s="389" t="s">
        <v>1997</v>
      </c>
      <c r="E387" s="389" t="s">
        <v>375</v>
      </c>
      <c r="F387" s="389">
        <v>708436397</v>
      </c>
      <c r="G387" s="389">
        <v>546675527</v>
      </c>
      <c r="H387" s="390">
        <v>5.8417089999999998</v>
      </c>
      <c r="I387" s="390">
        <v>-5.3686730000000003</v>
      </c>
      <c r="J387" s="391" t="s">
        <v>189</v>
      </c>
      <c r="K387" s="390" t="s">
        <v>203</v>
      </c>
      <c r="L387" s="390" t="s">
        <v>2011</v>
      </c>
      <c r="M387" s="392" t="s">
        <v>2017</v>
      </c>
      <c r="N387" s="392">
        <v>2150022444</v>
      </c>
      <c r="O387" s="393">
        <v>45790</v>
      </c>
      <c r="P387" s="390"/>
      <c r="Q387" s="393">
        <v>45791</v>
      </c>
      <c r="R387" s="390" t="s">
        <v>30</v>
      </c>
      <c r="S387" s="390"/>
      <c r="T387" s="390">
        <v>0</v>
      </c>
      <c r="U387" s="394">
        <v>45792</v>
      </c>
      <c r="V387" s="390" t="s">
        <v>310</v>
      </c>
      <c r="W387" s="390">
        <v>500</v>
      </c>
      <c r="X387" s="395" t="s">
        <v>32</v>
      </c>
      <c r="Y387" s="390" t="s">
        <v>533</v>
      </c>
      <c r="Z387" s="410"/>
      <c r="AA387" s="410" t="s">
        <v>532</v>
      </c>
      <c r="AB387" s="410" t="s">
        <v>16</v>
      </c>
      <c r="AC387" s="410" t="s">
        <v>2023</v>
      </c>
    </row>
    <row r="388" spans="1:29" s="643" customFormat="1" ht="15" hidden="1" customHeight="1">
      <c r="A388" s="400" t="s">
        <v>25</v>
      </c>
      <c r="B388" s="400" t="s">
        <v>25</v>
      </c>
      <c r="C388" s="401" t="s">
        <v>1982</v>
      </c>
      <c r="D388" s="401" t="s">
        <v>1983</v>
      </c>
      <c r="E388" s="401" t="s">
        <v>1984</v>
      </c>
      <c r="F388" s="401">
        <v>758015914</v>
      </c>
      <c r="G388" s="401">
        <v>758015914</v>
      </c>
      <c r="H388" s="402">
        <v>5.8533540000000004</v>
      </c>
      <c r="I388" s="402">
        <v>-5.355531</v>
      </c>
      <c r="J388" s="402" t="s">
        <v>189</v>
      </c>
      <c r="K388" s="402" t="s">
        <v>198</v>
      </c>
      <c r="L388" s="403" t="s">
        <v>1307</v>
      </c>
      <c r="M388" s="404" t="s">
        <v>2013</v>
      </c>
      <c r="N388" s="404">
        <v>2150022447</v>
      </c>
      <c r="O388" s="405">
        <v>45790</v>
      </c>
      <c r="P388" s="402"/>
      <c r="Q388" s="405">
        <v>45791</v>
      </c>
      <c r="R388" s="402" t="s">
        <v>30</v>
      </c>
      <c r="S388" s="402"/>
      <c r="T388" s="402">
        <v>2</v>
      </c>
      <c r="U388" s="406">
        <v>45793</v>
      </c>
      <c r="V388" s="402" t="s">
        <v>310</v>
      </c>
      <c r="W388" s="402">
        <v>200</v>
      </c>
      <c r="X388" s="407" t="s">
        <v>32</v>
      </c>
      <c r="Y388" s="402" t="s">
        <v>245</v>
      </c>
      <c r="Z388" s="410"/>
      <c r="AA388" s="410" t="s">
        <v>532</v>
      </c>
      <c r="AB388" s="410" t="s">
        <v>16</v>
      </c>
      <c r="AC388" s="410" t="s">
        <v>2021</v>
      </c>
    </row>
    <row r="389" spans="1:29" s="639" customFormat="1" ht="15" hidden="1" customHeight="1">
      <c r="A389" s="400" t="s">
        <v>25</v>
      </c>
      <c r="B389" s="400" t="s">
        <v>25</v>
      </c>
      <c r="C389" s="401" t="s">
        <v>1985</v>
      </c>
      <c r="D389" s="401" t="s">
        <v>1986</v>
      </c>
      <c r="E389" s="401" t="s">
        <v>402</v>
      </c>
      <c r="F389" s="401">
        <v>171044003</v>
      </c>
      <c r="G389" s="401">
        <v>789693250</v>
      </c>
      <c r="H389" s="402">
        <v>5.8434679999999997</v>
      </c>
      <c r="I389" s="402">
        <v>-5.3618819999999996</v>
      </c>
      <c r="J389" s="403" t="s">
        <v>189</v>
      </c>
      <c r="K389" s="402" t="s">
        <v>190</v>
      </c>
      <c r="L389" s="402" t="s">
        <v>540</v>
      </c>
      <c r="M389" s="404" t="s">
        <v>2014</v>
      </c>
      <c r="N389" s="404">
        <v>2150022445</v>
      </c>
      <c r="O389" s="405">
        <v>45790</v>
      </c>
      <c r="P389" s="402"/>
      <c r="Q389" s="405">
        <v>45791</v>
      </c>
      <c r="R389" s="402" t="s">
        <v>30</v>
      </c>
      <c r="S389" s="402"/>
      <c r="T389" s="402">
        <v>1</v>
      </c>
      <c r="U389" s="406">
        <v>45793</v>
      </c>
      <c r="V389" s="402" t="s">
        <v>310</v>
      </c>
      <c r="W389" s="402">
        <v>200</v>
      </c>
      <c r="X389" s="407" t="s">
        <v>32</v>
      </c>
      <c r="Y389" s="402" t="s">
        <v>578</v>
      </c>
      <c r="Z389" s="419"/>
      <c r="AA389" s="419" t="s">
        <v>532</v>
      </c>
      <c r="AB389" s="419" t="s">
        <v>16</v>
      </c>
      <c r="AC389" s="419" t="s">
        <v>2020</v>
      </c>
    </row>
    <row r="390" spans="1:29" s="639" customFormat="1" ht="15" hidden="1" customHeight="1">
      <c r="A390" s="400" t="s">
        <v>25</v>
      </c>
      <c r="B390" s="400" t="s">
        <v>25</v>
      </c>
      <c r="C390" s="401" t="s">
        <v>1993</v>
      </c>
      <c r="D390" s="401" t="s">
        <v>1994</v>
      </c>
      <c r="E390" s="401" t="s">
        <v>97</v>
      </c>
      <c r="F390" s="401">
        <v>576060744</v>
      </c>
      <c r="G390" s="401">
        <v>576060744</v>
      </c>
      <c r="H390" s="402">
        <v>5.8403590000000003</v>
      </c>
      <c r="I390" s="402">
        <v>-5.3505250000000002</v>
      </c>
      <c r="J390" s="403" t="s">
        <v>189</v>
      </c>
      <c r="K390" s="402" t="s">
        <v>190</v>
      </c>
      <c r="L390" s="402" t="s">
        <v>2008</v>
      </c>
      <c r="M390" s="404" t="s">
        <v>2016</v>
      </c>
      <c r="N390" s="404">
        <v>2150022443</v>
      </c>
      <c r="O390" s="405">
        <v>45790</v>
      </c>
      <c r="P390" s="402"/>
      <c r="Q390" s="405">
        <v>45791</v>
      </c>
      <c r="R390" s="402" t="s">
        <v>30</v>
      </c>
      <c r="S390" s="402"/>
      <c r="T390" s="402">
        <v>1</v>
      </c>
      <c r="U390" s="406">
        <v>45793</v>
      </c>
      <c r="V390" s="402" t="s">
        <v>310</v>
      </c>
      <c r="W390" s="402">
        <v>150</v>
      </c>
      <c r="X390" s="407" t="s">
        <v>32</v>
      </c>
      <c r="Y390" s="402" t="s">
        <v>193</v>
      </c>
      <c r="Z390" s="419"/>
      <c r="AA390" s="419" t="s">
        <v>532</v>
      </c>
      <c r="AB390" s="419" t="s">
        <v>16</v>
      </c>
      <c r="AC390" s="419" t="s">
        <v>2022</v>
      </c>
    </row>
    <row r="391" spans="1:29" s="639" customFormat="1" ht="15" hidden="1" customHeight="1">
      <c r="A391" s="408" t="s">
        <v>25</v>
      </c>
      <c r="B391" s="408" t="s">
        <v>25</v>
      </c>
      <c r="C391" s="409" t="s">
        <v>1990</v>
      </c>
      <c r="D391" s="409" t="s">
        <v>1991</v>
      </c>
      <c r="E391" s="409" t="s">
        <v>1992</v>
      </c>
      <c r="F391" s="409">
        <v>748010811</v>
      </c>
      <c r="G391" s="409">
        <v>700573691</v>
      </c>
      <c r="H391" s="410">
        <v>5.8325189999999996</v>
      </c>
      <c r="I391" s="410">
        <v>-5.3608690000000001</v>
      </c>
      <c r="J391" s="411" t="s">
        <v>36</v>
      </c>
      <c r="K391" s="410" t="s">
        <v>198</v>
      </c>
      <c r="L391" s="410" t="s">
        <v>1479</v>
      </c>
      <c r="M391" s="485" t="s">
        <v>2024</v>
      </c>
      <c r="N391" s="485">
        <v>2150022439</v>
      </c>
      <c r="O391" s="412">
        <v>45790</v>
      </c>
      <c r="P391" s="410"/>
      <c r="Q391" s="412">
        <v>45791</v>
      </c>
      <c r="R391" s="410" t="s">
        <v>30</v>
      </c>
      <c r="S391" s="410"/>
      <c r="T391" s="410">
        <v>0</v>
      </c>
      <c r="U391" s="414">
        <v>45794</v>
      </c>
      <c r="V391" s="410" t="s">
        <v>310</v>
      </c>
      <c r="W391" s="410">
        <v>100</v>
      </c>
      <c r="X391" s="413" t="s">
        <v>32</v>
      </c>
      <c r="Y391" s="410" t="s">
        <v>343</v>
      </c>
      <c r="Z391" s="419"/>
      <c r="AA391" s="419" t="s">
        <v>532</v>
      </c>
      <c r="AB391" s="418" t="s">
        <v>16</v>
      </c>
      <c r="AC391" s="419" t="s">
        <v>2037</v>
      </c>
    </row>
    <row r="392" spans="1:29" s="645" customFormat="1" ht="15" hidden="1" customHeight="1">
      <c r="A392" s="408" t="s">
        <v>25</v>
      </c>
      <c r="B392" s="408" t="s">
        <v>25</v>
      </c>
      <c r="C392" s="411" t="s">
        <v>2004</v>
      </c>
      <c r="D392" s="411" t="s">
        <v>2005</v>
      </c>
      <c r="E392" s="411" t="s">
        <v>55</v>
      </c>
      <c r="F392" s="411">
        <v>707314350</v>
      </c>
      <c r="G392" s="411">
        <v>171567355</v>
      </c>
      <c r="H392" s="410">
        <v>5.8427179999999996</v>
      </c>
      <c r="I392" s="410">
        <v>-5.3453980000000003</v>
      </c>
      <c r="J392" s="411" t="s">
        <v>189</v>
      </c>
      <c r="K392" s="410" t="s">
        <v>274</v>
      </c>
      <c r="L392" s="410" t="s">
        <v>539</v>
      </c>
      <c r="M392" s="485" t="s">
        <v>2027</v>
      </c>
      <c r="N392" s="485">
        <v>2150022442</v>
      </c>
      <c r="O392" s="415">
        <v>45790</v>
      </c>
      <c r="P392" s="410"/>
      <c r="Q392" s="416">
        <v>45791</v>
      </c>
      <c r="R392" s="410" t="s">
        <v>30</v>
      </c>
      <c r="S392" s="410"/>
      <c r="T392" s="410">
        <v>0</v>
      </c>
      <c r="U392" s="414">
        <v>45794</v>
      </c>
      <c r="V392" s="410" t="s">
        <v>310</v>
      </c>
      <c r="W392" s="410">
        <v>100</v>
      </c>
      <c r="X392" s="413" t="s">
        <v>32</v>
      </c>
      <c r="Y392" s="410" t="s">
        <v>578</v>
      </c>
      <c r="Z392" s="429"/>
      <c r="AA392" s="435" t="s">
        <v>532</v>
      </c>
      <c r="AB392" s="435" t="s">
        <v>16</v>
      </c>
      <c r="AC392" s="429" t="s">
        <v>2040</v>
      </c>
    </row>
    <row r="393" spans="1:29" s="645" customFormat="1" ht="15" hidden="1" customHeight="1">
      <c r="A393" s="417" t="s">
        <v>25</v>
      </c>
      <c r="B393" s="417" t="s">
        <v>25</v>
      </c>
      <c r="C393" s="418" t="s">
        <v>1995</v>
      </c>
      <c r="D393" s="418" t="s">
        <v>354</v>
      </c>
      <c r="E393" s="418" t="s">
        <v>110</v>
      </c>
      <c r="F393" s="418">
        <v>749413011</v>
      </c>
      <c r="G393" s="418">
        <v>7788780052</v>
      </c>
      <c r="H393" s="419">
        <v>5.8411580000000001</v>
      </c>
      <c r="I393" s="419">
        <v>-5.3433529999999996</v>
      </c>
      <c r="J393" s="420" t="s">
        <v>189</v>
      </c>
      <c r="K393" s="419" t="s">
        <v>274</v>
      </c>
      <c r="L393" s="419" t="s">
        <v>261</v>
      </c>
      <c r="M393" s="421" t="s">
        <v>2025</v>
      </c>
      <c r="N393" s="421">
        <v>2150022440</v>
      </c>
      <c r="O393" s="423">
        <v>45790</v>
      </c>
      <c r="P393" s="422">
        <f t="shared" ref="P393:P399" ca="1" si="11">TODAY()-Q393</f>
        <v>278</v>
      </c>
      <c r="Q393" s="423">
        <v>45791</v>
      </c>
      <c r="R393" s="419" t="s">
        <v>30</v>
      </c>
      <c r="S393" s="419"/>
      <c r="T393" s="419">
        <v>6</v>
      </c>
      <c r="U393" s="424">
        <v>45796</v>
      </c>
      <c r="V393" s="419" t="s">
        <v>310</v>
      </c>
      <c r="W393" s="419">
        <v>500</v>
      </c>
      <c r="X393" s="425" t="s">
        <v>32</v>
      </c>
      <c r="Y393" s="419" t="s">
        <v>343</v>
      </c>
      <c r="Z393" s="429"/>
      <c r="AA393" s="435" t="s">
        <v>532</v>
      </c>
      <c r="AB393" s="435" t="s">
        <v>16</v>
      </c>
      <c r="AC393" s="429" t="s">
        <v>2039</v>
      </c>
    </row>
    <row r="394" spans="1:29" s="645" customFormat="1" ht="15" hidden="1" customHeight="1">
      <c r="A394" s="417" t="s">
        <v>25</v>
      </c>
      <c r="B394" s="417" t="s">
        <v>25</v>
      </c>
      <c r="C394" s="418" t="s">
        <v>1998</v>
      </c>
      <c r="D394" s="418" t="s">
        <v>1999</v>
      </c>
      <c r="E394" s="418" t="s">
        <v>295</v>
      </c>
      <c r="F394" s="418">
        <v>778062814</v>
      </c>
      <c r="G394" s="418">
        <v>778062814</v>
      </c>
      <c r="H394" s="419">
        <v>5.8336560000000004</v>
      </c>
      <c r="I394" s="419">
        <v>-5.353421</v>
      </c>
      <c r="J394" s="420" t="s">
        <v>36</v>
      </c>
      <c r="K394" s="419" t="s">
        <v>198</v>
      </c>
      <c r="L394" s="419" t="s">
        <v>523</v>
      </c>
      <c r="M394" s="421" t="s">
        <v>2026</v>
      </c>
      <c r="N394" s="421">
        <v>2150022441</v>
      </c>
      <c r="O394" s="423">
        <v>45790</v>
      </c>
      <c r="P394" s="422">
        <f t="shared" ca="1" si="11"/>
        <v>278</v>
      </c>
      <c r="Q394" s="423">
        <v>45791</v>
      </c>
      <c r="R394" s="419" t="s">
        <v>30</v>
      </c>
      <c r="S394" s="419"/>
      <c r="T394" s="419">
        <v>1</v>
      </c>
      <c r="U394" s="424">
        <v>45796</v>
      </c>
      <c r="V394" s="419" t="s">
        <v>310</v>
      </c>
      <c r="W394" s="419">
        <v>100</v>
      </c>
      <c r="X394" s="425" t="s">
        <v>32</v>
      </c>
      <c r="Y394" s="419" t="s">
        <v>343</v>
      </c>
      <c r="Z394" s="434"/>
      <c r="AA394" s="435" t="s">
        <v>532</v>
      </c>
      <c r="AB394" s="435" t="s">
        <v>16</v>
      </c>
      <c r="AC394" s="429" t="s">
        <v>2038</v>
      </c>
    </row>
    <row r="395" spans="1:29" s="639" customFormat="1" ht="14.4" hidden="1" customHeight="1">
      <c r="A395" s="417" t="s">
        <v>25</v>
      </c>
      <c r="B395" s="417" t="s">
        <v>25</v>
      </c>
      <c r="C395" s="420" t="s">
        <v>2035</v>
      </c>
      <c r="D395" s="420" t="s">
        <v>2036</v>
      </c>
      <c r="E395" s="420" t="s">
        <v>172</v>
      </c>
      <c r="F395" s="420">
        <v>788450988</v>
      </c>
      <c r="G395" s="420">
        <v>788450988</v>
      </c>
      <c r="H395" s="419">
        <v>5.8406169999999999</v>
      </c>
      <c r="I395" s="419">
        <v>-5.3538600000000001</v>
      </c>
      <c r="J395" s="420" t="s">
        <v>189</v>
      </c>
      <c r="K395" s="419" t="s">
        <v>203</v>
      </c>
      <c r="L395" s="419" t="s">
        <v>322</v>
      </c>
      <c r="M395" s="421" t="s">
        <v>2041</v>
      </c>
      <c r="N395" s="421">
        <v>2150022436</v>
      </c>
      <c r="O395" s="426">
        <v>45793</v>
      </c>
      <c r="P395" s="422">
        <f t="shared" ca="1" si="11"/>
        <v>275</v>
      </c>
      <c r="Q395" s="426">
        <v>45794</v>
      </c>
      <c r="R395" s="419" t="s">
        <v>30</v>
      </c>
      <c r="S395" s="419"/>
      <c r="T395" s="419">
        <v>0</v>
      </c>
      <c r="U395" s="424">
        <v>45796</v>
      </c>
      <c r="V395" s="419" t="s">
        <v>310</v>
      </c>
      <c r="W395" s="419">
        <v>300</v>
      </c>
      <c r="X395" s="425" t="s">
        <v>32</v>
      </c>
      <c r="Y395" s="419" t="s">
        <v>1521</v>
      </c>
      <c r="Z395" s="438"/>
      <c r="AA395" s="443" t="s">
        <v>532</v>
      </c>
      <c r="AB395" s="443" t="s">
        <v>16</v>
      </c>
      <c r="AC395" s="438" t="s">
        <v>2044</v>
      </c>
    </row>
    <row r="396" spans="1:29" s="639" customFormat="1" ht="15" hidden="1" customHeight="1">
      <c r="A396" s="427" t="s">
        <v>25</v>
      </c>
      <c r="B396" s="427" t="s">
        <v>25</v>
      </c>
      <c r="C396" s="428" t="s">
        <v>2028</v>
      </c>
      <c r="D396" s="428" t="s">
        <v>2029</v>
      </c>
      <c r="E396" s="428" t="s">
        <v>375</v>
      </c>
      <c r="F396" s="428">
        <v>152028144</v>
      </c>
      <c r="G396" s="428">
        <v>757739009</v>
      </c>
      <c r="H396" s="429">
        <v>5.8418089999999996</v>
      </c>
      <c r="I396" s="429">
        <v>-5.3676529999999998</v>
      </c>
      <c r="J396" s="428" t="s">
        <v>36</v>
      </c>
      <c r="K396" s="429" t="s">
        <v>203</v>
      </c>
      <c r="L396" s="429" t="s">
        <v>1228</v>
      </c>
      <c r="M396" s="430" t="s">
        <v>2042</v>
      </c>
      <c r="N396" s="430">
        <v>2150022435</v>
      </c>
      <c r="O396" s="431">
        <v>45792</v>
      </c>
      <c r="P396" s="432">
        <f t="shared" ca="1" si="11"/>
        <v>275</v>
      </c>
      <c r="Q396" s="431">
        <v>45794</v>
      </c>
      <c r="R396" s="429" t="s">
        <v>30</v>
      </c>
      <c r="S396" s="429"/>
      <c r="T396" s="429">
        <v>1</v>
      </c>
      <c r="U396" s="433">
        <v>45797</v>
      </c>
      <c r="V396" s="429" t="s">
        <v>310</v>
      </c>
      <c r="W396" s="429">
        <v>200</v>
      </c>
      <c r="X396" s="434" t="s">
        <v>32</v>
      </c>
      <c r="Y396" s="429" t="s">
        <v>533</v>
      </c>
      <c r="Z396" s="438"/>
      <c r="AA396" s="443" t="s">
        <v>532</v>
      </c>
      <c r="AB396" s="443" t="s">
        <v>16</v>
      </c>
      <c r="AC396" s="438" t="s">
        <v>2051</v>
      </c>
    </row>
    <row r="397" spans="1:29" s="646" customFormat="1" ht="15" hidden="1" customHeight="1">
      <c r="A397" s="427" t="s">
        <v>25</v>
      </c>
      <c r="B397" s="427" t="s">
        <v>25</v>
      </c>
      <c r="C397" s="428" t="s">
        <v>2030</v>
      </c>
      <c r="D397" s="428" t="s">
        <v>2031</v>
      </c>
      <c r="E397" s="428" t="s">
        <v>375</v>
      </c>
      <c r="F397" s="428">
        <v>778392778</v>
      </c>
      <c r="G397" s="428">
        <v>778392778</v>
      </c>
      <c r="H397" s="429">
        <v>5.8415109999999997</v>
      </c>
      <c r="I397" s="429">
        <v>-5.3689590000000003</v>
      </c>
      <c r="J397" s="428" t="s">
        <v>36</v>
      </c>
      <c r="K397" s="429" t="s">
        <v>203</v>
      </c>
      <c r="L397" s="429" t="s">
        <v>1228</v>
      </c>
      <c r="M397" s="430" t="s">
        <v>2043</v>
      </c>
      <c r="N397" s="430">
        <v>2150022437</v>
      </c>
      <c r="O397" s="431">
        <v>45792</v>
      </c>
      <c r="P397" s="432">
        <f t="shared" ca="1" si="11"/>
        <v>275</v>
      </c>
      <c r="Q397" s="431">
        <v>45794</v>
      </c>
      <c r="R397" s="429" t="s">
        <v>30</v>
      </c>
      <c r="S397" s="429"/>
      <c r="T397" s="429">
        <v>1</v>
      </c>
      <c r="U397" s="433">
        <v>45797</v>
      </c>
      <c r="V397" s="429" t="s">
        <v>310</v>
      </c>
      <c r="W397" s="429">
        <v>500</v>
      </c>
      <c r="X397" s="434" t="s">
        <v>32</v>
      </c>
      <c r="Y397" s="429" t="s">
        <v>343</v>
      </c>
      <c r="Z397" s="449"/>
      <c r="AA397" s="448" t="s">
        <v>532</v>
      </c>
      <c r="AB397" s="448" t="s">
        <v>16</v>
      </c>
      <c r="AC397" s="449" t="s">
        <v>2066</v>
      </c>
    </row>
    <row r="398" spans="1:29" s="646" customFormat="1" ht="15" hidden="1" customHeight="1">
      <c r="A398" s="427" t="s">
        <v>25</v>
      </c>
      <c r="B398" s="427" t="s">
        <v>25</v>
      </c>
      <c r="C398" s="428" t="s">
        <v>2032</v>
      </c>
      <c r="D398" s="428" t="s">
        <v>2033</v>
      </c>
      <c r="E398" s="428" t="s">
        <v>2034</v>
      </c>
      <c r="F398" s="428">
        <v>713529502</v>
      </c>
      <c r="G398" s="428">
        <v>713529502</v>
      </c>
      <c r="H398" s="429">
        <v>5.8344060000000004</v>
      </c>
      <c r="I398" s="429">
        <v>-5.3514229999999996</v>
      </c>
      <c r="J398" s="428" t="s">
        <v>36</v>
      </c>
      <c r="K398" s="429" t="s">
        <v>274</v>
      </c>
      <c r="L398" s="429" t="s">
        <v>1030</v>
      </c>
      <c r="M398" s="430" t="s">
        <v>2045</v>
      </c>
      <c r="N398" s="430">
        <v>2150022434</v>
      </c>
      <c r="O398" s="431">
        <v>45791</v>
      </c>
      <c r="P398" s="432">
        <f t="shared" ca="1" si="11"/>
        <v>275</v>
      </c>
      <c r="Q398" s="431">
        <v>45794</v>
      </c>
      <c r="R398" s="429" t="s">
        <v>30</v>
      </c>
      <c r="S398" s="429"/>
      <c r="T398" s="429">
        <v>0</v>
      </c>
      <c r="U398" s="433">
        <v>45797</v>
      </c>
      <c r="V398" s="429" t="s">
        <v>310</v>
      </c>
      <c r="W398" s="429">
        <v>100</v>
      </c>
      <c r="X398" s="429" t="s">
        <v>32</v>
      </c>
      <c r="Y398" s="429" t="s">
        <v>245</v>
      </c>
      <c r="Z398" s="449"/>
      <c r="AA398" s="448" t="s">
        <v>532</v>
      </c>
      <c r="AB398" s="448" t="s">
        <v>16</v>
      </c>
      <c r="AC398" s="449" t="s">
        <v>2069</v>
      </c>
    </row>
    <row r="399" spans="1:29" s="646" customFormat="1" ht="15" hidden="1" customHeight="1">
      <c r="A399" s="436" t="s">
        <v>25</v>
      </c>
      <c r="B399" s="436" t="s">
        <v>25</v>
      </c>
      <c r="C399" s="437" t="s">
        <v>1936</v>
      </c>
      <c r="D399" s="437" t="s">
        <v>1937</v>
      </c>
      <c r="E399" s="437" t="s">
        <v>1938</v>
      </c>
      <c r="F399" s="437">
        <v>172787777</v>
      </c>
      <c r="G399" s="437">
        <v>777697919</v>
      </c>
      <c r="H399" s="438">
        <v>5.8400850000000002</v>
      </c>
      <c r="I399" s="438">
        <v>-5.3573829999999996</v>
      </c>
      <c r="J399" s="437" t="s">
        <v>36</v>
      </c>
      <c r="K399" s="437" t="s">
        <v>190</v>
      </c>
      <c r="L399" s="438" t="s">
        <v>1263</v>
      </c>
      <c r="M399" s="438" t="s">
        <v>2054</v>
      </c>
      <c r="N399" s="438">
        <v>2150022433</v>
      </c>
      <c r="O399" s="439">
        <v>45784</v>
      </c>
      <c r="P399" s="440">
        <f t="shared" ca="1" si="11"/>
        <v>284</v>
      </c>
      <c r="Q399" s="439">
        <v>45785</v>
      </c>
      <c r="R399" s="438" t="s">
        <v>30</v>
      </c>
      <c r="S399" s="438"/>
      <c r="T399" s="438">
        <v>1</v>
      </c>
      <c r="U399" s="441">
        <v>45798</v>
      </c>
      <c r="V399" s="438" t="s">
        <v>310</v>
      </c>
      <c r="W399" s="438">
        <v>350</v>
      </c>
      <c r="X399" s="442" t="s">
        <v>32</v>
      </c>
      <c r="Y399" s="438" t="s">
        <v>228</v>
      </c>
      <c r="Z399" s="449"/>
      <c r="AA399" s="448" t="s">
        <v>532</v>
      </c>
      <c r="AB399" s="449" t="s">
        <v>16</v>
      </c>
      <c r="AC399" s="449" t="s">
        <v>2050</v>
      </c>
    </row>
    <row r="400" spans="1:29" s="646" customFormat="1" ht="15" hidden="1" customHeight="1">
      <c r="A400" s="436" t="s">
        <v>25</v>
      </c>
      <c r="B400" s="436" t="s">
        <v>25</v>
      </c>
      <c r="C400" s="444" t="s">
        <v>2046</v>
      </c>
      <c r="D400" s="444" t="s">
        <v>2047</v>
      </c>
      <c r="E400" s="437" t="s">
        <v>2048</v>
      </c>
      <c r="F400" s="444">
        <v>102450264</v>
      </c>
      <c r="G400" s="444">
        <v>708326317</v>
      </c>
      <c r="H400" s="438">
        <v>5.8393199999999998</v>
      </c>
      <c r="I400" s="438">
        <v>-5.3524560000000001</v>
      </c>
      <c r="J400" s="438" t="s">
        <v>189</v>
      </c>
      <c r="K400" s="438" t="s">
        <v>190</v>
      </c>
      <c r="L400" s="438" t="s">
        <v>583</v>
      </c>
      <c r="M400" s="445" t="s">
        <v>2052</v>
      </c>
      <c r="N400" s="445">
        <v>2150022430</v>
      </c>
      <c r="O400" s="446">
        <v>45796</v>
      </c>
      <c r="P400" s="438"/>
      <c r="Q400" s="446">
        <v>45797</v>
      </c>
      <c r="R400" s="438" t="s">
        <v>30</v>
      </c>
      <c r="S400" s="438"/>
      <c r="T400" s="438">
        <v>1</v>
      </c>
      <c r="U400" s="441">
        <v>45798</v>
      </c>
      <c r="V400" s="438" t="s">
        <v>310</v>
      </c>
      <c r="W400" s="438">
        <v>200</v>
      </c>
      <c r="X400" s="442" t="s">
        <v>32</v>
      </c>
      <c r="Y400" s="438" t="s">
        <v>245</v>
      </c>
      <c r="Z400" s="449"/>
      <c r="AA400" s="448" t="s">
        <v>532</v>
      </c>
      <c r="AB400" s="448" t="s">
        <v>16</v>
      </c>
      <c r="AC400" s="449" t="s">
        <v>2065</v>
      </c>
    </row>
    <row r="401" spans="1:29" s="644" customFormat="1" ht="15" hidden="1" customHeight="1">
      <c r="A401" s="447" t="s">
        <v>25</v>
      </c>
      <c r="B401" s="447" t="s">
        <v>25</v>
      </c>
      <c r="C401" s="456" t="s">
        <v>1689</v>
      </c>
      <c r="D401" s="456" t="s">
        <v>1690</v>
      </c>
      <c r="E401" s="456" t="s">
        <v>363</v>
      </c>
      <c r="F401" s="456">
        <v>749160070</v>
      </c>
      <c r="G401" s="456">
        <v>507005848</v>
      </c>
      <c r="H401" s="449">
        <v>5.8352810000000002</v>
      </c>
      <c r="I401" s="449">
        <v>-5.3646039999999999</v>
      </c>
      <c r="J401" s="456" t="s">
        <v>36</v>
      </c>
      <c r="K401" s="449" t="s">
        <v>203</v>
      </c>
      <c r="L401" s="449" t="s">
        <v>1595</v>
      </c>
      <c r="M401" s="450" t="s">
        <v>2053</v>
      </c>
      <c r="N401" s="450">
        <v>2150022429</v>
      </c>
      <c r="O401" s="457">
        <v>45761</v>
      </c>
      <c r="P401" s="452">
        <f ca="1">TODAY()-Q401</f>
        <v>307</v>
      </c>
      <c r="Q401" s="457">
        <v>45762</v>
      </c>
      <c r="R401" s="449" t="s">
        <v>30</v>
      </c>
      <c r="S401" s="449"/>
      <c r="T401" s="449">
        <v>1</v>
      </c>
      <c r="U401" s="454">
        <v>45799</v>
      </c>
      <c r="V401" s="449" t="s">
        <v>310</v>
      </c>
      <c r="W401" s="449">
        <v>200</v>
      </c>
      <c r="X401" s="455" t="s">
        <v>32</v>
      </c>
      <c r="Y401" s="449" t="s">
        <v>245</v>
      </c>
      <c r="Z401" s="419"/>
      <c r="AA401" s="419" t="s">
        <v>532</v>
      </c>
      <c r="AB401" s="419" t="s">
        <v>16</v>
      </c>
      <c r="AC401" s="419" t="s">
        <v>2141</v>
      </c>
    </row>
    <row r="402" spans="1:29" s="644" customFormat="1" ht="15" hidden="1" customHeight="1">
      <c r="A402" s="447" t="s">
        <v>25</v>
      </c>
      <c r="B402" s="447" t="s">
        <v>25</v>
      </c>
      <c r="C402" s="448" t="s">
        <v>2049</v>
      </c>
      <c r="D402" s="448" t="s">
        <v>401</v>
      </c>
      <c r="E402" s="448" t="s">
        <v>402</v>
      </c>
      <c r="F402" s="448">
        <v>143759945</v>
      </c>
      <c r="G402" s="448">
        <v>759829082</v>
      </c>
      <c r="H402" s="449">
        <v>5.8444779999999996</v>
      </c>
      <c r="I402" s="449">
        <v>-5.3617980000000003</v>
      </c>
      <c r="J402" s="449" t="s">
        <v>36</v>
      </c>
      <c r="K402" s="449" t="s">
        <v>190</v>
      </c>
      <c r="L402" s="449" t="s">
        <v>409</v>
      </c>
      <c r="M402" s="450" t="s">
        <v>2072</v>
      </c>
      <c r="N402" s="450">
        <v>2150022432</v>
      </c>
      <c r="O402" s="451">
        <v>45797</v>
      </c>
      <c r="P402" s="452">
        <f ca="1">TODAY()-Q402</f>
        <v>272</v>
      </c>
      <c r="Q402" s="453">
        <v>45797</v>
      </c>
      <c r="R402" s="449" t="s">
        <v>30</v>
      </c>
      <c r="S402" s="449"/>
      <c r="T402" s="449">
        <v>1</v>
      </c>
      <c r="U402" s="454">
        <v>45799</v>
      </c>
      <c r="V402" s="449" t="s">
        <v>310</v>
      </c>
      <c r="W402" s="449">
        <v>300</v>
      </c>
      <c r="X402" s="455" t="s">
        <v>32</v>
      </c>
      <c r="Y402" s="449" t="s">
        <v>228</v>
      </c>
      <c r="Z402" s="419"/>
      <c r="AA402" s="419" t="s">
        <v>532</v>
      </c>
      <c r="AB402" s="419" t="s">
        <v>16</v>
      </c>
      <c r="AC402" s="419" t="s">
        <v>2080</v>
      </c>
    </row>
    <row r="403" spans="1:29" s="644" customFormat="1" ht="15" hidden="1" customHeight="1">
      <c r="A403" s="447" t="s">
        <v>25</v>
      </c>
      <c r="B403" s="447" t="s">
        <v>25</v>
      </c>
      <c r="C403" s="684" t="s">
        <v>2058</v>
      </c>
      <c r="D403" s="684" t="s">
        <v>2059</v>
      </c>
      <c r="E403" s="684" t="s">
        <v>35</v>
      </c>
      <c r="F403" s="684">
        <v>101131372</v>
      </c>
      <c r="G403" s="684">
        <v>707080196</v>
      </c>
      <c r="H403" s="449">
        <v>5.8400619999999996</v>
      </c>
      <c r="I403" s="449">
        <v>-5.3590169999999997</v>
      </c>
      <c r="J403" s="684" t="s">
        <v>36</v>
      </c>
      <c r="K403" s="449" t="s">
        <v>190</v>
      </c>
      <c r="L403" s="449" t="s">
        <v>1263</v>
      </c>
      <c r="M403" s="450" t="s">
        <v>2071</v>
      </c>
      <c r="N403" s="450">
        <v>2150022431</v>
      </c>
      <c r="O403" s="453">
        <v>45796</v>
      </c>
      <c r="P403" s="452">
        <f ca="1">TODAY()-Q403</f>
        <v>271</v>
      </c>
      <c r="Q403" s="458">
        <v>45798</v>
      </c>
      <c r="R403" s="449" t="s">
        <v>30</v>
      </c>
      <c r="S403" s="449"/>
      <c r="T403" s="449">
        <v>0</v>
      </c>
      <c r="U403" s="454">
        <v>45799</v>
      </c>
      <c r="V403" s="449" t="s">
        <v>310</v>
      </c>
      <c r="W403" s="449">
        <v>100</v>
      </c>
      <c r="X403" s="455" t="s">
        <v>32</v>
      </c>
      <c r="Y403" s="449" t="s">
        <v>245</v>
      </c>
      <c r="Z403" s="419"/>
      <c r="AA403" s="419" t="s">
        <v>532</v>
      </c>
      <c r="AB403" s="418" t="s">
        <v>16</v>
      </c>
      <c r="AC403" s="419" t="s">
        <v>2078</v>
      </c>
    </row>
    <row r="404" spans="1:29" s="630" customFormat="1" ht="15" hidden="1" customHeight="1">
      <c r="A404" s="447" t="s">
        <v>25</v>
      </c>
      <c r="B404" s="447" t="s">
        <v>25</v>
      </c>
      <c r="C404" s="817" t="s">
        <v>2055</v>
      </c>
      <c r="D404" s="817" t="s">
        <v>2056</v>
      </c>
      <c r="E404" s="817" t="s">
        <v>2057</v>
      </c>
      <c r="F404" s="817">
        <v>707736965</v>
      </c>
      <c r="G404" s="817">
        <v>702744171</v>
      </c>
      <c r="H404" s="449">
        <v>5.852976</v>
      </c>
      <c r="I404" s="449">
        <v>-5.3489810000000002</v>
      </c>
      <c r="J404" s="817" t="s">
        <v>189</v>
      </c>
      <c r="K404" s="449" t="s">
        <v>198</v>
      </c>
      <c r="L404" s="449" t="s">
        <v>1085</v>
      </c>
      <c r="M404" s="450" t="s">
        <v>2070</v>
      </c>
      <c r="N404" s="450">
        <v>2150022428</v>
      </c>
      <c r="O404" s="458">
        <v>45797</v>
      </c>
      <c r="P404" s="452">
        <f ca="1">TODAY()-Q404</f>
        <v>271</v>
      </c>
      <c r="Q404" s="458">
        <v>45798</v>
      </c>
      <c r="R404" s="449" t="s">
        <v>30</v>
      </c>
      <c r="S404" s="449"/>
      <c r="T404" s="449">
        <v>0</v>
      </c>
      <c r="U404" s="454">
        <v>45803</v>
      </c>
      <c r="V404" s="449" t="s">
        <v>310</v>
      </c>
      <c r="W404" s="449">
        <v>150</v>
      </c>
      <c r="X404" s="455" t="s">
        <v>32</v>
      </c>
      <c r="Y404" s="449" t="s">
        <v>697</v>
      </c>
      <c r="Z404" s="68"/>
      <c r="AA404" s="68" t="s">
        <v>532</v>
      </c>
      <c r="AB404" s="68" t="s">
        <v>16</v>
      </c>
      <c r="AC404" s="68"/>
    </row>
    <row r="405" spans="1:29" s="642" customFormat="1" ht="15" hidden="1" customHeight="1">
      <c r="A405" s="67" t="s">
        <v>25</v>
      </c>
      <c r="B405" s="67" t="s">
        <v>25</v>
      </c>
      <c r="C405" s="66" t="s">
        <v>1849</v>
      </c>
      <c r="D405" s="66" t="s">
        <v>109</v>
      </c>
      <c r="E405" s="66" t="s">
        <v>1850</v>
      </c>
      <c r="F405" s="66">
        <v>506731919</v>
      </c>
      <c r="G405" s="66">
        <v>708846281</v>
      </c>
      <c r="H405" s="68">
        <v>5.8403799999999997</v>
      </c>
      <c r="I405" s="68">
        <v>-5.3562269999999996</v>
      </c>
      <c r="J405" s="66" t="s">
        <v>36</v>
      </c>
      <c r="K405" s="68" t="s">
        <v>198</v>
      </c>
      <c r="L405" s="68" t="s">
        <v>537</v>
      </c>
      <c r="M405" s="77" t="s">
        <v>1871</v>
      </c>
      <c r="N405" s="77">
        <v>2150021400</v>
      </c>
      <c r="O405" s="69">
        <v>45775</v>
      </c>
      <c r="P405" s="68"/>
      <c r="Q405" s="69">
        <v>45776</v>
      </c>
      <c r="R405" s="68" t="s">
        <v>30</v>
      </c>
      <c r="S405" s="68"/>
      <c r="T405" s="68"/>
      <c r="U405" s="71">
        <v>45809</v>
      </c>
      <c r="V405" s="68" t="s">
        <v>310</v>
      </c>
      <c r="W405" s="68">
        <v>150</v>
      </c>
      <c r="X405" s="72" t="s">
        <v>32</v>
      </c>
      <c r="Y405" s="68" t="s">
        <v>697</v>
      </c>
      <c r="Z405" s="390"/>
      <c r="AA405" s="390" t="s">
        <v>532</v>
      </c>
      <c r="AB405" s="390" t="s">
        <v>16</v>
      </c>
      <c r="AC405" s="390" t="s">
        <v>1889</v>
      </c>
    </row>
    <row r="406" spans="1:29" s="642" customFormat="1" ht="15" hidden="1" customHeight="1">
      <c r="A406" s="417" t="s">
        <v>25</v>
      </c>
      <c r="B406" s="417" t="s">
        <v>25</v>
      </c>
      <c r="C406" s="420" t="s">
        <v>2018</v>
      </c>
      <c r="D406" s="420" t="s">
        <v>2019</v>
      </c>
      <c r="E406" s="420" t="s">
        <v>621</v>
      </c>
      <c r="F406" s="420">
        <v>769227923</v>
      </c>
      <c r="G406" s="420">
        <v>769227923</v>
      </c>
      <c r="H406" s="419"/>
      <c r="I406" s="419"/>
      <c r="J406" s="420" t="s">
        <v>189</v>
      </c>
      <c r="K406" s="419" t="s">
        <v>198</v>
      </c>
      <c r="L406" s="419" t="s">
        <v>1137</v>
      </c>
      <c r="M406" s="818" t="s">
        <v>2140</v>
      </c>
      <c r="N406" s="818">
        <v>2150024466</v>
      </c>
      <c r="O406" s="426">
        <v>45792</v>
      </c>
      <c r="P406" s="422">
        <f ca="1">TODAY()-Q406</f>
        <v>276</v>
      </c>
      <c r="Q406" s="426">
        <v>45793</v>
      </c>
      <c r="R406" s="419" t="s">
        <v>30</v>
      </c>
      <c r="S406" s="419"/>
      <c r="T406" s="419">
        <v>0</v>
      </c>
      <c r="U406" s="424">
        <v>45809</v>
      </c>
      <c r="V406" s="419" t="s">
        <v>310</v>
      </c>
      <c r="W406" s="419">
        <v>500</v>
      </c>
      <c r="X406" s="425" t="s">
        <v>32</v>
      </c>
      <c r="Y406" s="419" t="s">
        <v>697</v>
      </c>
      <c r="Z406" s="390"/>
      <c r="AA406" s="390" t="s">
        <v>532</v>
      </c>
      <c r="AB406" s="390" t="s">
        <v>16</v>
      </c>
      <c r="AC406" s="464" t="s">
        <v>2136</v>
      </c>
    </row>
    <row r="407" spans="1:29" s="642" customFormat="1" ht="15" hidden="1" customHeight="1">
      <c r="A407" s="417" t="s">
        <v>25</v>
      </c>
      <c r="B407" s="417" t="s">
        <v>25</v>
      </c>
      <c r="C407" s="575" t="s">
        <v>2073</v>
      </c>
      <c r="D407" s="575" t="s">
        <v>2074</v>
      </c>
      <c r="E407" s="575" t="s">
        <v>2075</v>
      </c>
      <c r="F407" s="575">
        <v>789501920</v>
      </c>
      <c r="G407" s="575">
        <v>789501920</v>
      </c>
      <c r="H407" s="419">
        <v>5.8466699999999996</v>
      </c>
      <c r="I407" s="419">
        <v>-5.3587899999999999</v>
      </c>
      <c r="J407" s="575" t="s">
        <v>189</v>
      </c>
      <c r="K407" s="419" t="s">
        <v>274</v>
      </c>
      <c r="L407" s="419" t="s">
        <v>2079</v>
      </c>
      <c r="M407" s="650" t="s">
        <v>2129</v>
      </c>
      <c r="N407" s="650">
        <v>2150024461</v>
      </c>
      <c r="O407" s="459">
        <v>45798</v>
      </c>
      <c r="P407" s="422">
        <f ca="1">TODAY()-Q407</f>
        <v>270</v>
      </c>
      <c r="Q407" s="459">
        <v>45799</v>
      </c>
      <c r="R407" s="419" t="s">
        <v>30</v>
      </c>
      <c r="S407" s="419"/>
      <c r="T407" s="419"/>
      <c r="U407" s="424">
        <v>45809</v>
      </c>
      <c r="V407" s="419" t="s">
        <v>310</v>
      </c>
      <c r="W407" s="419">
        <v>100</v>
      </c>
      <c r="X407" s="425" t="s">
        <v>32</v>
      </c>
      <c r="Y407" s="419" t="s">
        <v>696</v>
      </c>
      <c r="Z407" s="390"/>
      <c r="AA407" s="390" t="s">
        <v>532</v>
      </c>
      <c r="AB407" s="390" t="s">
        <v>16</v>
      </c>
      <c r="AC407" s="390" t="s">
        <v>2086</v>
      </c>
    </row>
    <row r="408" spans="1:29" s="642" customFormat="1" ht="15" hidden="1" customHeight="1">
      <c r="A408" s="417" t="s">
        <v>25</v>
      </c>
      <c r="B408" s="417" t="s">
        <v>25</v>
      </c>
      <c r="C408" s="420" t="s">
        <v>2076</v>
      </c>
      <c r="D408" s="420" t="s">
        <v>2077</v>
      </c>
      <c r="E408" s="420" t="s">
        <v>2034</v>
      </c>
      <c r="F408" s="420">
        <v>141291729</v>
      </c>
      <c r="G408" s="420">
        <v>101030950</v>
      </c>
      <c r="H408" s="419">
        <v>5.8346650000000002</v>
      </c>
      <c r="I408" s="419">
        <v>-5.3507689999999997</v>
      </c>
      <c r="J408" s="420" t="s">
        <v>36</v>
      </c>
      <c r="K408" s="419" t="s">
        <v>274</v>
      </c>
      <c r="L408" s="419" t="s">
        <v>1030</v>
      </c>
      <c r="M408" s="650" t="s">
        <v>2130</v>
      </c>
      <c r="N408" s="650">
        <v>2150024462</v>
      </c>
      <c r="O408" s="426">
        <v>45799</v>
      </c>
      <c r="P408" s="422">
        <f ca="1">TODAY()-Q408</f>
        <v>269</v>
      </c>
      <c r="Q408" s="426">
        <v>45800</v>
      </c>
      <c r="R408" s="419" t="s">
        <v>30</v>
      </c>
      <c r="S408" s="419"/>
      <c r="T408" s="419">
        <v>2</v>
      </c>
      <c r="U408" s="424">
        <v>45809</v>
      </c>
      <c r="V408" s="419" t="s">
        <v>310</v>
      </c>
      <c r="W408" s="419">
        <v>200</v>
      </c>
      <c r="X408" s="425" t="s">
        <v>32</v>
      </c>
      <c r="Y408" s="419" t="s">
        <v>343</v>
      </c>
      <c r="Z408" s="390"/>
      <c r="AA408" s="390" t="s">
        <v>532</v>
      </c>
      <c r="AB408" s="390" t="s">
        <v>16</v>
      </c>
      <c r="AC408" s="390" t="s">
        <v>2087</v>
      </c>
    </row>
    <row r="409" spans="1:29" s="640" customFormat="1" ht="15" hidden="1" customHeight="1">
      <c r="A409" s="388" t="s">
        <v>25</v>
      </c>
      <c r="B409" s="388" t="s">
        <v>25</v>
      </c>
      <c r="C409" s="460" t="s">
        <v>1562</v>
      </c>
      <c r="D409" s="460" t="s">
        <v>1563</v>
      </c>
      <c r="E409" s="460" t="s">
        <v>1564</v>
      </c>
      <c r="F409" s="460">
        <v>544539266</v>
      </c>
      <c r="G409" s="460">
        <v>102584578</v>
      </c>
      <c r="H409" s="390">
        <v>5.8403229999999997</v>
      </c>
      <c r="I409" s="390">
        <v>-5.3440789999999998</v>
      </c>
      <c r="J409" s="461" t="s">
        <v>189</v>
      </c>
      <c r="K409" s="390" t="s">
        <v>274</v>
      </c>
      <c r="L409" s="390" t="s">
        <v>261</v>
      </c>
      <c r="M409" s="462" t="s">
        <v>2135</v>
      </c>
      <c r="N409" s="462">
        <v>2150024447</v>
      </c>
      <c r="O409" s="463">
        <v>45684</v>
      </c>
      <c r="P409" s="398">
        <f ca="1">TODAY()-Q409</f>
        <v>383</v>
      </c>
      <c r="Q409" s="463">
        <v>45686</v>
      </c>
      <c r="R409" s="390" t="s">
        <v>30</v>
      </c>
      <c r="S409" s="390"/>
      <c r="T409" s="390">
        <v>3</v>
      </c>
      <c r="U409" s="394">
        <v>45810</v>
      </c>
      <c r="V409" s="390" t="s">
        <v>310</v>
      </c>
      <c r="W409" s="390">
        <v>600</v>
      </c>
      <c r="X409" s="395" t="s">
        <v>32</v>
      </c>
      <c r="Y409" s="390" t="s">
        <v>578</v>
      </c>
      <c r="Z409" s="374"/>
      <c r="AA409" s="380" t="s">
        <v>532</v>
      </c>
      <c r="AB409" s="380" t="s">
        <v>16</v>
      </c>
      <c r="AC409" s="374" t="s">
        <v>2121</v>
      </c>
    </row>
    <row r="410" spans="1:29" s="640" customFormat="1" ht="15" hidden="1" customHeight="1">
      <c r="A410" s="388" t="s">
        <v>25</v>
      </c>
      <c r="B410" s="388" t="s">
        <v>25</v>
      </c>
      <c r="C410" s="391" t="s">
        <v>1881</v>
      </c>
      <c r="D410" s="391" t="s">
        <v>1843</v>
      </c>
      <c r="E410" s="391" t="s">
        <v>1882</v>
      </c>
      <c r="F410" s="391">
        <v>546615163</v>
      </c>
      <c r="G410" s="391">
        <v>777748899</v>
      </c>
      <c r="H410" s="390">
        <v>5.8403150000000004</v>
      </c>
      <c r="I410" s="390">
        <v>-5.3570549999999999</v>
      </c>
      <c r="J410" s="391" t="s">
        <v>36</v>
      </c>
      <c r="K410" s="390" t="s">
        <v>198</v>
      </c>
      <c r="L410" s="390" t="s">
        <v>537</v>
      </c>
      <c r="M410" s="462" t="s">
        <v>2134</v>
      </c>
      <c r="N410" s="462">
        <v>2150024467</v>
      </c>
      <c r="O410" s="399">
        <v>45779</v>
      </c>
      <c r="P410" s="398">
        <f ca="1">TODAY()-Q410</f>
        <v>289</v>
      </c>
      <c r="Q410" s="399">
        <v>45780</v>
      </c>
      <c r="R410" s="390" t="s">
        <v>30</v>
      </c>
      <c r="S410" s="390"/>
      <c r="T410" s="390">
        <v>0</v>
      </c>
      <c r="U410" s="394">
        <v>45810</v>
      </c>
      <c r="V410" s="390" t="s">
        <v>310</v>
      </c>
      <c r="W410" s="390">
        <v>150</v>
      </c>
      <c r="X410" s="395" t="s">
        <v>32</v>
      </c>
      <c r="Y410" s="390" t="s">
        <v>245</v>
      </c>
      <c r="Z410" s="374"/>
      <c r="AA410" s="380" t="s">
        <v>532</v>
      </c>
      <c r="AB410" s="380" t="s">
        <v>16</v>
      </c>
      <c r="AC410" s="374" t="s">
        <v>2122</v>
      </c>
    </row>
    <row r="411" spans="1:29" s="640" customFormat="1" ht="15" hidden="1" customHeight="1">
      <c r="A411" s="388" t="s">
        <v>25</v>
      </c>
      <c r="B411" s="388" t="s">
        <v>25</v>
      </c>
      <c r="C411" s="465" t="s">
        <v>2084</v>
      </c>
      <c r="D411" s="465" t="s">
        <v>2082</v>
      </c>
      <c r="E411" s="465" t="s">
        <v>2085</v>
      </c>
      <c r="F411" s="465">
        <v>757250200</v>
      </c>
      <c r="G411" s="465">
        <v>758227360</v>
      </c>
      <c r="H411" s="390">
        <v>5.8399850000000004</v>
      </c>
      <c r="I411" s="390">
        <v>-5.3588659999999999</v>
      </c>
      <c r="J411" s="465" t="s">
        <v>36</v>
      </c>
      <c r="K411" s="390" t="s">
        <v>190</v>
      </c>
      <c r="L411" s="390" t="s">
        <v>1263</v>
      </c>
      <c r="M411" s="462" t="s">
        <v>2132</v>
      </c>
      <c r="N411" s="462">
        <v>2150024464</v>
      </c>
      <c r="O411" s="466">
        <v>45800</v>
      </c>
      <c r="P411" s="390"/>
      <c r="Q411" s="466">
        <v>45801</v>
      </c>
      <c r="R411" s="390" t="s">
        <v>30</v>
      </c>
      <c r="S411" s="390"/>
      <c r="T411" s="390">
        <v>0</v>
      </c>
      <c r="U411" s="394">
        <v>45810</v>
      </c>
      <c r="V411" s="390" t="s">
        <v>310</v>
      </c>
      <c r="W411" s="390">
        <v>100</v>
      </c>
      <c r="X411" s="395" t="s">
        <v>32</v>
      </c>
      <c r="Y411" s="390" t="s">
        <v>343</v>
      </c>
      <c r="Z411" s="374"/>
      <c r="AA411" s="380" t="s">
        <v>532</v>
      </c>
      <c r="AB411" s="380" t="s">
        <v>16</v>
      </c>
      <c r="AC411" s="374" t="s">
        <v>2112</v>
      </c>
    </row>
    <row r="412" spans="1:29" s="640" customFormat="1" ht="15" hidden="1" customHeight="1">
      <c r="A412" s="388" t="s">
        <v>25</v>
      </c>
      <c r="B412" s="388" t="s">
        <v>25</v>
      </c>
      <c r="C412" s="465" t="s">
        <v>2081</v>
      </c>
      <c r="D412" s="465" t="s">
        <v>2082</v>
      </c>
      <c r="E412" s="465" t="s">
        <v>2083</v>
      </c>
      <c r="F412" s="465">
        <v>758227360</v>
      </c>
      <c r="G412" s="465">
        <v>757250200</v>
      </c>
      <c r="H412" s="390">
        <v>5.8382870000000002</v>
      </c>
      <c r="I412" s="390">
        <v>-5.3515519999999999</v>
      </c>
      <c r="J412" s="465" t="s">
        <v>189</v>
      </c>
      <c r="K412" s="390" t="s">
        <v>190</v>
      </c>
      <c r="L412" s="390" t="s">
        <v>583</v>
      </c>
      <c r="M412" s="462" t="s">
        <v>2131</v>
      </c>
      <c r="N412" s="462">
        <v>2150024463</v>
      </c>
      <c r="O412" s="466">
        <v>45800</v>
      </c>
      <c r="P412" s="390"/>
      <c r="Q412" s="466">
        <v>45801</v>
      </c>
      <c r="R412" s="390" t="s">
        <v>30</v>
      </c>
      <c r="S412" s="390"/>
      <c r="T412" s="390">
        <v>1</v>
      </c>
      <c r="U412" s="394">
        <v>45810</v>
      </c>
      <c r="V412" s="390" t="s">
        <v>310</v>
      </c>
      <c r="W412" s="390">
        <v>150</v>
      </c>
      <c r="X412" s="395" t="s">
        <v>32</v>
      </c>
      <c r="Y412" s="390" t="s">
        <v>343</v>
      </c>
      <c r="Z412" s="374"/>
      <c r="AA412" s="380" t="s">
        <v>532</v>
      </c>
      <c r="AB412" s="380" t="s">
        <v>16</v>
      </c>
      <c r="AC412" s="374" t="s">
        <v>2125</v>
      </c>
    </row>
    <row r="413" spans="1:29" s="640" customFormat="1" ht="15" hidden="1" customHeight="1">
      <c r="A413" s="372" t="s">
        <v>25</v>
      </c>
      <c r="B413" s="372" t="s">
        <v>25</v>
      </c>
      <c r="C413" s="468" t="s">
        <v>2060</v>
      </c>
      <c r="D413" s="468" t="s">
        <v>2061</v>
      </c>
      <c r="E413" s="468" t="s">
        <v>434</v>
      </c>
      <c r="F413" s="468">
        <v>101545492</v>
      </c>
      <c r="G413" s="468">
        <v>101545492</v>
      </c>
      <c r="H413" s="374">
        <v>5.8441039999999997</v>
      </c>
      <c r="I413" s="374">
        <v>-5.3566149999999997</v>
      </c>
      <c r="J413" s="468" t="s">
        <v>189</v>
      </c>
      <c r="K413" s="374" t="s">
        <v>203</v>
      </c>
      <c r="L413" s="374" t="s">
        <v>541</v>
      </c>
      <c r="M413" s="467" t="s">
        <v>2128</v>
      </c>
      <c r="N413" s="467">
        <v>2150024459</v>
      </c>
      <c r="O413" s="469">
        <v>45797</v>
      </c>
      <c r="P413" s="377">
        <f ca="1">TODAY()-Q413</f>
        <v>271</v>
      </c>
      <c r="Q413" s="470">
        <v>45798</v>
      </c>
      <c r="R413" s="374" t="s">
        <v>30</v>
      </c>
      <c r="S413" s="374"/>
      <c r="T413" s="374">
        <v>1</v>
      </c>
      <c r="U413" s="378">
        <v>45811</v>
      </c>
      <c r="V413" s="374" t="s">
        <v>310</v>
      </c>
      <c r="W413" s="374">
        <v>300</v>
      </c>
      <c r="X413" s="379" t="s">
        <v>32</v>
      </c>
      <c r="Y413" s="374" t="s">
        <v>1521</v>
      </c>
      <c r="Z413" s="374"/>
      <c r="AA413" s="380" t="s">
        <v>532</v>
      </c>
      <c r="AB413" s="380" t="s">
        <v>16</v>
      </c>
      <c r="AC413" s="374" t="s">
        <v>2067</v>
      </c>
    </row>
    <row r="414" spans="1:29" s="640" customFormat="1" ht="15" hidden="1" customHeight="1">
      <c r="A414" s="372" t="s">
        <v>25</v>
      </c>
      <c r="B414" s="372" t="s">
        <v>25</v>
      </c>
      <c r="C414" s="373" t="s">
        <v>2090</v>
      </c>
      <c r="D414" s="373" t="s">
        <v>2091</v>
      </c>
      <c r="E414" s="373" t="s">
        <v>2092</v>
      </c>
      <c r="F414" s="373">
        <v>749114642</v>
      </c>
      <c r="G414" s="373">
        <v>797672684</v>
      </c>
      <c r="H414" s="374">
        <v>5.8433900000000003</v>
      </c>
      <c r="I414" s="374">
        <v>-5.3629939999999996</v>
      </c>
      <c r="J414" s="373" t="s">
        <v>36</v>
      </c>
      <c r="K414" s="374" t="s">
        <v>190</v>
      </c>
      <c r="L414" s="374" t="s">
        <v>1705</v>
      </c>
      <c r="M414" s="467" t="s">
        <v>2145</v>
      </c>
      <c r="N414" s="467">
        <v>2150024439</v>
      </c>
      <c r="O414" s="376">
        <v>45804</v>
      </c>
      <c r="P414" s="374"/>
      <c r="Q414" s="376">
        <v>45805</v>
      </c>
      <c r="R414" s="374" t="s">
        <v>30</v>
      </c>
      <c r="S414" s="374"/>
      <c r="T414" s="374">
        <v>0</v>
      </c>
      <c r="U414" s="378">
        <v>45811</v>
      </c>
      <c r="V414" s="374" t="s">
        <v>310</v>
      </c>
      <c r="W414" s="374">
        <v>100</v>
      </c>
      <c r="X414" s="379" t="s">
        <v>32</v>
      </c>
      <c r="Y414" s="374" t="s">
        <v>697</v>
      </c>
      <c r="Z414" s="374"/>
      <c r="AA414" s="380" t="s">
        <v>532</v>
      </c>
      <c r="AB414" s="380" t="s">
        <v>16</v>
      </c>
      <c r="AC414" s="374" t="s">
        <v>2127</v>
      </c>
    </row>
    <row r="415" spans="1:29" s="639" customFormat="1" ht="15" hidden="1" customHeight="1">
      <c r="A415" s="372" t="s">
        <v>25</v>
      </c>
      <c r="B415" s="372" t="s">
        <v>25</v>
      </c>
      <c r="C415" s="373" t="s">
        <v>2088</v>
      </c>
      <c r="D415" s="373" t="s">
        <v>2089</v>
      </c>
      <c r="E415" s="373" t="s">
        <v>664</v>
      </c>
      <c r="F415" s="373">
        <v>140332563</v>
      </c>
      <c r="G415" s="373">
        <v>707183914</v>
      </c>
      <c r="H415" s="374">
        <v>5.8325630000000004</v>
      </c>
      <c r="I415" s="374">
        <v>-5.3568290000000003</v>
      </c>
      <c r="J415" s="373" t="s">
        <v>36</v>
      </c>
      <c r="K415" s="374" t="s">
        <v>274</v>
      </c>
      <c r="L415" s="374" t="s">
        <v>2111</v>
      </c>
      <c r="M415" s="467" t="s">
        <v>2133</v>
      </c>
      <c r="N415" s="467">
        <v>2150024465</v>
      </c>
      <c r="O415" s="376">
        <v>45804</v>
      </c>
      <c r="P415" s="374"/>
      <c r="Q415" s="376">
        <v>45805</v>
      </c>
      <c r="R415" s="374" t="s">
        <v>30</v>
      </c>
      <c r="S415" s="374"/>
      <c r="T415" s="374">
        <v>1</v>
      </c>
      <c r="U415" s="378">
        <v>45811</v>
      </c>
      <c r="V415" s="374" t="s">
        <v>310</v>
      </c>
      <c r="W415" s="374">
        <v>100</v>
      </c>
      <c r="X415" s="379" t="s">
        <v>32</v>
      </c>
      <c r="Y415" s="374" t="s">
        <v>696</v>
      </c>
      <c r="Z415" s="473"/>
      <c r="AA415" s="480" t="s">
        <v>532</v>
      </c>
      <c r="AB415" s="480" t="s">
        <v>16</v>
      </c>
      <c r="AC415" s="473" t="s">
        <v>2068</v>
      </c>
    </row>
    <row r="416" spans="1:29" s="639" customFormat="1" ht="15" hidden="1" customHeight="1">
      <c r="A416" s="372" t="s">
        <v>25</v>
      </c>
      <c r="B416" s="372" t="s">
        <v>25</v>
      </c>
      <c r="C416" s="468" t="s">
        <v>2098</v>
      </c>
      <c r="D416" s="468" t="s">
        <v>2097</v>
      </c>
      <c r="E416" s="468" t="s">
        <v>621</v>
      </c>
      <c r="F416" s="468">
        <v>101848420</v>
      </c>
      <c r="G416" s="468">
        <v>789000013</v>
      </c>
      <c r="H416" s="374">
        <v>5.8515879999999996</v>
      </c>
      <c r="I416" s="374">
        <v>-5.3517659999999996</v>
      </c>
      <c r="J416" s="468" t="s">
        <v>189</v>
      </c>
      <c r="K416" s="374" t="s">
        <v>198</v>
      </c>
      <c r="L416" s="374" t="s">
        <v>282</v>
      </c>
      <c r="M416" s="467" t="s">
        <v>2146</v>
      </c>
      <c r="N416" s="467">
        <v>2150024440</v>
      </c>
      <c r="O416" s="469">
        <v>45804</v>
      </c>
      <c r="P416" s="374"/>
      <c r="Q416" s="469">
        <v>45807</v>
      </c>
      <c r="R416" s="374" t="s">
        <v>30</v>
      </c>
      <c r="S416" s="374"/>
      <c r="T416" s="374"/>
      <c r="U416" s="378">
        <v>45811</v>
      </c>
      <c r="V416" s="374" t="s">
        <v>310</v>
      </c>
      <c r="W416" s="374">
        <v>200</v>
      </c>
      <c r="X416" s="379" t="s">
        <v>32</v>
      </c>
      <c r="Y416" s="374" t="s">
        <v>245</v>
      </c>
      <c r="Z416" s="473"/>
      <c r="AA416" s="480" t="s">
        <v>532</v>
      </c>
      <c r="AB416" s="480" t="s">
        <v>16</v>
      </c>
      <c r="AC416" s="473" t="s">
        <v>2123</v>
      </c>
    </row>
    <row r="417" spans="1:29" s="639" customFormat="1" ht="15" hidden="1" customHeight="1">
      <c r="A417" s="372" t="s">
        <v>25</v>
      </c>
      <c r="B417" s="372" t="s">
        <v>25</v>
      </c>
      <c r="C417" s="468" t="s">
        <v>2104</v>
      </c>
      <c r="D417" s="468" t="s">
        <v>2105</v>
      </c>
      <c r="E417" s="468" t="s">
        <v>2106</v>
      </c>
      <c r="F417" s="468">
        <v>708173830</v>
      </c>
      <c r="G417" s="468">
        <v>788093345</v>
      </c>
      <c r="H417" s="374">
        <v>5.8372700000000002</v>
      </c>
      <c r="I417" s="374">
        <v>-5.3635200000000003</v>
      </c>
      <c r="J417" s="468" t="s">
        <v>36</v>
      </c>
      <c r="K417" s="374" t="s">
        <v>203</v>
      </c>
      <c r="L417" s="374" t="s">
        <v>2126</v>
      </c>
      <c r="M417" s="467" t="s">
        <v>2149</v>
      </c>
      <c r="N417" s="467">
        <v>2150024446</v>
      </c>
      <c r="O417" s="469">
        <v>45804</v>
      </c>
      <c r="P417" s="374"/>
      <c r="Q417" s="469">
        <v>45807</v>
      </c>
      <c r="R417" s="374" t="s">
        <v>30</v>
      </c>
      <c r="S417" s="374"/>
      <c r="T417" s="374">
        <v>0</v>
      </c>
      <c r="U417" s="378">
        <v>45811</v>
      </c>
      <c r="V417" s="374" t="s">
        <v>310</v>
      </c>
      <c r="W417" s="374">
        <v>100</v>
      </c>
      <c r="X417" s="379" t="s">
        <v>32</v>
      </c>
      <c r="Y417" s="374" t="s">
        <v>697</v>
      </c>
      <c r="Z417" s="473"/>
      <c r="AA417" s="480" t="s">
        <v>532</v>
      </c>
      <c r="AB417" s="473" t="s">
        <v>16</v>
      </c>
      <c r="AC417" s="473" t="s">
        <v>2144</v>
      </c>
    </row>
    <row r="418" spans="1:29" s="639" customFormat="1" ht="15" hidden="1" customHeight="1">
      <c r="A418" s="372" t="s">
        <v>25</v>
      </c>
      <c r="B418" s="372" t="s">
        <v>25</v>
      </c>
      <c r="C418" s="373" t="s">
        <v>2119</v>
      </c>
      <c r="D418" s="373" t="s">
        <v>2120</v>
      </c>
      <c r="E418" s="373" t="s">
        <v>289</v>
      </c>
      <c r="F418" s="373">
        <v>701941485</v>
      </c>
      <c r="G418" s="373">
        <v>748037353</v>
      </c>
      <c r="H418" s="374">
        <v>5.8343100000000003</v>
      </c>
      <c r="I418" s="374">
        <v>-5.3551500000000001</v>
      </c>
      <c r="J418" s="468" t="s">
        <v>36</v>
      </c>
      <c r="K418" s="374" t="s">
        <v>274</v>
      </c>
      <c r="L418" s="374" t="s">
        <v>1797</v>
      </c>
      <c r="M418" s="467" t="s">
        <v>2150</v>
      </c>
      <c r="N418" s="467">
        <v>2150024445</v>
      </c>
      <c r="O418" s="376">
        <v>45808</v>
      </c>
      <c r="P418" s="374"/>
      <c r="Q418" s="376">
        <v>45808</v>
      </c>
      <c r="R418" s="374" t="s">
        <v>30</v>
      </c>
      <c r="S418" s="374"/>
      <c r="T418" s="374">
        <v>1</v>
      </c>
      <c r="U418" s="378">
        <v>45811</v>
      </c>
      <c r="V418" s="374" t="s">
        <v>310</v>
      </c>
      <c r="W418" s="374">
        <v>300</v>
      </c>
      <c r="X418" s="379" t="s">
        <v>32</v>
      </c>
      <c r="Y418" s="374" t="s">
        <v>245</v>
      </c>
      <c r="Z418" s="473"/>
      <c r="AA418" s="480" t="s">
        <v>532</v>
      </c>
      <c r="AB418" s="473" t="s">
        <v>16</v>
      </c>
      <c r="AC418" s="473" t="s">
        <v>1890</v>
      </c>
    </row>
    <row r="419" spans="1:29" s="639" customFormat="1" ht="15" hidden="1" customHeight="1">
      <c r="A419" s="471" t="s">
        <v>25</v>
      </c>
      <c r="B419" s="471" t="s">
        <v>25</v>
      </c>
      <c r="C419" s="481" t="s">
        <v>1883</v>
      </c>
      <c r="D419" s="481" t="s">
        <v>1884</v>
      </c>
      <c r="E419" s="481" t="s">
        <v>35</v>
      </c>
      <c r="F419" s="481">
        <v>708722122</v>
      </c>
      <c r="G419" s="481">
        <v>707074040</v>
      </c>
      <c r="H419" s="473">
        <v>5.8394209999999998</v>
      </c>
      <c r="I419" s="473">
        <v>-5.3578939999999999</v>
      </c>
      <c r="J419" s="481" t="s">
        <v>36</v>
      </c>
      <c r="K419" s="473" t="s">
        <v>190</v>
      </c>
      <c r="L419" s="473" t="s">
        <v>37</v>
      </c>
      <c r="M419" s="474" t="s">
        <v>2164</v>
      </c>
      <c r="N419" s="474">
        <v>2150024448</v>
      </c>
      <c r="O419" s="482">
        <v>45779</v>
      </c>
      <c r="P419" s="476">
        <f ca="1">TODAY()-Q419</f>
        <v>289</v>
      </c>
      <c r="Q419" s="482">
        <v>45780</v>
      </c>
      <c r="R419" s="473" t="s">
        <v>273</v>
      </c>
      <c r="S419" s="473"/>
      <c r="T419" s="473">
        <v>0</v>
      </c>
      <c r="U419" s="478">
        <v>45812</v>
      </c>
      <c r="V419" s="473" t="s">
        <v>310</v>
      </c>
      <c r="W419" s="473">
        <v>200</v>
      </c>
      <c r="X419" s="479" t="s">
        <v>32</v>
      </c>
      <c r="Y419" s="473"/>
      <c r="Z419" s="390"/>
      <c r="AA419" s="389" t="s">
        <v>532</v>
      </c>
      <c r="AB419" s="389" t="s">
        <v>16</v>
      </c>
      <c r="AC419" s="390" t="s">
        <v>2171</v>
      </c>
    </row>
    <row r="420" spans="1:29" s="639" customFormat="1" ht="15" hidden="1" customHeight="1">
      <c r="A420" s="471" t="s">
        <v>25</v>
      </c>
      <c r="B420" s="471" t="s">
        <v>25</v>
      </c>
      <c r="C420" s="472" t="s">
        <v>2062</v>
      </c>
      <c r="D420" s="472" t="s">
        <v>2063</v>
      </c>
      <c r="E420" s="472" t="s">
        <v>2064</v>
      </c>
      <c r="F420" s="472">
        <v>141530152</v>
      </c>
      <c r="G420" s="472">
        <v>707880252</v>
      </c>
      <c r="H420" s="473">
        <v>5.8412759999999997</v>
      </c>
      <c r="I420" s="473">
        <v>-5.3573139999999997</v>
      </c>
      <c r="J420" s="472" t="s">
        <v>36</v>
      </c>
      <c r="K420" s="473" t="s">
        <v>190</v>
      </c>
      <c r="L420" s="473" t="s">
        <v>474</v>
      </c>
      <c r="M420" s="474" t="s">
        <v>2142</v>
      </c>
      <c r="N420" s="474">
        <v>2150024460</v>
      </c>
      <c r="O420" s="475">
        <v>45796</v>
      </c>
      <c r="P420" s="476">
        <f ca="1">TODAY()-Q420</f>
        <v>271</v>
      </c>
      <c r="Q420" s="477">
        <v>45798</v>
      </c>
      <c r="R420" s="473" t="s">
        <v>30</v>
      </c>
      <c r="S420" s="473"/>
      <c r="T420" s="473">
        <v>2</v>
      </c>
      <c r="U420" s="478">
        <v>45812</v>
      </c>
      <c r="V420" s="473" t="s">
        <v>310</v>
      </c>
      <c r="W420" s="473">
        <v>400</v>
      </c>
      <c r="X420" s="479" t="s">
        <v>32</v>
      </c>
      <c r="Y420" s="473" t="s">
        <v>533</v>
      </c>
      <c r="Z420" s="390"/>
      <c r="AA420" s="389" t="s">
        <v>532</v>
      </c>
      <c r="AB420" s="389" t="s">
        <v>16</v>
      </c>
      <c r="AC420" s="390" t="s">
        <v>2170</v>
      </c>
    </row>
    <row r="421" spans="1:29" s="639" customFormat="1" ht="15" hidden="1" customHeight="1">
      <c r="A421" s="471" t="s">
        <v>25</v>
      </c>
      <c r="B421" s="471" t="s">
        <v>25</v>
      </c>
      <c r="C421" s="472" t="s">
        <v>2107</v>
      </c>
      <c r="D421" s="472" t="s">
        <v>2108</v>
      </c>
      <c r="E421" s="472" t="s">
        <v>145</v>
      </c>
      <c r="F421" s="472">
        <v>102059028</v>
      </c>
      <c r="G421" s="472">
        <v>748518062</v>
      </c>
      <c r="H421" s="473">
        <v>5.8404639999999999</v>
      </c>
      <c r="I421" s="473">
        <v>-5.3474130000000004</v>
      </c>
      <c r="J421" s="472" t="s">
        <v>189</v>
      </c>
      <c r="K421" s="473" t="s">
        <v>190</v>
      </c>
      <c r="L421" s="473" t="s">
        <v>94</v>
      </c>
      <c r="M421" s="474" t="s">
        <v>2148</v>
      </c>
      <c r="N421" s="474">
        <v>2150024442</v>
      </c>
      <c r="O421" s="475">
        <v>45804</v>
      </c>
      <c r="P421" s="473"/>
      <c r="Q421" s="475">
        <v>45807</v>
      </c>
      <c r="R421" s="473" t="s">
        <v>30</v>
      </c>
      <c r="S421" s="473"/>
      <c r="T421" s="473">
        <v>1</v>
      </c>
      <c r="U421" s="478">
        <v>45812</v>
      </c>
      <c r="V421" s="473" t="s">
        <v>310</v>
      </c>
      <c r="W421" s="473">
        <v>100</v>
      </c>
      <c r="X421" s="479" t="s">
        <v>32</v>
      </c>
      <c r="Y421" s="473" t="s">
        <v>343</v>
      </c>
      <c r="Z421" s="390"/>
      <c r="AA421" s="389" t="s">
        <v>532</v>
      </c>
      <c r="AB421" s="389" t="s">
        <v>16</v>
      </c>
      <c r="AC421" s="390" t="s">
        <v>2163</v>
      </c>
    </row>
    <row r="422" spans="1:29" s="639" customFormat="1" ht="15" hidden="1" customHeight="1">
      <c r="A422" s="471" t="s">
        <v>25</v>
      </c>
      <c r="B422" s="471" t="s">
        <v>25</v>
      </c>
      <c r="C422" s="481" t="s">
        <v>2137</v>
      </c>
      <c r="D422" s="481" t="s">
        <v>2138</v>
      </c>
      <c r="E422" s="481" t="s">
        <v>2139</v>
      </c>
      <c r="F422" s="481">
        <v>502128016</v>
      </c>
      <c r="G422" s="481">
        <v>779363370</v>
      </c>
      <c r="H422" s="473">
        <v>5.83948</v>
      </c>
      <c r="I422" s="473">
        <v>5.35487</v>
      </c>
      <c r="J422" s="481" t="s">
        <v>189</v>
      </c>
      <c r="K422" s="473" t="s">
        <v>203</v>
      </c>
      <c r="L422" s="473" t="s">
        <v>2143</v>
      </c>
      <c r="M422" s="474" t="s">
        <v>2151</v>
      </c>
      <c r="N422" s="474">
        <v>2150024444</v>
      </c>
      <c r="O422" s="482">
        <v>45808</v>
      </c>
      <c r="P422" s="473"/>
      <c r="Q422" s="482">
        <v>45809</v>
      </c>
      <c r="R422" s="473" t="s">
        <v>30</v>
      </c>
      <c r="S422" s="473"/>
      <c r="T422" s="473">
        <v>3</v>
      </c>
      <c r="U422" s="478">
        <v>45812</v>
      </c>
      <c r="V422" s="473" t="s">
        <v>310</v>
      </c>
      <c r="W422" s="473">
        <v>300</v>
      </c>
      <c r="X422" s="473"/>
      <c r="Y422" s="473"/>
      <c r="Z422" s="410"/>
      <c r="AA422" s="409" t="s">
        <v>532</v>
      </c>
      <c r="AB422" s="409" t="s">
        <v>16</v>
      </c>
      <c r="AC422" s="410" t="s">
        <v>2173</v>
      </c>
    </row>
    <row r="423" spans="1:29" s="639" customFormat="1" ht="15" hidden="1" customHeight="1">
      <c r="A423" s="388" t="s">
        <v>25</v>
      </c>
      <c r="B423" s="388" t="s">
        <v>25</v>
      </c>
      <c r="C423" s="461" t="s">
        <v>2161</v>
      </c>
      <c r="D423" s="461" t="s">
        <v>2162</v>
      </c>
      <c r="E423" s="461" t="s">
        <v>240</v>
      </c>
      <c r="F423" s="461">
        <v>170447344</v>
      </c>
      <c r="G423" s="461">
        <v>748267839</v>
      </c>
      <c r="H423" s="390">
        <v>5.8336100000000002</v>
      </c>
      <c r="I423" s="390">
        <v>-5.3506200000000002</v>
      </c>
      <c r="J423" s="390" t="s">
        <v>36</v>
      </c>
      <c r="K423" s="390" t="s">
        <v>274</v>
      </c>
      <c r="L423" s="390" t="s">
        <v>538</v>
      </c>
      <c r="M423" s="392" t="s">
        <v>2179</v>
      </c>
      <c r="N423" s="392">
        <v>2150024443</v>
      </c>
      <c r="O423" s="484">
        <v>45811</v>
      </c>
      <c r="P423" s="390"/>
      <c r="Q423" s="484">
        <v>45812</v>
      </c>
      <c r="R423" s="390" t="s">
        <v>30</v>
      </c>
      <c r="S423" s="390"/>
      <c r="T423" s="390">
        <v>0</v>
      </c>
      <c r="U423" s="394">
        <v>45815</v>
      </c>
      <c r="V423" s="390" t="s">
        <v>310</v>
      </c>
      <c r="W423" s="390">
        <v>150</v>
      </c>
      <c r="X423" s="395" t="s">
        <v>32</v>
      </c>
      <c r="Y423" s="390" t="s">
        <v>627</v>
      </c>
      <c r="Z423" s="410"/>
      <c r="AA423" s="409" t="s">
        <v>532</v>
      </c>
      <c r="AB423" s="409" t="s">
        <v>16</v>
      </c>
      <c r="AC423" s="410" t="s">
        <v>2187</v>
      </c>
    </row>
    <row r="424" spans="1:29" s="639" customFormat="1" ht="15" hidden="1" customHeight="1">
      <c r="A424" s="388" t="s">
        <v>25</v>
      </c>
      <c r="B424" s="388" t="s">
        <v>25</v>
      </c>
      <c r="C424" s="461" t="s">
        <v>2159</v>
      </c>
      <c r="D424" s="461" t="s">
        <v>2160</v>
      </c>
      <c r="E424" s="461" t="s">
        <v>621</v>
      </c>
      <c r="F424" s="461">
        <v>172705786</v>
      </c>
      <c r="G424" s="461">
        <v>708770345</v>
      </c>
      <c r="H424" s="390">
        <v>5.8480600000000003</v>
      </c>
      <c r="I424" s="390">
        <v>-5.35093</v>
      </c>
      <c r="J424" s="390" t="s">
        <v>189</v>
      </c>
      <c r="K424" s="390" t="s">
        <v>198</v>
      </c>
      <c r="L424" s="390" t="s">
        <v>282</v>
      </c>
      <c r="M424" s="392" t="s">
        <v>2178</v>
      </c>
      <c r="N424" s="392">
        <v>2150024450</v>
      </c>
      <c r="O424" s="484">
        <v>45811</v>
      </c>
      <c r="P424" s="390"/>
      <c r="Q424" s="484">
        <v>45812</v>
      </c>
      <c r="R424" s="390" t="s">
        <v>30</v>
      </c>
      <c r="S424" s="390"/>
      <c r="T424" s="390">
        <v>0</v>
      </c>
      <c r="U424" s="394">
        <v>45815</v>
      </c>
      <c r="V424" s="390" t="s">
        <v>310</v>
      </c>
      <c r="W424" s="390">
        <v>200</v>
      </c>
      <c r="X424" s="395" t="s">
        <v>32</v>
      </c>
      <c r="Y424" s="390" t="s">
        <v>533</v>
      </c>
      <c r="Z424" s="80"/>
      <c r="AA424" s="511" t="s">
        <v>532</v>
      </c>
      <c r="AB424" s="83" t="s">
        <v>16</v>
      </c>
      <c r="AC424" s="80" t="s">
        <v>2124</v>
      </c>
    </row>
    <row r="425" spans="1:29" s="647" customFormat="1" ht="15" hidden="1" customHeight="1">
      <c r="A425" s="388" t="s">
        <v>25</v>
      </c>
      <c r="B425" s="388" t="s">
        <v>25</v>
      </c>
      <c r="C425" s="461" t="s">
        <v>2157</v>
      </c>
      <c r="D425" s="461" t="s">
        <v>2158</v>
      </c>
      <c r="E425" s="461" t="s">
        <v>2048</v>
      </c>
      <c r="F425" s="461">
        <v>172940774</v>
      </c>
      <c r="G425" s="461">
        <v>749903050</v>
      </c>
      <c r="H425" s="390">
        <v>5.8404800000000003</v>
      </c>
      <c r="I425" s="390">
        <v>-5.3529</v>
      </c>
      <c r="J425" s="390" t="s">
        <v>189</v>
      </c>
      <c r="K425" s="390" t="s">
        <v>190</v>
      </c>
      <c r="L425" s="390" t="s">
        <v>514</v>
      </c>
      <c r="M425" s="392" t="s">
        <v>2177</v>
      </c>
      <c r="N425" s="392">
        <v>2150024452</v>
      </c>
      <c r="O425" s="484">
        <v>45811</v>
      </c>
      <c r="P425" s="390"/>
      <c r="Q425" s="484">
        <v>45812</v>
      </c>
      <c r="R425" s="390" t="s">
        <v>30</v>
      </c>
      <c r="S425" s="390"/>
      <c r="T425" s="390">
        <v>0</v>
      </c>
      <c r="U425" s="394">
        <v>45817</v>
      </c>
      <c r="V425" s="390" t="s">
        <v>310</v>
      </c>
      <c r="W425" s="390">
        <v>200</v>
      </c>
      <c r="X425" s="395" t="s">
        <v>32</v>
      </c>
      <c r="Y425" s="390" t="s">
        <v>228</v>
      </c>
      <c r="Z425" s="495"/>
      <c r="AA425" s="499" t="s">
        <v>532</v>
      </c>
      <c r="AB425" s="499" t="s">
        <v>16</v>
      </c>
      <c r="AC425" s="495" t="s">
        <v>2196</v>
      </c>
    </row>
    <row r="426" spans="1:29" s="647" customFormat="1" ht="15" hidden="1" customHeight="1">
      <c r="A426" s="408" t="s">
        <v>25</v>
      </c>
      <c r="B426" s="408" t="s">
        <v>25</v>
      </c>
      <c r="C426" s="411" t="s">
        <v>2154</v>
      </c>
      <c r="D426" s="411" t="s">
        <v>354</v>
      </c>
      <c r="E426" s="411" t="s">
        <v>2156</v>
      </c>
      <c r="F426" s="411">
        <v>749413011</v>
      </c>
      <c r="G426" s="411">
        <v>749413011</v>
      </c>
      <c r="H426" s="410">
        <v>5.8467099999999999</v>
      </c>
      <c r="I426" s="410">
        <v>-5.3587800000000003</v>
      </c>
      <c r="J426" s="411" t="s">
        <v>189</v>
      </c>
      <c r="K426" s="410" t="s">
        <v>198</v>
      </c>
      <c r="L426" s="410" t="s">
        <v>2172</v>
      </c>
      <c r="M426" s="485" t="s">
        <v>2175</v>
      </c>
      <c r="N426" s="485">
        <v>2150024451</v>
      </c>
      <c r="O426" s="415">
        <v>45810</v>
      </c>
      <c r="P426" s="410"/>
      <c r="Q426" s="415">
        <v>45811</v>
      </c>
      <c r="R426" s="410" t="s">
        <v>30</v>
      </c>
      <c r="S426" s="410"/>
      <c r="T426" s="410">
        <v>0</v>
      </c>
      <c r="U426" s="414">
        <v>45818</v>
      </c>
      <c r="V426" s="410" t="s">
        <v>310</v>
      </c>
      <c r="W426" s="410">
        <v>100</v>
      </c>
      <c r="X426" s="413" t="s">
        <v>32</v>
      </c>
      <c r="Y426" s="410" t="s">
        <v>193</v>
      </c>
      <c r="Z426" s="495"/>
      <c r="AA426" s="499" t="s">
        <v>532</v>
      </c>
      <c r="AB426" s="499" t="s">
        <v>16</v>
      </c>
      <c r="AC426" s="495" t="s">
        <v>2186</v>
      </c>
    </row>
    <row r="427" spans="1:29" s="647" customFormat="1" ht="15" hidden="1" customHeight="1">
      <c r="A427" s="408" t="s">
        <v>25</v>
      </c>
      <c r="B427" s="408" t="s">
        <v>25</v>
      </c>
      <c r="C427" s="486" t="s">
        <v>2183</v>
      </c>
      <c r="D427" s="486" t="s">
        <v>2184</v>
      </c>
      <c r="E427" s="486" t="s">
        <v>84</v>
      </c>
      <c r="F427" s="486">
        <v>102944410</v>
      </c>
      <c r="G427" s="486">
        <v>747423036</v>
      </c>
      <c r="H427" s="410">
        <v>5.8371380000000004</v>
      </c>
      <c r="I427" s="410">
        <v>-5.3636302000000002</v>
      </c>
      <c r="J427" s="410" t="s">
        <v>36</v>
      </c>
      <c r="K427" s="410" t="s">
        <v>203</v>
      </c>
      <c r="L427" s="410" t="s">
        <v>946</v>
      </c>
      <c r="M427" s="410" t="s">
        <v>2188</v>
      </c>
      <c r="N427" s="410">
        <v>2150024454</v>
      </c>
      <c r="O427" s="487">
        <v>45813</v>
      </c>
      <c r="P427" s="410"/>
      <c r="Q427" s="487">
        <v>45815</v>
      </c>
      <c r="R427" s="410" t="s">
        <v>30</v>
      </c>
      <c r="S427" s="410"/>
      <c r="T427" s="410">
        <v>0</v>
      </c>
      <c r="U427" s="414">
        <v>45818</v>
      </c>
      <c r="V427" s="410" t="s">
        <v>310</v>
      </c>
      <c r="W427" s="410">
        <v>100</v>
      </c>
      <c r="X427" s="413" t="s">
        <v>32</v>
      </c>
      <c r="Y427" s="410" t="s">
        <v>228</v>
      </c>
      <c r="Z427" s="495"/>
      <c r="AA427" s="499" t="s">
        <v>532</v>
      </c>
      <c r="AB427" s="499" t="s">
        <v>16</v>
      </c>
      <c r="AC427" s="495" t="s">
        <v>2174</v>
      </c>
    </row>
    <row r="428" spans="1:29" s="639" customFormat="1" ht="15" hidden="1" customHeight="1">
      <c r="A428" s="362" t="s">
        <v>25</v>
      </c>
      <c r="B428" s="362" t="s">
        <v>25</v>
      </c>
      <c r="C428" s="86" t="s">
        <v>2109</v>
      </c>
      <c r="D428" s="84" t="s">
        <v>2110</v>
      </c>
      <c r="E428" s="86" t="s">
        <v>375</v>
      </c>
      <c r="F428" s="86">
        <v>709444261</v>
      </c>
      <c r="G428" s="86">
        <v>504070907</v>
      </c>
      <c r="H428" s="80">
        <v>5.8399349999999997</v>
      </c>
      <c r="I428" s="80">
        <v>-5.3679759999999996</v>
      </c>
      <c r="J428" s="86" t="s">
        <v>36</v>
      </c>
      <c r="K428" s="80" t="s">
        <v>203</v>
      </c>
      <c r="L428" s="80" t="s">
        <v>1567</v>
      </c>
      <c r="M428" s="483" t="s">
        <v>2147</v>
      </c>
      <c r="N428" s="483">
        <v>2150024441</v>
      </c>
      <c r="O428" s="519">
        <v>45805</v>
      </c>
      <c r="P428" s="81">
        <f ca="1">TODAY()-Q428</f>
        <v>262</v>
      </c>
      <c r="Q428" s="519">
        <v>45807</v>
      </c>
      <c r="R428" s="363" t="s">
        <v>30</v>
      </c>
      <c r="S428" s="363"/>
      <c r="T428" s="363">
        <v>2</v>
      </c>
      <c r="U428" s="521">
        <v>45819</v>
      </c>
      <c r="V428" s="363" t="s">
        <v>310</v>
      </c>
      <c r="W428" s="363">
        <v>200</v>
      </c>
      <c r="X428" s="364" t="s">
        <v>32</v>
      </c>
      <c r="Y428" s="80" t="s">
        <v>245</v>
      </c>
      <c r="Z428" s="80"/>
      <c r="AA428" s="83" t="s">
        <v>532</v>
      </c>
      <c r="AB428" s="85" t="s">
        <v>16</v>
      </c>
      <c r="AC428" s="80" t="s">
        <v>2241</v>
      </c>
    </row>
    <row r="429" spans="1:29" s="639" customFormat="1" ht="15" hidden="1" customHeight="1">
      <c r="A429" s="494" t="s">
        <v>25</v>
      </c>
      <c r="B429" s="494" t="s">
        <v>25</v>
      </c>
      <c r="C429" s="493" t="s">
        <v>1658</v>
      </c>
      <c r="D429" s="493" t="s">
        <v>1659</v>
      </c>
      <c r="E429" s="493" t="s">
        <v>1660</v>
      </c>
      <c r="F429" s="493">
        <v>747479984</v>
      </c>
      <c r="G429" s="493">
        <v>747479984</v>
      </c>
      <c r="H429" s="495">
        <v>5.8412100000000002</v>
      </c>
      <c r="I429" s="495">
        <v>-5.3671100000000003</v>
      </c>
      <c r="J429" s="493" t="s">
        <v>36</v>
      </c>
      <c r="K429" s="495" t="s">
        <v>190</v>
      </c>
      <c r="L429" s="495" t="s">
        <v>423</v>
      </c>
      <c r="M429" s="500" t="s">
        <v>2176</v>
      </c>
      <c r="N429" s="500">
        <v>2150024449</v>
      </c>
      <c r="O429" s="496">
        <v>45759</v>
      </c>
      <c r="P429" s="501">
        <f ca="1">TODAY()-Q429</f>
        <v>309</v>
      </c>
      <c r="Q429" s="496">
        <v>45760</v>
      </c>
      <c r="R429" s="495" t="s">
        <v>30</v>
      </c>
      <c r="S429" s="495"/>
      <c r="T429" s="495">
        <v>0</v>
      </c>
      <c r="U429" s="497">
        <v>45820</v>
      </c>
      <c r="V429" s="495" t="s">
        <v>310</v>
      </c>
      <c r="W429" s="495">
        <v>500</v>
      </c>
      <c r="X429" s="498" t="s">
        <v>32</v>
      </c>
      <c r="Y429" s="495" t="s">
        <v>627</v>
      </c>
      <c r="Z429" s="80"/>
      <c r="AA429" s="85" t="s">
        <v>1427</v>
      </c>
      <c r="AB429" s="85" t="s">
        <v>16</v>
      </c>
      <c r="AC429" s="80" t="s">
        <v>2189</v>
      </c>
    </row>
    <row r="430" spans="1:29" s="643" customFormat="1" ht="15" hidden="1" customHeight="1">
      <c r="A430" s="494" t="s">
        <v>25</v>
      </c>
      <c r="B430" s="494" t="s">
        <v>25</v>
      </c>
      <c r="C430" s="493" t="s">
        <v>2099</v>
      </c>
      <c r="D430" s="493" t="s">
        <v>2100</v>
      </c>
      <c r="E430" s="493" t="s">
        <v>84</v>
      </c>
      <c r="F430" s="493">
        <v>173331257</v>
      </c>
      <c r="G430" s="493">
        <v>777388855</v>
      </c>
      <c r="H430" s="495">
        <v>5.8314329999999996</v>
      </c>
      <c r="I430" s="495">
        <v>-5.3593200000000003</v>
      </c>
      <c r="J430" s="493" t="s">
        <v>36</v>
      </c>
      <c r="K430" s="495" t="s">
        <v>198</v>
      </c>
      <c r="L430" s="495" t="s">
        <v>1743</v>
      </c>
      <c r="M430" s="500" t="s">
        <v>2198</v>
      </c>
      <c r="N430" s="500">
        <v>2150024456</v>
      </c>
      <c r="O430" s="496">
        <v>45805</v>
      </c>
      <c r="P430" s="495"/>
      <c r="Q430" s="496">
        <v>45807</v>
      </c>
      <c r="R430" s="495" t="s">
        <v>30</v>
      </c>
      <c r="S430" s="495"/>
      <c r="T430" s="495">
        <v>4</v>
      </c>
      <c r="U430" s="497">
        <v>45820</v>
      </c>
      <c r="V430" s="495" t="s">
        <v>310</v>
      </c>
      <c r="W430" s="495">
        <v>300</v>
      </c>
      <c r="X430" s="498" t="s">
        <v>32</v>
      </c>
      <c r="Y430" s="495" t="s">
        <v>245</v>
      </c>
      <c r="Z430" s="410"/>
      <c r="AA430" s="503" t="s">
        <v>1427</v>
      </c>
      <c r="AB430" s="409" t="s">
        <v>16</v>
      </c>
      <c r="AC430" s="410" t="s">
        <v>2258</v>
      </c>
    </row>
    <row r="431" spans="1:29" s="643" customFormat="1" ht="15" hidden="1" customHeight="1">
      <c r="A431" s="362" t="s">
        <v>25</v>
      </c>
      <c r="B431" s="362" t="s">
        <v>25</v>
      </c>
      <c r="C431" s="87" t="s">
        <v>2116</v>
      </c>
      <c r="D431" s="87" t="s">
        <v>2117</v>
      </c>
      <c r="E431" s="87" t="s">
        <v>2118</v>
      </c>
      <c r="F431" s="87">
        <v>759798415</v>
      </c>
      <c r="G431" s="87">
        <v>759798415</v>
      </c>
      <c r="H431" s="80">
        <v>5.8417890000000003</v>
      </c>
      <c r="I431" s="80">
        <v>-5.3574109999999999</v>
      </c>
      <c r="J431" s="86" t="s">
        <v>189</v>
      </c>
      <c r="K431" s="80" t="s">
        <v>203</v>
      </c>
      <c r="L431" s="80" t="s">
        <v>1048</v>
      </c>
      <c r="M431" s="483" t="s">
        <v>2190</v>
      </c>
      <c r="N431" s="483">
        <v>2150024458</v>
      </c>
      <c r="O431" s="88">
        <v>45807</v>
      </c>
      <c r="P431" s="81">
        <f ca="1">TODAY()-Q431</f>
        <v>261</v>
      </c>
      <c r="Q431" s="88">
        <v>45808</v>
      </c>
      <c r="R431" s="363" t="s">
        <v>30</v>
      </c>
      <c r="S431" s="363"/>
      <c r="T431" s="363">
        <v>5</v>
      </c>
      <c r="U431" s="492">
        <v>45820</v>
      </c>
      <c r="V431" s="363" t="s">
        <v>310</v>
      </c>
      <c r="W431" s="363">
        <v>500</v>
      </c>
      <c r="X431" s="364" t="s">
        <v>32</v>
      </c>
      <c r="Y431" s="80" t="s">
        <v>627</v>
      </c>
      <c r="Z431" s="410"/>
      <c r="AA431" s="409" t="s">
        <v>1427</v>
      </c>
      <c r="AB431" s="409" t="s">
        <v>16</v>
      </c>
      <c r="AC431" s="410" t="s">
        <v>2222</v>
      </c>
    </row>
    <row r="432" spans="1:29" s="643" customFormat="1" ht="15" hidden="1" customHeight="1">
      <c r="A432" s="493" t="s">
        <v>25</v>
      </c>
      <c r="B432" s="494" t="s">
        <v>25</v>
      </c>
      <c r="C432" s="493" t="s">
        <v>2193</v>
      </c>
      <c r="D432" s="493" t="s">
        <v>2194</v>
      </c>
      <c r="E432" s="493" t="s">
        <v>2195</v>
      </c>
      <c r="F432" s="493">
        <v>101482117</v>
      </c>
      <c r="G432" s="493">
        <v>505878771</v>
      </c>
      <c r="H432" s="495">
        <v>5.8517590000000004</v>
      </c>
      <c r="I432" s="495">
        <v>-5.3509640000000003</v>
      </c>
      <c r="J432" s="493" t="s">
        <v>189</v>
      </c>
      <c r="K432" s="495" t="s">
        <v>198</v>
      </c>
      <c r="L432" s="495" t="s">
        <v>282</v>
      </c>
      <c r="M432" s="495" t="s">
        <v>2215</v>
      </c>
      <c r="N432" s="495">
        <v>2150024455</v>
      </c>
      <c r="O432" s="496">
        <v>45818</v>
      </c>
      <c r="P432" s="495"/>
      <c r="Q432" s="496">
        <v>45819</v>
      </c>
      <c r="R432" s="495" t="s">
        <v>30</v>
      </c>
      <c r="S432" s="495"/>
      <c r="T432" s="495">
        <v>0</v>
      </c>
      <c r="U432" s="497">
        <v>45820</v>
      </c>
      <c r="V432" s="495" t="s">
        <v>310</v>
      </c>
      <c r="W432" s="495">
        <v>50</v>
      </c>
      <c r="X432" s="498" t="s">
        <v>32</v>
      </c>
      <c r="Y432" s="495" t="s">
        <v>343</v>
      </c>
      <c r="Z432" s="410"/>
      <c r="AA432" s="503" t="s">
        <v>1427</v>
      </c>
      <c r="AB432" s="409" t="s">
        <v>16</v>
      </c>
      <c r="AC432" s="410" t="s">
        <v>2266</v>
      </c>
    </row>
    <row r="433" spans="1:29" s="648" customFormat="1" ht="15" hidden="1" customHeight="1">
      <c r="A433" s="365" t="s">
        <v>25</v>
      </c>
      <c r="B433" s="362" t="s">
        <v>25</v>
      </c>
      <c r="C433" s="488" t="s">
        <v>2234</v>
      </c>
      <c r="D433" s="488" t="s">
        <v>2235</v>
      </c>
      <c r="E433" s="488" t="s">
        <v>2236</v>
      </c>
      <c r="F433" s="488">
        <v>575459168</v>
      </c>
      <c r="G433" s="488">
        <v>713962966</v>
      </c>
      <c r="H433" s="80">
        <v>5.8430499999999999</v>
      </c>
      <c r="I433" s="80">
        <v>-5.3421599999999998</v>
      </c>
      <c r="J433" s="488" t="s">
        <v>189</v>
      </c>
      <c r="K433" s="80" t="s">
        <v>274</v>
      </c>
      <c r="L433" s="80" t="s">
        <v>509</v>
      </c>
      <c r="M433" s="80" t="s">
        <v>2275</v>
      </c>
      <c r="N433" s="80">
        <v>2150024211</v>
      </c>
      <c r="O433" s="489">
        <v>45822</v>
      </c>
      <c r="P433" s="81">
        <f t="shared" ref="P433:P456" ca="1" si="12">TODAY()-Q433</f>
        <v>246</v>
      </c>
      <c r="Q433" s="489">
        <v>45823</v>
      </c>
      <c r="R433" s="80" t="s">
        <v>30</v>
      </c>
      <c r="S433" s="80"/>
      <c r="T433" s="80">
        <v>3</v>
      </c>
      <c r="U433" s="492">
        <v>45832</v>
      </c>
      <c r="V433" s="363" t="s">
        <v>310</v>
      </c>
      <c r="W433" s="80">
        <v>200</v>
      </c>
      <c r="X433" s="364" t="s">
        <v>32</v>
      </c>
      <c r="Y433" s="80" t="s">
        <v>228</v>
      </c>
      <c r="Z433" s="565"/>
      <c r="AA433" s="570" t="s">
        <v>532</v>
      </c>
      <c r="AB433" s="571" t="s">
        <v>16</v>
      </c>
      <c r="AC433" s="565" t="s">
        <v>2185</v>
      </c>
    </row>
    <row r="434" spans="1:29" s="643" customFormat="1" ht="15" hidden="1" customHeight="1">
      <c r="A434" s="563" t="s">
        <v>25</v>
      </c>
      <c r="B434" s="563" t="s">
        <v>25</v>
      </c>
      <c r="C434" s="564" t="s">
        <v>2101</v>
      </c>
      <c r="D434" s="564" t="s">
        <v>2102</v>
      </c>
      <c r="E434" s="564" t="s">
        <v>2103</v>
      </c>
      <c r="F434" s="564">
        <v>779414977</v>
      </c>
      <c r="G434" s="564">
        <v>759853276</v>
      </c>
      <c r="H434" s="565">
        <v>5.8390570000000004</v>
      </c>
      <c r="I434" s="565">
        <v>-5.3623649999999996</v>
      </c>
      <c r="J434" s="564" t="s">
        <v>36</v>
      </c>
      <c r="K434" s="565" t="s">
        <v>203</v>
      </c>
      <c r="L434" s="565" t="s">
        <v>1599</v>
      </c>
      <c r="M434" s="566" t="s">
        <v>2197</v>
      </c>
      <c r="N434" s="566">
        <v>2150024457</v>
      </c>
      <c r="O434" s="568">
        <v>45805</v>
      </c>
      <c r="P434" s="567">
        <f t="shared" ca="1" si="12"/>
        <v>262</v>
      </c>
      <c r="Q434" s="568">
        <v>45807</v>
      </c>
      <c r="R434" s="565" t="s">
        <v>30</v>
      </c>
      <c r="S434" s="565"/>
      <c r="T434" s="565">
        <v>1</v>
      </c>
      <c r="U434" s="504">
        <v>45835</v>
      </c>
      <c r="V434" s="565" t="s">
        <v>310</v>
      </c>
      <c r="W434" s="565">
        <v>200</v>
      </c>
      <c r="X434" s="569" t="s">
        <v>32</v>
      </c>
      <c r="Y434" s="565" t="s">
        <v>228</v>
      </c>
      <c r="Z434" s="410"/>
      <c r="AA434" s="503" t="s">
        <v>1427</v>
      </c>
      <c r="AB434" s="409" t="s">
        <v>16</v>
      </c>
      <c r="AC434" s="410" t="s">
        <v>2239</v>
      </c>
    </row>
    <row r="435" spans="1:29" s="644" customFormat="1" ht="15" hidden="1" customHeight="1">
      <c r="A435" s="486" t="s">
        <v>25</v>
      </c>
      <c r="B435" s="408" t="s">
        <v>25</v>
      </c>
      <c r="C435" s="409" t="s">
        <v>2205</v>
      </c>
      <c r="D435" s="409" t="s">
        <v>2206</v>
      </c>
      <c r="E435" s="409" t="s">
        <v>2048</v>
      </c>
      <c r="F435" s="409">
        <v>787666121</v>
      </c>
      <c r="G435" s="409">
        <v>787666121</v>
      </c>
      <c r="H435" s="410">
        <v>5.8394139999999997</v>
      </c>
      <c r="I435" s="410">
        <v>-5.3525939999999999</v>
      </c>
      <c r="J435" s="409" t="s">
        <v>189</v>
      </c>
      <c r="K435" s="410" t="s">
        <v>190</v>
      </c>
      <c r="L435" s="410" t="s">
        <v>583</v>
      </c>
      <c r="M435" s="410" t="s">
        <v>2280</v>
      </c>
      <c r="N435" s="410">
        <v>2150024201</v>
      </c>
      <c r="O435" s="412">
        <v>45818</v>
      </c>
      <c r="P435" s="502">
        <f t="shared" ca="1" si="12"/>
        <v>249</v>
      </c>
      <c r="Q435" s="412">
        <v>45820</v>
      </c>
      <c r="R435" s="410" t="s">
        <v>30</v>
      </c>
      <c r="S435" s="410"/>
      <c r="T435" s="410">
        <v>0</v>
      </c>
      <c r="U435" s="504">
        <v>45835</v>
      </c>
      <c r="V435" s="410" t="s">
        <v>310</v>
      </c>
      <c r="W435" s="410">
        <v>300</v>
      </c>
      <c r="X435" s="413" t="s">
        <v>32</v>
      </c>
      <c r="Y435" s="410" t="s">
        <v>533</v>
      </c>
      <c r="Z435" s="419"/>
      <c r="AA435" s="418" t="s">
        <v>532</v>
      </c>
      <c r="AB435" s="509" t="s">
        <v>16</v>
      </c>
      <c r="AC435" s="419" t="s">
        <v>2220</v>
      </c>
    </row>
    <row r="436" spans="1:29" s="644" customFormat="1" ht="15" hidden="1" customHeight="1">
      <c r="A436" s="486" t="s">
        <v>25</v>
      </c>
      <c r="B436" s="408" t="s">
        <v>25</v>
      </c>
      <c r="C436" s="505" t="s">
        <v>2225</v>
      </c>
      <c r="D436" s="505" t="s">
        <v>2226</v>
      </c>
      <c r="E436" s="505" t="s">
        <v>1591</v>
      </c>
      <c r="F436" s="505">
        <v>160977122</v>
      </c>
      <c r="G436" s="505">
        <v>141232222</v>
      </c>
      <c r="H436" s="410">
        <v>5.84809</v>
      </c>
      <c r="I436" s="410">
        <v>-5.3480100000000004</v>
      </c>
      <c r="J436" s="505" t="s">
        <v>189</v>
      </c>
      <c r="K436" s="410" t="s">
        <v>198</v>
      </c>
      <c r="L436" s="410" t="s">
        <v>1962</v>
      </c>
      <c r="M436" s="410" t="s">
        <v>2281</v>
      </c>
      <c r="N436" s="410">
        <v>2150024200</v>
      </c>
      <c r="O436" s="506">
        <v>45821</v>
      </c>
      <c r="P436" s="502">
        <f t="shared" ca="1" si="12"/>
        <v>247</v>
      </c>
      <c r="Q436" s="506">
        <v>45822</v>
      </c>
      <c r="R436" s="410" t="s">
        <v>30</v>
      </c>
      <c r="S436" s="410"/>
      <c r="T436" s="410">
        <v>3</v>
      </c>
      <c r="U436" s="504">
        <v>45835</v>
      </c>
      <c r="V436" s="410" t="s">
        <v>310</v>
      </c>
      <c r="W436" s="410">
        <v>300</v>
      </c>
      <c r="X436" s="413" t="s">
        <v>32</v>
      </c>
      <c r="Y436" s="410" t="s">
        <v>245</v>
      </c>
      <c r="Z436" s="419"/>
      <c r="AA436" s="418" t="s">
        <v>532</v>
      </c>
      <c r="AB436" s="509" t="s">
        <v>16</v>
      </c>
      <c r="AC436" s="419" t="s">
        <v>2293</v>
      </c>
    </row>
    <row r="437" spans="1:29" s="644" customFormat="1" ht="15" hidden="1" customHeight="1">
      <c r="A437" s="486" t="s">
        <v>25</v>
      </c>
      <c r="B437" s="408" t="s">
        <v>25</v>
      </c>
      <c r="C437" s="409" t="s">
        <v>2249</v>
      </c>
      <c r="D437" s="409" t="s">
        <v>2250</v>
      </c>
      <c r="E437" s="409" t="s">
        <v>35</v>
      </c>
      <c r="F437" s="409">
        <v>140815752</v>
      </c>
      <c r="G437" s="409">
        <v>707278045</v>
      </c>
      <c r="H437" s="410">
        <v>5.8382899999999998</v>
      </c>
      <c r="I437" s="410">
        <v>-5.3593999999999999</v>
      </c>
      <c r="J437" s="409" t="s">
        <v>36</v>
      </c>
      <c r="K437" s="410" t="s">
        <v>190</v>
      </c>
      <c r="L437" s="410" t="s">
        <v>642</v>
      </c>
      <c r="M437" s="410" t="s">
        <v>2278</v>
      </c>
      <c r="N437" s="410">
        <v>2150024199</v>
      </c>
      <c r="O437" s="412">
        <v>45825</v>
      </c>
      <c r="P437" s="502">
        <f t="shared" ca="1" si="12"/>
        <v>243</v>
      </c>
      <c r="Q437" s="412">
        <v>45826</v>
      </c>
      <c r="R437" s="503" t="s">
        <v>30</v>
      </c>
      <c r="S437" s="503"/>
      <c r="T437" s="503">
        <v>0</v>
      </c>
      <c r="U437" s="504">
        <v>45835</v>
      </c>
      <c r="V437" s="410" t="s">
        <v>310</v>
      </c>
      <c r="W437" s="503">
        <v>100</v>
      </c>
      <c r="X437" s="486" t="s">
        <v>32</v>
      </c>
      <c r="Y437" s="410" t="s">
        <v>343</v>
      </c>
      <c r="Z437" s="419"/>
      <c r="AA437" s="418" t="s">
        <v>532</v>
      </c>
      <c r="AB437" s="509" t="s">
        <v>16</v>
      </c>
      <c r="AC437" s="424" t="s">
        <v>2294</v>
      </c>
    </row>
    <row r="438" spans="1:29" s="644" customFormat="1" ht="15" hidden="1" customHeight="1">
      <c r="A438" s="486" t="s">
        <v>25</v>
      </c>
      <c r="B438" s="408" t="s">
        <v>25</v>
      </c>
      <c r="C438" s="409" t="s">
        <v>2261</v>
      </c>
      <c r="D438" s="409" t="s">
        <v>2262</v>
      </c>
      <c r="E438" s="409" t="s">
        <v>864</v>
      </c>
      <c r="F438" s="409">
        <v>717013608</v>
      </c>
      <c r="G438" s="409">
        <v>710189998</v>
      </c>
      <c r="H438" s="410">
        <v>5.8397800000000002</v>
      </c>
      <c r="I438" s="410">
        <v>-5.3571600000000004</v>
      </c>
      <c r="J438" s="409" t="s">
        <v>36</v>
      </c>
      <c r="K438" s="410" t="s">
        <v>190</v>
      </c>
      <c r="L438" s="410" t="s">
        <v>1263</v>
      </c>
      <c r="M438" s="410" t="s">
        <v>2279</v>
      </c>
      <c r="N438" s="410">
        <v>2150024198</v>
      </c>
      <c r="O438" s="412">
        <v>45826</v>
      </c>
      <c r="P438" s="502">
        <f t="shared" ca="1" si="12"/>
        <v>242</v>
      </c>
      <c r="Q438" s="412">
        <v>45827</v>
      </c>
      <c r="R438" s="503" t="s">
        <v>30</v>
      </c>
      <c r="S438" s="503"/>
      <c r="T438" s="503">
        <v>0</v>
      </c>
      <c r="U438" s="504">
        <v>45835</v>
      </c>
      <c r="V438" s="486" t="s">
        <v>310</v>
      </c>
      <c r="W438" s="503">
        <v>100</v>
      </c>
      <c r="X438" s="486" t="s">
        <v>32</v>
      </c>
      <c r="Y438" s="410" t="s">
        <v>533</v>
      </c>
      <c r="Z438" s="419"/>
      <c r="AA438" s="418" t="s">
        <v>532</v>
      </c>
      <c r="AB438" s="509" t="s">
        <v>16</v>
      </c>
      <c r="AC438" s="419" t="s">
        <v>2216</v>
      </c>
    </row>
    <row r="439" spans="1:29" s="639" customFormat="1" ht="15" hidden="1" customHeight="1">
      <c r="A439" s="417" t="s">
        <v>25</v>
      </c>
      <c r="B439" s="417" t="s">
        <v>25</v>
      </c>
      <c r="C439" s="507" t="s">
        <v>1844</v>
      </c>
      <c r="D439" s="507" t="s">
        <v>1383</v>
      </c>
      <c r="E439" s="507" t="s">
        <v>1845</v>
      </c>
      <c r="F439" s="507">
        <v>101846070</v>
      </c>
      <c r="G439" s="507">
        <v>101846010</v>
      </c>
      <c r="H439" s="419">
        <v>5.83847</v>
      </c>
      <c r="I439" s="419">
        <v>-5.3582999999999998</v>
      </c>
      <c r="J439" s="507" t="s">
        <v>36</v>
      </c>
      <c r="K439" s="419" t="s">
        <v>190</v>
      </c>
      <c r="L439" s="419" t="s">
        <v>474</v>
      </c>
      <c r="M439" s="421" t="s">
        <v>2291</v>
      </c>
      <c r="N439" s="421">
        <v>2150024209</v>
      </c>
      <c r="O439" s="510">
        <v>45775</v>
      </c>
      <c r="P439" s="422">
        <f t="shared" ca="1" si="12"/>
        <v>293</v>
      </c>
      <c r="Q439" s="510">
        <v>45776</v>
      </c>
      <c r="R439" s="419" t="s">
        <v>30</v>
      </c>
      <c r="S439" s="419"/>
      <c r="T439" s="419">
        <v>0</v>
      </c>
      <c r="U439" s="424">
        <v>45836</v>
      </c>
      <c r="V439" s="419" t="s">
        <v>310</v>
      </c>
      <c r="W439" s="419">
        <v>150</v>
      </c>
      <c r="X439" s="425" t="s">
        <v>32</v>
      </c>
      <c r="Y439" s="419" t="s">
        <v>578</v>
      </c>
      <c r="Z439" s="80"/>
      <c r="AA439" s="511" t="s">
        <v>532</v>
      </c>
      <c r="AB439" s="83" t="s">
        <v>16</v>
      </c>
      <c r="AC439" s="80" t="s">
        <v>2182</v>
      </c>
    </row>
    <row r="440" spans="1:29" s="649" customFormat="1" ht="15" hidden="1" customHeight="1">
      <c r="A440" s="507" t="s">
        <v>25</v>
      </c>
      <c r="B440" s="417" t="s">
        <v>25</v>
      </c>
      <c r="C440" s="418" t="s">
        <v>2210</v>
      </c>
      <c r="D440" s="418" t="s">
        <v>2211</v>
      </c>
      <c r="E440" s="418" t="s">
        <v>41</v>
      </c>
      <c r="F440" s="418">
        <v>102742505</v>
      </c>
      <c r="G440" s="418">
        <v>709634261</v>
      </c>
      <c r="H440" s="419">
        <v>5.8436279999999998</v>
      </c>
      <c r="I440" s="419">
        <v>-5.3510210000000002</v>
      </c>
      <c r="J440" s="418" t="s">
        <v>189</v>
      </c>
      <c r="K440" s="419" t="s">
        <v>203</v>
      </c>
      <c r="L440" s="419" t="s">
        <v>638</v>
      </c>
      <c r="M440" s="421" t="s">
        <v>2290</v>
      </c>
      <c r="N440" s="421">
        <v>2150024202</v>
      </c>
      <c r="O440" s="423">
        <v>45818</v>
      </c>
      <c r="P440" s="422">
        <f t="shared" ca="1" si="12"/>
        <v>249</v>
      </c>
      <c r="Q440" s="423">
        <v>45820</v>
      </c>
      <c r="R440" s="419" t="s">
        <v>30</v>
      </c>
      <c r="S440" s="419"/>
      <c r="T440" s="419">
        <v>0</v>
      </c>
      <c r="U440" s="508">
        <v>45836</v>
      </c>
      <c r="V440" s="419" t="s">
        <v>310</v>
      </c>
      <c r="W440" s="419">
        <v>150</v>
      </c>
      <c r="X440" s="425" t="s">
        <v>32</v>
      </c>
      <c r="Y440" s="419" t="s">
        <v>228</v>
      </c>
      <c r="Z440" s="515"/>
      <c r="AA440" s="514" t="s">
        <v>532</v>
      </c>
      <c r="AB440" s="518" t="s">
        <v>16</v>
      </c>
      <c r="AC440" s="515" t="s">
        <v>2224</v>
      </c>
    </row>
    <row r="441" spans="1:29" s="649" customFormat="1" ht="15" hidden="1" customHeight="1">
      <c r="A441" s="507" t="s">
        <v>25</v>
      </c>
      <c r="B441" s="417" t="s">
        <v>25</v>
      </c>
      <c r="C441" s="507" t="s">
        <v>2199</v>
      </c>
      <c r="D441" s="507" t="s">
        <v>2200</v>
      </c>
      <c r="E441" s="507" t="s">
        <v>375</v>
      </c>
      <c r="F441" s="507">
        <v>103816119</v>
      </c>
      <c r="G441" s="507">
        <v>777229738</v>
      </c>
      <c r="H441" s="419">
        <v>5.840179</v>
      </c>
      <c r="I441" s="419">
        <v>-5.3677450000000002</v>
      </c>
      <c r="J441" s="507" t="s">
        <v>36</v>
      </c>
      <c r="K441" s="419" t="s">
        <v>203</v>
      </c>
      <c r="L441" s="419" t="s">
        <v>1567</v>
      </c>
      <c r="M441" s="421" t="s">
        <v>2289</v>
      </c>
      <c r="N441" s="421">
        <v>2150024203</v>
      </c>
      <c r="O441" s="510">
        <v>45819</v>
      </c>
      <c r="P441" s="422">
        <f t="shared" ca="1" si="12"/>
        <v>249</v>
      </c>
      <c r="Q441" s="510">
        <v>45820</v>
      </c>
      <c r="R441" s="419" t="s">
        <v>30</v>
      </c>
      <c r="S441" s="419"/>
      <c r="T441" s="419">
        <v>0</v>
      </c>
      <c r="U441" s="508">
        <v>45836</v>
      </c>
      <c r="V441" s="419" t="s">
        <v>310</v>
      </c>
      <c r="W441" s="419">
        <v>200</v>
      </c>
      <c r="X441" s="425" t="s">
        <v>32</v>
      </c>
      <c r="Y441" s="419" t="s">
        <v>343</v>
      </c>
      <c r="Z441" s="515"/>
      <c r="AA441" s="514" t="s">
        <v>532</v>
      </c>
      <c r="AB441" s="518" t="s">
        <v>16</v>
      </c>
      <c r="AC441" s="515" t="s">
        <v>2315</v>
      </c>
    </row>
    <row r="442" spans="1:29" s="649" customFormat="1" ht="15" hidden="1" customHeight="1">
      <c r="A442" s="507" t="s">
        <v>25</v>
      </c>
      <c r="B442" s="417" t="s">
        <v>25</v>
      </c>
      <c r="C442" s="420" t="s">
        <v>2285</v>
      </c>
      <c r="D442" s="420" t="s">
        <v>920</v>
      </c>
      <c r="E442" s="420" t="s">
        <v>2286</v>
      </c>
      <c r="F442" s="420">
        <v>150606060</v>
      </c>
      <c r="G442" s="420">
        <v>150831111</v>
      </c>
      <c r="H442" s="419">
        <v>5.8403200000000002</v>
      </c>
      <c r="I442" s="419">
        <v>-5.3563700000000001</v>
      </c>
      <c r="J442" s="420" t="s">
        <v>189</v>
      </c>
      <c r="K442" s="419" t="s">
        <v>203</v>
      </c>
      <c r="L442" s="419" t="s">
        <v>479</v>
      </c>
      <c r="M442" s="419" t="s">
        <v>2292</v>
      </c>
      <c r="N442" s="419">
        <v>2150024208</v>
      </c>
      <c r="O442" s="426">
        <v>45833</v>
      </c>
      <c r="P442" s="422">
        <f t="shared" ca="1" si="12"/>
        <v>234</v>
      </c>
      <c r="Q442" s="426">
        <v>45835</v>
      </c>
      <c r="R442" s="419" t="s">
        <v>30</v>
      </c>
      <c r="S442" s="419"/>
      <c r="T442" s="419">
        <v>0</v>
      </c>
      <c r="U442" s="424">
        <v>45836</v>
      </c>
      <c r="V442" s="419" t="s">
        <v>310</v>
      </c>
      <c r="W442" s="419">
        <v>500</v>
      </c>
      <c r="X442" s="425" t="s">
        <v>32</v>
      </c>
      <c r="Y442" s="419" t="s">
        <v>1521</v>
      </c>
      <c r="Z442" s="515"/>
      <c r="AA442" s="514" t="s">
        <v>532</v>
      </c>
      <c r="AB442" s="518" t="s">
        <v>16</v>
      </c>
      <c r="AC442" s="515" t="s">
        <v>2223</v>
      </c>
    </row>
    <row r="443" spans="1:29" s="649" customFormat="1" ht="15" hidden="1" customHeight="1">
      <c r="A443" s="362" t="s">
        <v>25</v>
      </c>
      <c r="B443" s="362" t="s">
        <v>25</v>
      </c>
      <c r="C443" s="87" t="s">
        <v>2002</v>
      </c>
      <c r="D443" s="82" t="s">
        <v>2003</v>
      </c>
      <c r="E443" s="87" t="s">
        <v>84</v>
      </c>
      <c r="F443" s="87">
        <v>141440198</v>
      </c>
      <c r="G443" s="87">
        <v>757101551</v>
      </c>
      <c r="H443" s="80">
        <v>5.8338200000000002</v>
      </c>
      <c r="I443" s="80">
        <v>-5.3623390000000004</v>
      </c>
      <c r="J443" s="87" t="s">
        <v>36</v>
      </c>
      <c r="K443" s="80" t="s">
        <v>190</v>
      </c>
      <c r="L443" s="80" t="s">
        <v>2181</v>
      </c>
      <c r="M443" s="483" t="s">
        <v>2180</v>
      </c>
      <c r="N443" s="483">
        <v>2150024453</v>
      </c>
      <c r="O443" s="88">
        <v>45790</v>
      </c>
      <c r="P443" s="81">
        <f t="shared" ca="1" si="12"/>
        <v>278</v>
      </c>
      <c r="Q443" s="520">
        <v>45791</v>
      </c>
      <c r="R443" s="363" t="s">
        <v>30</v>
      </c>
      <c r="S443" s="363"/>
      <c r="T443" s="363">
        <v>3</v>
      </c>
      <c r="U443" s="521">
        <v>45838</v>
      </c>
      <c r="V443" s="363" t="s">
        <v>310</v>
      </c>
      <c r="W443" s="363">
        <v>400</v>
      </c>
      <c r="X443" s="364" t="s">
        <v>32</v>
      </c>
      <c r="Y443" s="80" t="s">
        <v>696</v>
      </c>
      <c r="Z443" s="515"/>
      <c r="AA443" s="514" t="s">
        <v>532</v>
      </c>
      <c r="AB443" s="518" t="s">
        <v>16</v>
      </c>
      <c r="AC443" s="515" t="s">
        <v>2254</v>
      </c>
    </row>
    <row r="444" spans="1:29" s="639" customFormat="1" ht="15" hidden="1" customHeight="1">
      <c r="A444" s="512" t="s">
        <v>25</v>
      </c>
      <c r="B444" s="513" t="s">
        <v>25</v>
      </c>
      <c r="C444" s="512" t="s">
        <v>2191</v>
      </c>
      <c r="D444" s="512" t="s">
        <v>2192</v>
      </c>
      <c r="E444" s="512" t="s">
        <v>289</v>
      </c>
      <c r="F444" s="512">
        <v>709961617</v>
      </c>
      <c r="G444" s="512">
        <v>709961617</v>
      </c>
      <c r="H444" s="515">
        <v>5.837993</v>
      </c>
      <c r="I444" s="515">
        <v>-5.3537330000000001</v>
      </c>
      <c r="J444" s="512" t="s">
        <v>189</v>
      </c>
      <c r="K444" s="515" t="s">
        <v>190</v>
      </c>
      <c r="L444" s="515" t="s">
        <v>514</v>
      </c>
      <c r="M444" s="515" t="s">
        <v>2366</v>
      </c>
      <c r="N444" s="515">
        <v>2150025833</v>
      </c>
      <c r="O444" s="820">
        <v>45818</v>
      </c>
      <c r="P444" s="562">
        <f t="shared" ca="1" si="12"/>
        <v>250</v>
      </c>
      <c r="Q444" s="820">
        <v>45819</v>
      </c>
      <c r="R444" s="515" t="s">
        <v>30</v>
      </c>
      <c r="S444" s="515"/>
      <c r="T444" s="515">
        <v>1</v>
      </c>
      <c r="U444" s="516">
        <v>45846</v>
      </c>
      <c r="V444" s="515" t="s">
        <v>310</v>
      </c>
      <c r="W444" s="515">
        <v>300</v>
      </c>
      <c r="X444" s="517" t="s">
        <v>32</v>
      </c>
      <c r="Y444" s="515" t="s">
        <v>1521</v>
      </c>
      <c r="Z444" s="438"/>
      <c r="AA444" s="523" t="s">
        <v>532</v>
      </c>
      <c r="AB444" s="523" t="s">
        <v>16</v>
      </c>
      <c r="AC444" s="438" t="s">
        <v>2362</v>
      </c>
    </row>
    <row r="445" spans="1:29" s="639" customFormat="1" ht="15" hidden="1" customHeight="1">
      <c r="A445" s="512" t="s">
        <v>25</v>
      </c>
      <c r="B445" s="513" t="s">
        <v>25</v>
      </c>
      <c r="C445" s="514" t="s">
        <v>2207</v>
      </c>
      <c r="D445" s="514" t="s">
        <v>2208</v>
      </c>
      <c r="E445" s="514" t="s">
        <v>2209</v>
      </c>
      <c r="F445" s="514">
        <v>506241990</v>
      </c>
      <c r="G445" s="514">
        <v>779811035</v>
      </c>
      <c r="H445" s="515">
        <v>5.8402190000000003</v>
      </c>
      <c r="I445" s="515">
        <v>-5.3537350000000004</v>
      </c>
      <c r="J445" s="514" t="s">
        <v>189</v>
      </c>
      <c r="K445" s="515" t="s">
        <v>190</v>
      </c>
      <c r="L445" s="515" t="s">
        <v>411</v>
      </c>
      <c r="M445" s="515" t="s">
        <v>2364</v>
      </c>
      <c r="N445" s="515">
        <v>2150025841</v>
      </c>
      <c r="O445" s="819">
        <v>45818</v>
      </c>
      <c r="P445" s="562">
        <f t="shared" ca="1" si="12"/>
        <v>249</v>
      </c>
      <c r="Q445" s="819">
        <v>45820</v>
      </c>
      <c r="R445" s="515" t="s">
        <v>30</v>
      </c>
      <c r="S445" s="515"/>
      <c r="T445" s="515">
        <v>0</v>
      </c>
      <c r="U445" s="516">
        <v>45846</v>
      </c>
      <c r="V445" s="515" t="s">
        <v>310</v>
      </c>
      <c r="W445" s="515">
        <v>400</v>
      </c>
      <c r="X445" s="517" t="s">
        <v>32</v>
      </c>
      <c r="Y445" s="515" t="s">
        <v>533</v>
      </c>
      <c r="Z445" s="438"/>
      <c r="AA445" s="523" t="s">
        <v>532</v>
      </c>
      <c r="AB445" s="523" t="s">
        <v>16</v>
      </c>
      <c r="AC445" s="438" t="s">
        <v>2387</v>
      </c>
    </row>
    <row r="446" spans="1:29" s="639" customFormat="1" ht="15" hidden="1" customHeight="1">
      <c r="A446" s="512" t="s">
        <v>25</v>
      </c>
      <c r="B446" s="513" t="s">
        <v>25</v>
      </c>
      <c r="C446" s="514" t="s">
        <v>2244</v>
      </c>
      <c r="D446" s="514" t="s">
        <v>2245</v>
      </c>
      <c r="E446" s="514" t="s">
        <v>2246</v>
      </c>
      <c r="F446" s="514">
        <v>102185806</v>
      </c>
      <c r="G446" s="514">
        <v>707093543</v>
      </c>
      <c r="H446" s="515">
        <v>5.8329639999999996</v>
      </c>
      <c r="I446" s="515">
        <v>-5.3514600000000003</v>
      </c>
      <c r="J446" s="514" t="s">
        <v>36</v>
      </c>
      <c r="K446" s="515" t="s">
        <v>274</v>
      </c>
      <c r="L446" s="515" t="s">
        <v>2111</v>
      </c>
      <c r="M446" s="515" t="s">
        <v>2367</v>
      </c>
      <c r="N446" s="515">
        <v>2150025853</v>
      </c>
      <c r="O446" s="819">
        <v>45819</v>
      </c>
      <c r="P446" s="562">
        <f t="shared" ca="1" si="12"/>
        <v>244</v>
      </c>
      <c r="Q446" s="819">
        <v>45825</v>
      </c>
      <c r="R446" s="518" t="s">
        <v>30</v>
      </c>
      <c r="S446" s="518"/>
      <c r="T446" s="518">
        <v>5</v>
      </c>
      <c r="U446" s="516">
        <v>45846</v>
      </c>
      <c r="V446" s="512" t="s">
        <v>310</v>
      </c>
      <c r="W446" s="518">
        <v>400</v>
      </c>
      <c r="X446" s="512" t="s">
        <v>32</v>
      </c>
      <c r="Y446" s="515" t="s">
        <v>228</v>
      </c>
      <c r="Z446" s="438"/>
      <c r="AA446" s="523" t="s">
        <v>532</v>
      </c>
      <c r="AB446" s="523" t="s">
        <v>16</v>
      </c>
      <c r="AC446" s="438" t="s">
        <v>2333</v>
      </c>
    </row>
    <row r="447" spans="1:29" s="641" customFormat="1" ht="15" hidden="1" customHeight="1">
      <c r="A447" s="512" t="s">
        <v>25</v>
      </c>
      <c r="B447" s="513" t="s">
        <v>25</v>
      </c>
      <c r="C447" s="514" t="s">
        <v>2263</v>
      </c>
      <c r="D447" s="514" t="s">
        <v>2264</v>
      </c>
      <c r="E447" s="514" t="s">
        <v>864</v>
      </c>
      <c r="F447" s="514">
        <v>759354028</v>
      </c>
      <c r="G447" s="514">
        <v>759354028</v>
      </c>
      <c r="H447" s="514">
        <v>5.8398199999999996</v>
      </c>
      <c r="I447" s="515">
        <v>-5.3558599999999998</v>
      </c>
      <c r="J447" s="514" t="s">
        <v>36</v>
      </c>
      <c r="K447" s="515" t="s">
        <v>190</v>
      </c>
      <c r="L447" s="515" t="s">
        <v>601</v>
      </c>
      <c r="M447" s="515" t="s">
        <v>2365</v>
      </c>
      <c r="N447" s="515">
        <v>2150025837</v>
      </c>
      <c r="O447" s="819">
        <v>45826</v>
      </c>
      <c r="P447" s="562">
        <f t="shared" ca="1" si="12"/>
        <v>242</v>
      </c>
      <c r="Q447" s="819">
        <v>45827</v>
      </c>
      <c r="R447" s="518" t="s">
        <v>30</v>
      </c>
      <c r="S447" s="518"/>
      <c r="T447" s="518">
        <v>1</v>
      </c>
      <c r="U447" s="516">
        <v>45846</v>
      </c>
      <c r="V447" s="512" t="s">
        <v>310</v>
      </c>
      <c r="W447" s="518">
        <v>150</v>
      </c>
      <c r="X447" s="512" t="s">
        <v>32</v>
      </c>
      <c r="Y447" s="515" t="s">
        <v>578</v>
      </c>
      <c r="Z447" s="438"/>
      <c r="AA447" s="523" t="s">
        <v>532</v>
      </c>
      <c r="AB447" s="523" t="s">
        <v>16</v>
      </c>
      <c r="AC447" s="438" t="s">
        <v>2359</v>
      </c>
    </row>
    <row r="448" spans="1:29" s="639" customFormat="1" ht="15" hidden="1" customHeight="1">
      <c r="A448" s="444" t="s">
        <v>25</v>
      </c>
      <c r="B448" s="436" t="s">
        <v>25</v>
      </c>
      <c r="C448" s="444" t="s">
        <v>1193</v>
      </c>
      <c r="D448" s="444" t="s">
        <v>1194</v>
      </c>
      <c r="E448" s="444" t="s">
        <v>1195</v>
      </c>
      <c r="F448" s="444">
        <v>545700066</v>
      </c>
      <c r="G448" s="444">
        <v>545700066</v>
      </c>
      <c r="H448" s="444">
        <v>5.8473800000000002</v>
      </c>
      <c r="I448" s="438">
        <v>-5.3568100000000003</v>
      </c>
      <c r="J448" s="444" t="s">
        <v>189</v>
      </c>
      <c r="K448" s="438" t="s">
        <v>203</v>
      </c>
      <c r="L448" s="438" t="s">
        <v>495</v>
      </c>
      <c r="M448" s="438" t="s">
        <v>2427</v>
      </c>
      <c r="N448" s="438">
        <v>2150027257</v>
      </c>
      <c r="O448" s="446">
        <v>45730</v>
      </c>
      <c r="P448" s="440">
        <f t="shared" ca="1" si="12"/>
        <v>338</v>
      </c>
      <c r="Q448" s="446">
        <v>45731</v>
      </c>
      <c r="R448" s="438" t="s">
        <v>30</v>
      </c>
      <c r="S448" s="438"/>
      <c r="T448" s="438">
        <v>0</v>
      </c>
      <c r="U448" s="446">
        <v>45856</v>
      </c>
      <c r="V448" s="438" t="s">
        <v>310</v>
      </c>
      <c r="W448" s="438">
        <v>200</v>
      </c>
      <c r="X448" s="442" t="s">
        <v>32</v>
      </c>
      <c r="Y448" s="438" t="s">
        <v>1521</v>
      </c>
      <c r="Z448" s="438"/>
      <c r="AA448" s="523" t="s">
        <v>532</v>
      </c>
      <c r="AB448" s="523" t="s">
        <v>16</v>
      </c>
      <c r="AC448" s="438" t="s">
        <v>2363</v>
      </c>
    </row>
    <row r="449" spans="1:29" s="639" customFormat="1" ht="15" hidden="1" customHeight="1">
      <c r="A449" s="444" t="s">
        <v>25</v>
      </c>
      <c r="B449" s="436" t="s">
        <v>25</v>
      </c>
      <c r="C449" s="443" t="s">
        <v>2247</v>
      </c>
      <c r="D449" s="443" t="s">
        <v>2248</v>
      </c>
      <c r="E449" s="443" t="s">
        <v>110</v>
      </c>
      <c r="F449" s="443">
        <v>102237886</v>
      </c>
      <c r="G449" s="443">
        <v>709297800</v>
      </c>
      <c r="H449" s="438">
        <v>5.8420389999999998</v>
      </c>
      <c r="I449" s="438">
        <v>-5.3428300000000002</v>
      </c>
      <c r="J449" s="443" t="s">
        <v>189</v>
      </c>
      <c r="K449" s="438" t="s">
        <v>274</v>
      </c>
      <c r="L449" s="438" t="s">
        <v>261</v>
      </c>
      <c r="M449" s="438" t="s">
        <v>2422</v>
      </c>
      <c r="N449" s="438">
        <v>2150027263</v>
      </c>
      <c r="O449" s="527">
        <v>45824</v>
      </c>
      <c r="P449" s="440">
        <f t="shared" ca="1" si="12"/>
        <v>244</v>
      </c>
      <c r="Q449" s="527">
        <v>45825</v>
      </c>
      <c r="R449" s="523" t="s">
        <v>30</v>
      </c>
      <c r="S449" s="523"/>
      <c r="T449" s="523">
        <v>0</v>
      </c>
      <c r="U449" s="446">
        <v>45856</v>
      </c>
      <c r="V449" s="444" t="s">
        <v>310</v>
      </c>
      <c r="W449" s="523">
        <v>200</v>
      </c>
      <c r="X449" s="444" t="s">
        <v>32</v>
      </c>
      <c r="Y449" s="438" t="s">
        <v>578</v>
      </c>
      <c r="Z449" s="438"/>
      <c r="AA449" s="523" t="s">
        <v>532</v>
      </c>
      <c r="AB449" s="523" t="s">
        <v>16</v>
      </c>
      <c r="AC449" s="438" t="s">
        <v>2330</v>
      </c>
    </row>
    <row r="450" spans="1:29" s="639" customFormat="1" ht="15" hidden="1" customHeight="1">
      <c r="A450" s="444" t="s">
        <v>25</v>
      </c>
      <c r="B450" s="436" t="s">
        <v>25</v>
      </c>
      <c r="C450" s="444" t="s">
        <v>2321</v>
      </c>
      <c r="D450" s="444" t="s">
        <v>2322</v>
      </c>
      <c r="E450" s="444" t="s">
        <v>2323</v>
      </c>
      <c r="F450" s="444">
        <v>703998993</v>
      </c>
      <c r="G450" s="444">
        <v>707477807</v>
      </c>
      <c r="H450" s="438">
        <v>5.8250200000000003</v>
      </c>
      <c r="I450" s="438">
        <v>-5.3561699999999997</v>
      </c>
      <c r="J450" s="444" t="s">
        <v>36</v>
      </c>
      <c r="K450" s="438" t="s">
        <v>274</v>
      </c>
      <c r="L450" s="438" t="s">
        <v>1667</v>
      </c>
      <c r="M450" s="438" t="s">
        <v>2421</v>
      </c>
      <c r="N450" s="438">
        <v>2150027264</v>
      </c>
      <c r="O450" s="446">
        <v>45839</v>
      </c>
      <c r="P450" s="440">
        <f t="shared" ca="1" si="12"/>
        <v>229</v>
      </c>
      <c r="Q450" s="446">
        <v>45840</v>
      </c>
      <c r="R450" s="443" t="s">
        <v>30</v>
      </c>
      <c r="S450" s="523"/>
      <c r="T450" s="523">
        <v>1</v>
      </c>
      <c r="U450" s="446">
        <v>45856</v>
      </c>
      <c r="V450" s="522" t="s">
        <v>310</v>
      </c>
      <c r="W450" s="523">
        <v>200</v>
      </c>
      <c r="X450" s="522" t="s">
        <v>32</v>
      </c>
      <c r="Y450" s="438" t="s">
        <v>245</v>
      </c>
      <c r="Z450" s="438"/>
      <c r="AA450" s="523" t="s">
        <v>532</v>
      </c>
      <c r="AB450" s="523" t="s">
        <v>16</v>
      </c>
      <c r="AC450" s="438" t="s">
        <v>2253</v>
      </c>
    </row>
    <row r="451" spans="1:29" s="639" customFormat="1" ht="15" hidden="1" customHeight="1">
      <c r="A451" s="444" t="s">
        <v>25</v>
      </c>
      <c r="B451" s="436" t="s">
        <v>25</v>
      </c>
      <c r="C451" s="444" t="s">
        <v>2329</v>
      </c>
      <c r="D451" s="444" t="s">
        <v>2327</v>
      </c>
      <c r="E451" s="444" t="s">
        <v>2328</v>
      </c>
      <c r="F451" s="444">
        <v>506107232</v>
      </c>
      <c r="G451" s="444">
        <v>748836029</v>
      </c>
      <c r="H451" s="438">
        <v>5.84903</v>
      </c>
      <c r="I451" s="438">
        <v>-5.3517999999999999</v>
      </c>
      <c r="J451" s="444" t="s">
        <v>189</v>
      </c>
      <c r="K451" s="438" t="s">
        <v>274</v>
      </c>
      <c r="L451" s="438" t="s">
        <v>2331</v>
      </c>
      <c r="M451" s="438" t="s">
        <v>2419</v>
      </c>
      <c r="N451" s="438">
        <v>2150027256</v>
      </c>
      <c r="O451" s="446">
        <v>45840</v>
      </c>
      <c r="P451" s="440">
        <f t="shared" ca="1" si="12"/>
        <v>228</v>
      </c>
      <c r="Q451" s="446">
        <v>45841</v>
      </c>
      <c r="R451" s="443" t="s">
        <v>30</v>
      </c>
      <c r="S451" s="523"/>
      <c r="T451" s="523">
        <v>2</v>
      </c>
      <c r="U451" s="446">
        <v>45856</v>
      </c>
      <c r="V451" s="522" t="s">
        <v>310</v>
      </c>
      <c r="W451" s="523">
        <v>300</v>
      </c>
      <c r="X451" s="522" t="s">
        <v>32</v>
      </c>
      <c r="Y451" s="438" t="s">
        <v>193</v>
      </c>
      <c r="Z451" s="438"/>
      <c r="AA451" s="523" t="s">
        <v>532</v>
      </c>
      <c r="AB451" s="523" t="s">
        <v>16</v>
      </c>
      <c r="AC451" s="438" t="s">
        <v>2375</v>
      </c>
    </row>
    <row r="452" spans="1:29" s="639" customFormat="1" ht="15" hidden="1" customHeight="1">
      <c r="A452" s="444" t="s">
        <v>25</v>
      </c>
      <c r="B452" s="436" t="s">
        <v>25</v>
      </c>
      <c r="C452" s="444" t="s">
        <v>2344</v>
      </c>
      <c r="D452" s="444" t="s">
        <v>2345</v>
      </c>
      <c r="E452" s="444" t="s">
        <v>2346</v>
      </c>
      <c r="F452" s="444">
        <v>171483207</v>
      </c>
      <c r="G452" s="444">
        <v>777318997</v>
      </c>
      <c r="H452" s="438">
        <v>5.8455219999999999</v>
      </c>
      <c r="I452" s="438">
        <v>-5.346317</v>
      </c>
      <c r="J452" s="438" t="s">
        <v>189</v>
      </c>
      <c r="K452" s="438" t="s">
        <v>274</v>
      </c>
      <c r="L452" s="444" t="s">
        <v>613</v>
      </c>
      <c r="M452" s="438" t="s">
        <v>2425</v>
      </c>
      <c r="N452" s="438">
        <v>2150027261</v>
      </c>
      <c r="O452" s="446">
        <v>45842</v>
      </c>
      <c r="P452" s="440">
        <f t="shared" ca="1" si="12"/>
        <v>226</v>
      </c>
      <c r="Q452" s="446">
        <v>45843</v>
      </c>
      <c r="R452" s="443" t="s">
        <v>30</v>
      </c>
      <c r="S452" s="443"/>
      <c r="T452" s="443">
        <v>1</v>
      </c>
      <c r="U452" s="446">
        <v>45856</v>
      </c>
      <c r="V452" s="522" t="s">
        <v>310</v>
      </c>
      <c r="W452" s="443">
        <v>200</v>
      </c>
      <c r="X452" s="522" t="s">
        <v>32</v>
      </c>
      <c r="Y452" s="438" t="s">
        <v>228</v>
      </c>
      <c r="Z452" s="438"/>
      <c r="AA452" s="523" t="s">
        <v>532</v>
      </c>
      <c r="AB452" s="523" t="s">
        <v>16</v>
      </c>
      <c r="AC452" s="438" t="s">
        <v>2360</v>
      </c>
    </row>
    <row r="453" spans="1:29" s="639" customFormat="1" ht="15" hidden="1" customHeight="1">
      <c r="A453" s="444" t="s">
        <v>25</v>
      </c>
      <c r="B453" s="436" t="s">
        <v>25</v>
      </c>
      <c r="C453" s="444" t="s">
        <v>2347</v>
      </c>
      <c r="D453" s="444" t="s">
        <v>2348</v>
      </c>
      <c r="E453" s="444" t="s">
        <v>2323</v>
      </c>
      <c r="F453" s="444">
        <v>767230766</v>
      </c>
      <c r="G453" s="444">
        <v>594502666</v>
      </c>
      <c r="H453" s="438">
        <v>5.8320189999999998</v>
      </c>
      <c r="I453" s="438">
        <v>-5.3569509999999996</v>
      </c>
      <c r="J453" s="444" t="s">
        <v>36</v>
      </c>
      <c r="K453" s="438" t="s">
        <v>274</v>
      </c>
      <c r="L453" s="438" t="s">
        <v>1667</v>
      </c>
      <c r="M453" s="438" t="s">
        <v>2424</v>
      </c>
      <c r="N453" s="438">
        <v>2150027260</v>
      </c>
      <c r="O453" s="446">
        <v>45842</v>
      </c>
      <c r="P453" s="440">
        <f t="shared" ca="1" si="12"/>
        <v>226</v>
      </c>
      <c r="Q453" s="446">
        <v>45843</v>
      </c>
      <c r="R453" s="443" t="s">
        <v>30</v>
      </c>
      <c r="S453" s="443"/>
      <c r="T453" s="443">
        <v>1</v>
      </c>
      <c r="U453" s="446">
        <v>45856</v>
      </c>
      <c r="V453" s="522" t="s">
        <v>310</v>
      </c>
      <c r="W453" s="443">
        <v>150</v>
      </c>
      <c r="X453" s="522" t="s">
        <v>32</v>
      </c>
      <c r="Y453" s="438" t="s">
        <v>245</v>
      </c>
      <c r="Z453" s="438"/>
      <c r="AA453" s="523" t="s">
        <v>532</v>
      </c>
      <c r="AB453" s="523" t="s">
        <v>16</v>
      </c>
      <c r="AC453" s="438" t="s">
        <v>2311</v>
      </c>
    </row>
    <row r="454" spans="1:29" s="641" customFormat="1" ht="15" hidden="1" customHeight="1">
      <c r="A454" s="444" t="s">
        <v>25</v>
      </c>
      <c r="B454" s="436" t="s">
        <v>25</v>
      </c>
      <c r="C454" s="444" t="s">
        <v>2341</v>
      </c>
      <c r="D454" s="444" t="s">
        <v>2342</v>
      </c>
      <c r="E454" s="444" t="s">
        <v>2343</v>
      </c>
      <c r="F454" s="444">
        <v>101549839</v>
      </c>
      <c r="G454" s="444">
        <v>700852865</v>
      </c>
      <c r="H454" s="438">
        <v>5.848446</v>
      </c>
      <c r="I454" s="438">
        <v>-5.3570149999999996</v>
      </c>
      <c r="J454" s="438" t="s">
        <v>189</v>
      </c>
      <c r="K454" s="438" t="s">
        <v>198</v>
      </c>
      <c r="L454" s="444" t="s">
        <v>2172</v>
      </c>
      <c r="M454" s="438" t="s">
        <v>2426</v>
      </c>
      <c r="N454" s="438">
        <v>2150027262</v>
      </c>
      <c r="O454" s="446">
        <v>45841</v>
      </c>
      <c r="P454" s="440">
        <f t="shared" ca="1" si="12"/>
        <v>226</v>
      </c>
      <c r="Q454" s="446">
        <v>45843</v>
      </c>
      <c r="R454" s="443" t="s">
        <v>30</v>
      </c>
      <c r="S454" s="443"/>
      <c r="T454" s="443">
        <v>0</v>
      </c>
      <c r="U454" s="446">
        <v>45856</v>
      </c>
      <c r="V454" s="522" t="s">
        <v>310</v>
      </c>
      <c r="W454" s="443">
        <v>200</v>
      </c>
      <c r="X454" s="522" t="s">
        <v>32</v>
      </c>
      <c r="Y454" s="438" t="s">
        <v>228</v>
      </c>
      <c r="Z454" s="531"/>
      <c r="AA454" s="535" t="s">
        <v>532</v>
      </c>
      <c r="AB454" s="535" t="s">
        <v>16</v>
      </c>
      <c r="AC454" s="531" t="s">
        <v>2377</v>
      </c>
    </row>
    <row r="455" spans="1:29" s="639" customFormat="1" ht="15" hidden="1" customHeight="1">
      <c r="A455" s="444" t="s">
        <v>25</v>
      </c>
      <c r="B455" s="436" t="s">
        <v>25</v>
      </c>
      <c r="C455" s="444" t="s">
        <v>2349</v>
      </c>
      <c r="D455" s="444" t="s">
        <v>2350</v>
      </c>
      <c r="E455" s="444" t="s">
        <v>289</v>
      </c>
      <c r="F455" s="444">
        <v>102482852</v>
      </c>
      <c r="G455" s="444">
        <v>709635898</v>
      </c>
      <c r="H455" s="438">
        <v>5.8324999999999996</v>
      </c>
      <c r="I455" s="438">
        <v>-5.3532299999999999</v>
      </c>
      <c r="J455" s="438" t="s">
        <v>36</v>
      </c>
      <c r="K455" s="438" t="s">
        <v>274</v>
      </c>
      <c r="L455" s="444" t="s">
        <v>1782</v>
      </c>
      <c r="M455" s="438" t="s">
        <v>2423</v>
      </c>
      <c r="N455" s="438">
        <v>2150027259</v>
      </c>
      <c r="O455" s="446">
        <v>45842</v>
      </c>
      <c r="P455" s="440">
        <f t="shared" ca="1" si="12"/>
        <v>226</v>
      </c>
      <c r="Q455" s="446">
        <v>45843</v>
      </c>
      <c r="R455" s="443" t="s">
        <v>30</v>
      </c>
      <c r="S455" s="443"/>
      <c r="T455" s="443">
        <v>0</v>
      </c>
      <c r="U455" s="446">
        <v>45856</v>
      </c>
      <c r="V455" s="522" t="s">
        <v>310</v>
      </c>
      <c r="W455" s="443">
        <v>150</v>
      </c>
      <c r="X455" s="522" t="s">
        <v>32</v>
      </c>
      <c r="Y455" s="438" t="s">
        <v>228</v>
      </c>
      <c r="Z455" s="531"/>
      <c r="AA455" s="535" t="s">
        <v>532</v>
      </c>
      <c r="AB455" s="535" t="s">
        <v>16</v>
      </c>
      <c r="AC455" s="531" t="s">
        <v>2320</v>
      </c>
    </row>
    <row r="456" spans="1:29" s="639" customFormat="1" ht="15" hidden="1" customHeight="1">
      <c r="A456" s="444" t="s">
        <v>25</v>
      </c>
      <c r="B456" s="436" t="s">
        <v>25</v>
      </c>
      <c r="C456" s="524" t="s">
        <v>2368</v>
      </c>
      <c r="D456" s="524" t="s">
        <v>99</v>
      </c>
      <c r="E456" s="524" t="s">
        <v>2369</v>
      </c>
      <c r="F456" s="524">
        <v>757747718</v>
      </c>
      <c r="G456" s="524">
        <v>757747718</v>
      </c>
      <c r="H456" s="438">
        <v>5.8479400000000004</v>
      </c>
      <c r="I456" s="438">
        <v>-5.3516839999999997</v>
      </c>
      <c r="J456" s="524" t="s">
        <v>189</v>
      </c>
      <c r="K456" s="438" t="s">
        <v>198</v>
      </c>
      <c r="L456" s="438" t="s">
        <v>2374</v>
      </c>
      <c r="M456" s="438" t="s">
        <v>2420</v>
      </c>
      <c r="N456" s="438">
        <v>2150027258</v>
      </c>
      <c r="O456" s="525">
        <v>45846</v>
      </c>
      <c r="P456" s="440">
        <f t="shared" ca="1" si="12"/>
        <v>222</v>
      </c>
      <c r="Q456" s="525">
        <v>45847</v>
      </c>
      <c r="R456" s="443" t="s">
        <v>30</v>
      </c>
      <c r="S456" s="523"/>
      <c r="T456" s="523">
        <v>0</v>
      </c>
      <c r="U456" s="446">
        <v>45856</v>
      </c>
      <c r="V456" s="443" t="s">
        <v>310</v>
      </c>
      <c r="W456" s="523">
        <v>100</v>
      </c>
      <c r="X456" s="522" t="s">
        <v>32</v>
      </c>
      <c r="Y456" s="438" t="s">
        <v>228</v>
      </c>
      <c r="Z456" s="531"/>
      <c r="AA456" s="535" t="s">
        <v>532</v>
      </c>
      <c r="AB456" s="535" t="s">
        <v>16</v>
      </c>
      <c r="AC456" s="531" t="s">
        <v>2304</v>
      </c>
    </row>
    <row r="457" spans="1:29" s="639" customFormat="1" ht="15" hidden="1" customHeight="1">
      <c r="A457" s="444" t="s">
        <v>25</v>
      </c>
      <c r="B457" s="436" t="s">
        <v>25</v>
      </c>
      <c r="C457" s="524" t="s">
        <v>2385</v>
      </c>
      <c r="D457" s="524" t="s">
        <v>2386</v>
      </c>
      <c r="E457" s="524" t="s">
        <v>46</v>
      </c>
      <c r="F457" s="524">
        <v>172811102</v>
      </c>
      <c r="G457" s="524">
        <v>544018026</v>
      </c>
      <c r="H457" s="438">
        <v>5.8479929999999998</v>
      </c>
      <c r="I457" s="438">
        <v>-5.3574830000000002</v>
      </c>
      <c r="J457" s="524" t="s">
        <v>189</v>
      </c>
      <c r="K457" s="438" t="s">
        <v>198</v>
      </c>
      <c r="L457" s="438" t="s">
        <v>2172</v>
      </c>
      <c r="M457" s="438" t="s">
        <v>2430</v>
      </c>
      <c r="N457" s="438">
        <v>2150027251</v>
      </c>
      <c r="O457" s="525">
        <v>45848</v>
      </c>
      <c r="P457" s="438"/>
      <c r="Q457" s="525">
        <v>45849</v>
      </c>
      <c r="R457" s="443" t="s">
        <v>30</v>
      </c>
      <c r="S457" s="523"/>
      <c r="T457" s="523">
        <v>0</v>
      </c>
      <c r="U457" s="446">
        <v>45856</v>
      </c>
      <c r="V457" s="526" t="s">
        <v>310</v>
      </c>
      <c r="W457" s="523">
        <v>100</v>
      </c>
      <c r="X457" s="522" t="s">
        <v>32</v>
      </c>
      <c r="Y457" s="438" t="s">
        <v>245</v>
      </c>
      <c r="Z457" s="531"/>
      <c r="AA457" s="535" t="s">
        <v>532</v>
      </c>
      <c r="AB457" s="535" t="s">
        <v>16</v>
      </c>
      <c r="AC457" s="531" t="s">
        <v>2277</v>
      </c>
    </row>
    <row r="458" spans="1:29" s="639" customFormat="1" ht="15" hidden="1" customHeight="1">
      <c r="A458" s="529" t="s">
        <v>25</v>
      </c>
      <c r="B458" s="529" t="s">
        <v>25</v>
      </c>
      <c r="C458" s="534" t="s">
        <v>2268</v>
      </c>
      <c r="D458" s="534" t="s">
        <v>2269</v>
      </c>
      <c r="E458" s="534" t="s">
        <v>2271</v>
      </c>
      <c r="F458" s="534">
        <v>779732871</v>
      </c>
      <c r="G458" s="534">
        <v>778181170</v>
      </c>
      <c r="H458" s="531">
        <v>5.8403400000000003</v>
      </c>
      <c r="I458" s="531">
        <v>-5.3676199999999996</v>
      </c>
      <c r="J458" s="534" t="s">
        <v>36</v>
      </c>
      <c r="K458" s="531" t="s">
        <v>203</v>
      </c>
      <c r="L458" s="531" t="s">
        <v>1567</v>
      </c>
      <c r="M458" s="585" t="s">
        <v>2450</v>
      </c>
      <c r="N458" s="585">
        <v>2150027269</v>
      </c>
      <c r="O458" s="538">
        <v>45827</v>
      </c>
      <c r="P458" s="533">
        <f t="shared" ref="P458:P467" ca="1" si="13">TODAY()-Q458</f>
        <v>241</v>
      </c>
      <c r="Q458" s="538">
        <v>45828</v>
      </c>
      <c r="R458" s="531" t="s">
        <v>30</v>
      </c>
      <c r="S458" s="531"/>
      <c r="T458" s="531">
        <v>5</v>
      </c>
      <c r="U458" s="536">
        <v>45857</v>
      </c>
      <c r="V458" s="531" t="s">
        <v>310</v>
      </c>
      <c r="W458" s="531">
        <v>300</v>
      </c>
      <c r="X458" s="539" t="s">
        <v>32</v>
      </c>
      <c r="Y458" s="531" t="s">
        <v>578</v>
      </c>
      <c r="Z458" s="531"/>
      <c r="AA458" s="535" t="s">
        <v>532</v>
      </c>
      <c r="AB458" s="535" t="s">
        <v>16</v>
      </c>
      <c r="AC458" s="531" t="s">
        <v>2376</v>
      </c>
    </row>
    <row r="459" spans="1:29" s="639" customFormat="1" ht="15" hidden="1" customHeight="1">
      <c r="A459" s="529" t="s">
        <v>25</v>
      </c>
      <c r="B459" s="529" t="s">
        <v>25</v>
      </c>
      <c r="C459" s="534" t="s">
        <v>2270</v>
      </c>
      <c r="D459" s="534" t="s">
        <v>2110</v>
      </c>
      <c r="E459" s="534" t="s">
        <v>375</v>
      </c>
      <c r="F459" s="534">
        <v>709444261</v>
      </c>
      <c r="G459" s="534">
        <v>709444261</v>
      </c>
      <c r="H459" s="531">
        <v>5.8402599999999998</v>
      </c>
      <c r="I459" s="531">
        <v>-5.3676399999999997</v>
      </c>
      <c r="J459" s="534" t="s">
        <v>36</v>
      </c>
      <c r="K459" s="531" t="s">
        <v>203</v>
      </c>
      <c r="L459" s="531" t="s">
        <v>1567</v>
      </c>
      <c r="M459" s="531" t="s">
        <v>2415</v>
      </c>
      <c r="N459" s="531">
        <v>2150027247</v>
      </c>
      <c r="O459" s="538">
        <v>45827</v>
      </c>
      <c r="P459" s="533">
        <f t="shared" ca="1" si="13"/>
        <v>241</v>
      </c>
      <c r="Q459" s="538">
        <v>45828</v>
      </c>
      <c r="R459" s="531" t="s">
        <v>30</v>
      </c>
      <c r="S459" s="531"/>
      <c r="T459" s="531">
        <v>0</v>
      </c>
      <c r="U459" s="536">
        <v>45857</v>
      </c>
      <c r="V459" s="531" t="s">
        <v>310</v>
      </c>
      <c r="W459" s="531">
        <v>300</v>
      </c>
      <c r="X459" s="539" t="s">
        <v>32</v>
      </c>
      <c r="Y459" s="531" t="s">
        <v>343</v>
      </c>
      <c r="Z459" s="390"/>
      <c r="AA459" s="540" t="s">
        <v>532</v>
      </c>
      <c r="AB459" s="540" t="s">
        <v>16</v>
      </c>
      <c r="AC459" s="390" t="s">
        <v>2332</v>
      </c>
    </row>
    <row r="460" spans="1:29" s="639" customFormat="1" ht="15" hidden="1" customHeight="1">
      <c r="A460" s="528" t="s">
        <v>25</v>
      </c>
      <c r="B460" s="529" t="s">
        <v>25</v>
      </c>
      <c r="C460" s="528" t="s">
        <v>2316</v>
      </c>
      <c r="D460" s="528" t="s">
        <v>2317</v>
      </c>
      <c r="E460" s="528" t="s">
        <v>375</v>
      </c>
      <c r="F460" s="528">
        <v>153255566</v>
      </c>
      <c r="G460" s="528">
        <v>779119301</v>
      </c>
      <c r="H460" s="531">
        <v>5.8403400000000003</v>
      </c>
      <c r="I460" s="531">
        <v>-5.3676199999999996</v>
      </c>
      <c r="J460" s="528" t="s">
        <v>36</v>
      </c>
      <c r="K460" s="531" t="s">
        <v>203</v>
      </c>
      <c r="L460" s="531" t="s">
        <v>1228</v>
      </c>
      <c r="M460" s="585" t="s">
        <v>2446</v>
      </c>
      <c r="N460" s="585">
        <v>2150027273</v>
      </c>
      <c r="O460" s="536">
        <v>45838</v>
      </c>
      <c r="P460" s="533">
        <f t="shared" ca="1" si="13"/>
        <v>230</v>
      </c>
      <c r="Q460" s="536">
        <v>45839</v>
      </c>
      <c r="R460" s="534" t="s">
        <v>30</v>
      </c>
      <c r="S460" s="535"/>
      <c r="T460" s="535">
        <v>3</v>
      </c>
      <c r="U460" s="536">
        <v>45857</v>
      </c>
      <c r="V460" s="537" t="s">
        <v>310</v>
      </c>
      <c r="W460" s="535">
        <v>300</v>
      </c>
      <c r="X460" s="537" t="s">
        <v>32</v>
      </c>
      <c r="Y460" s="531" t="s">
        <v>578</v>
      </c>
      <c r="Z460" s="390"/>
      <c r="AA460" s="540" t="s">
        <v>532</v>
      </c>
      <c r="AB460" s="390" t="s">
        <v>16</v>
      </c>
      <c r="AC460" s="390" t="s">
        <v>2429</v>
      </c>
    </row>
    <row r="461" spans="1:29" s="641" customFormat="1" ht="15" hidden="1" customHeight="1">
      <c r="A461" s="528" t="s">
        <v>25</v>
      </c>
      <c r="B461" s="529" t="s">
        <v>25</v>
      </c>
      <c r="C461" s="530" t="s">
        <v>2372</v>
      </c>
      <c r="D461" s="530" t="s">
        <v>2373</v>
      </c>
      <c r="E461" s="530" t="s">
        <v>375</v>
      </c>
      <c r="F461" s="530">
        <v>705219015</v>
      </c>
      <c r="G461" s="530">
        <v>718818994</v>
      </c>
      <c r="H461" s="531">
        <v>5.8399609999999997</v>
      </c>
      <c r="I461" s="531">
        <v>-5.3686499999999997</v>
      </c>
      <c r="J461" s="530" t="s">
        <v>36</v>
      </c>
      <c r="K461" s="531" t="s">
        <v>203</v>
      </c>
      <c r="L461" s="531" t="s">
        <v>1567</v>
      </c>
      <c r="M461" s="531" t="s">
        <v>2416</v>
      </c>
      <c r="N461" s="531">
        <v>2150027246</v>
      </c>
      <c r="O461" s="532">
        <v>45846</v>
      </c>
      <c r="P461" s="533">
        <f t="shared" ca="1" si="13"/>
        <v>221</v>
      </c>
      <c r="Q461" s="532">
        <v>45848</v>
      </c>
      <c r="R461" s="534" t="s">
        <v>30</v>
      </c>
      <c r="S461" s="535"/>
      <c r="T461" s="535">
        <v>0</v>
      </c>
      <c r="U461" s="536">
        <v>45857</v>
      </c>
      <c r="V461" s="534" t="s">
        <v>310</v>
      </c>
      <c r="W461" s="535">
        <v>150</v>
      </c>
      <c r="X461" s="537" t="s">
        <v>32</v>
      </c>
      <c r="Y461" s="531" t="s">
        <v>627</v>
      </c>
      <c r="Z461" s="390"/>
      <c r="AA461" s="540" t="s">
        <v>532</v>
      </c>
      <c r="AB461" s="540" t="s">
        <v>16</v>
      </c>
      <c r="AC461" s="390" t="s">
        <v>2394</v>
      </c>
    </row>
    <row r="462" spans="1:29" s="639" customFormat="1" ht="15" hidden="1" customHeight="1">
      <c r="A462" s="528" t="s">
        <v>25</v>
      </c>
      <c r="B462" s="529" t="s">
        <v>25</v>
      </c>
      <c r="C462" s="530" t="s">
        <v>2370</v>
      </c>
      <c r="D462" s="530" t="s">
        <v>2371</v>
      </c>
      <c r="E462" s="530" t="s">
        <v>1806</v>
      </c>
      <c r="F462" s="530">
        <v>171041509</v>
      </c>
      <c r="G462" s="530">
        <v>777191468</v>
      </c>
      <c r="H462" s="531">
        <v>5.8441179999999999</v>
      </c>
      <c r="I462" s="531">
        <v>-5.3643640000000001</v>
      </c>
      <c r="J462" s="530" t="s">
        <v>36</v>
      </c>
      <c r="K462" s="531" t="s">
        <v>190</v>
      </c>
      <c r="L462" s="531" t="s">
        <v>423</v>
      </c>
      <c r="M462" s="531" t="s">
        <v>2417</v>
      </c>
      <c r="N462" s="531">
        <v>2150027245</v>
      </c>
      <c r="O462" s="532">
        <v>45846</v>
      </c>
      <c r="P462" s="533">
        <f t="shared" ca="1" si="13"/>
        <v>221</v>
      </c>
      <c r="Q462" s="532">
        <v>45848</v>
      </c>
      <c r="R462" s="534" t="s">
        <v>30</v>
      </c>
      <c r="S462" s="535"/>
      <c r="T462" s="535">
        <v>0</v>
      </c>
      <c r="U462" s="536">
        <v>45857</v>
      </c>
      <c r="V462" s="534" t="s">
        <v>310</v>
      </c>
      <c r="W462" s="535">
        <v>200</v>
      </c>
      <c r="X462" s="537" t="s">
        <v>32</v>
      </c>
      <c r="Y462" s="531" t="s">
        <v>1521</v>
      </c>
      <c r="Z462" s="390"/>
      <c r="AA462" s="540" t="s">
        <v>532</v>
      </c>
      <c r="AB462" s="540" t="s">
        <v>16</v>
      </c>
      <c r="AC462" s="390" t="s">
        <v>2339</v>
      </c>
    </row>
    <row r="463" spans="1:29" s="639" customFormat="1" ht="15" hidden="1" customHeight="1">
      <c r="A463" s="461" t="s">
        <v>25</v>
      </c>
      <c r="B463" s="388" t="s">
        <v>25</v>
      </c>
      <c r="C463" s="461" t="s">
        <v>2203</v>
      </c>
      <c r="D463" s="461" t="s">
        <v>2204</v>
      </c>
      <c r="E463" s="461" t="s">
        <v>84</v>
      </c>
      <c r="F463" s="461">
        <v>575011018</v>
      </c>
      <c r="G463" s="461">
        <v>505782707</v>
      </c>
      <c r="H463" s="461">
        <v>5.5003799999999998</v>
      </c>
      <c r="I463" s="390">
        <v>-5.21347</v>
      </c>
      <c r="J463" s="461" t="s">
        <v>36</v>
      </c>
      <c r="K463" s="390" t="s">
        <v>198</v>
      </c>
      <c r="L463" s="390" t="s">
        <v>716</v>
      </c>
      <c r="M463" s="390" t="s">
        <v>2428</v>
      </c>
      <c r="N463" s="390">
        <v>2150027248</v>
      </c>
      <c r="O463" s="484">
        <v>45819</v>
      </c>
      <c r="P463" s="398">
        <f t="shared" ca="1" si="13"/>
        <v>249</v>
      </c>
      <c r="Q463" s="484">
        <v>45820</v>
      </c>
      <c r="R463" s="390" t="s">
        <v>30</v>
      </c>
      <c r="S463" s="390"/>
      <c r="T463" s="390">
        <v>0</v>
      </c>
      <c r="U463" s="484">
        <v>45858</v>
      </c>
      <c r="V463" s="390" t="s">
        <v>310</v>
      </c>
      <c r="W463" s="390">
        <v>200</v>
      </c>
      <c r="X463" s="395" t="s">
        <v>32</v>
      </c>
      <c r="Y463" s="390" t="s">
        <v>228</v>
      </c>
      <c r="Z463" s="390"/>
      <c r="AA463" s="540" t="s">
        <v>532</v>
      </c>
      <c r="AB463" s="540" t="s">
        <v>16</v>
      </c>
      <c r="AC463" s="390" t="s">
        <v>2255</v>
      </c>
    </row>
    <row r="464" spans="1:29" s="639" customFormat="1" ht="15" hidden="1" customHeight="1">
      <c r="A464" s="461" t="s">
        <v>25</v>
      </c>
      <c r="B464" s="388" t="s">
        <v>25</v>
      </c>
      <c r="C464" s="389" t="s">
        <v>2212</v>
      </c>
      <c r="D464" s="389" t="s">
        <v>2213</v>
      </c>
      <c r="E464" s="389" t="s">
        <v>2214</v>
      </c>
      <c r="F464" s="389">
        <v>1042898881</v>
      </c>
      <c r="G464" s="389">
        <v>778325866</v>
      </c>
      <c r="H464" s="390">
        <v>5.8444459999999996</v>
      </c>
      <c r="I464" s="390">
        <v>-5.3499660000000002</v>
      </c>
      <c r="J464" s="389" t="s">
        <v>189</v>
      </c>
      <c r="K464" s="390" t="s">
        <v>203</v>
      </c>
      <c r="L464" s="390" t="s">
        <v>638</v>
      </c>
      <c r="M464" s="462" t="s">
        <v>2456</v>
      </c>
      <c r="N464" s="462">
        <v>2150027254</v>
      </c>
      <c r="O464" s="393">
        <v>45818</v>
      </c>
      <c r="P464" s="398">
        <f t="shared" ca="1" si="13"/>
        <v>249</v>
      </c>
      <c r="Q464" s="393">
        <v>45820</v>
      </c>
      <c r="R464" s="390" t="s">
        <v>30</v>
      </c>
      <c r="S464" s="390"/>
      <c r="T464" s="390">
        <v>4</v>
      </c>
      <c r="U464" s="484">
        <v>45858</v>
      </c>
      <c r="V464" s="390" t="s">
        <v>310</v>
      </c>
      <c r="W464" s="390">
        <v>300</v>
      </c>
      <c r="X464" s="395" t="s">
        <v>32</v>
      </c>
      <c r="Y464" s="390" t="s">
        <v>245</v>
      </c>
      <c r="Z464" s="390"/>
      <c r="AA464" s="540" t="s">
        <v>532</v>
      </c>
      <c r="AB464" s="540" t="s">
        <v>16</v>
      </c>
      <c r="AC464" s="390" t="s">
        <v>2221</v>
      </c>
    </row>
    <row r="465" spans="1:29" s="640" customFormat="1" ht="15" hidden="1" customHeight="1">
      <c r="A465" s="461" t="s">
        <v>25</v>
      </c>
      <c r="B465" s="388" t="s">
        <v>25</v>
      </c>
      <c r="C465" s="389" t="s">
        <v>2242</v>
      </c>
      <c r="D465" s="389" t="s">
        <v>2243</v>
      </c>
      <c r="E465" s="389" t="s">
        <v>295</v>
      </c>
      <c r="F465" s="389">
        <v>150304141</v>
      </c>
      <c r="G465" s="389">
        <v>707953036</v>
      </c>
      <c r="H465" s="390">
        <v>5.8372520000000003</v>
      </c>
      <c r="I465" s="390">
        <v>-5.3515300000000003</v>
      </c>
      <c r="J465" s="389" t="s">
        <v>189</v>
      </c>
      <c r="K465" s="390" t="s">
        <v>190</v>
      </c>
      <c r="L465" s="390" t="s">
        <v>1353</v>
      </c>
      <c r="M465" s="390" t="s">
        <v>2413</v>
      </c>
      <c r="N465" s="390">
        <v>2150027250</v>
      </c>
      <c r="O465" s="393">
        <v>45824</v>
      </c>
      <c r="P465" s="398">
        <f t="shared" ca="1" si="13"/>
        <v>244</v>
      </c>
      <c r="Q465" s="393">
        <v>45825</v>
      </c>
      <c r="R465" s="540" t="s">
        <v>30</v>
      </c>
      <c r="S465" s="540"/>
      <c r="T465" s="540">
        <v>5</v>
      </c>
      <c r="U465" s="484">
        <v>45858</v>
      </c>
      <c r="V465" s="461" t="s">
        <v>310</v>
      </c>
      <c r="W465" s="540">
        <v>500</v>
      </c>
      <c r="X465" s="461" t="s">
        <v>32</v>
      </c>
      <c r="Y465" s="390" t="s">
        <v>245</v>
      </c>
      <c r="Z465" s="374"/>
      <c r="AA465" s="380" t="s">
        <v>532</v>
      </c>
      <c r="AB465" s="544" t="s">
        <v>16</v>
      </c>
      <c r="AC465" s="374" t="s">
        <v>2308</v>
      </c>
    </row>
    <row r="466" spans="1:29" s="640" customFormat="1" ht="15" hidden="1" customHeight="1">
      <c r="A466" s="461" t="s">
        <v>25</v>
      </c>
      <c r="B466" s="388" t="s">
        <v>25</v>
      </c>
      <c r="C466" s="461" t="s">
        <v>2324</v>
      </c>
      <c r="D466" s="461" t="s">
        <v>2325</v>
      </c>
      <c r="E466" s="461" t="s">
        <v>2326</v>
      </c>
      <c r="F466" s="461">
        <v>748283386</v>
      </c>
      <c r="G466" s="461">
        <v>555748654</v>
      </c>
      <c r="H466" s="390">
        <v>5.8308600000000004</v>
      </c>
      <c r="I466" s="390">
        <v>-5.3613900000000001</v>
      </c>
      <c r="J466" s="461" t="s">
        <v>36</v>
      </c>
      <c r="K466" s="390" t="s">
        <v>198</v>
      </c>
      <c r="L466" s="390" t="s">
        <v>1028</v>
      </c>
      <c r="M466" s="462" t="s">
        <v>2455</v>
      </c>
      <c r="N466" s="462">
        <v>2150027253</v>
      </c>
      <c r="O466" s="484">
        <v>45839</v>
      </c>
      <c r="P466" s="398">
        <f t="shared" ca="1" si="13"/>
        <v>229</v>
      </c>
      <c r="Q466" s="484">
        <v>45840</v>
      </c>
      <c r="R466" s="389" t="s">
        <v>30</v>
      </c>
      <c r="S466" s="540"/>
      <c r="T466" s="540">
        <v>0</v>
      </c>
      <c r="U466" s="484">
        <v>45858</v>
      </c>
      <c r="V466" s="541" t="s">
        <v>310</v>
      </c>
      <c r="W466" s="540">
        <v>200</v>
      </c>
      <c r="X466" s="541" t="s">
        <v>32</v>
      </c>
      <c r="Y466" s="390" t="s">
        <v>343</v>
      </c>
      <c r="Z466" s="374"/>
      <c r="AA466" s="380" t="s">
        <v>532</v>
      </c>
      <c r="AB466" s="544" t="s">
        <v>16</v>
      </c>
      <c r="AC466" s="374" t="s">
        <v>2265</v>
      </c>
    </row>
    <row r="467" spans="1:29" s="640" customFormat="1" ht="15" hidden="1" customHeight="1">
      <c r="A467" s="461" t="s">
        <v>25</v>
      </c>
      <c r="B467" s="388" t="s">
        <v>25</v>
      </c>
      <c r="C467" s="461" t="s">
        <v>2337</v>
      </c>
      <c r="D467" s="461" t="s">
        <v>2338</v>
      </c>
      <c r="E467" s="461" t="s">
        <v>864</v>
      </c>
      <c r="F467" s="461">
        <v>748472828</v>
      </c>
      <c r="G467" s="461">
        <v>545759467</v>
      </c>
      <c r="H467" s="390">
        <v>5.83779</v>
      </c>
      <c r="I467" s="390">
        <v>-5.3607500000000003</v>
      </c>
      <c r="J467" s="461" t="s">
        <v>36</v>
      </c>
      <c r="K467" s="390" t="s">
        <v>190</v>
      </c>
      <c r="L467" s="390" t="s">
        <v>601</v>
      </c>
      <c r="M467" s="462" t="s">
        <v>2454</v>
      </c>
      <c r="N467" s="462">
        <v>2150027265</v>
      </c>
      <c r="O467" s="484">
        <v>45841</v>
      </c>
      <c r="P467" s="398">
        <f t="shared" ca="1" si="13"/>
        <v>227</v>
      </c>
      <c r="Q467" s="484">
        <v>45842</v>
      </c>
      <c r="R467" s="390" t="s">
        <v>30</v>
      </c>
      <c r="S467" s="390"/>
      <c r="T467" s="390">
        <v>0</v>
      </c>
      <c r="U467" s="484">
        <v>45858</v>
      </c>
      <c r="V467" s="541" t="s">
        <v>310</v>
      </c>
      <c r="W467" s="390">
        <v>150</v>
      </c>
      <c r="X467" s="541" t="s">
        <v>32</v>
      </c>
      <c r="Y467" s="390" t="s">
        <v>627</v>
      </c>
      <c r="Z467" s="374"/>
      <c r="AA467" s="380" t="s">
        <v>532</v>
      </c>
      <c r="AB467" s="544" t="s">
        <v>16</v>
      </c>
      <c r="AC467" s="374" t="s">
        <v>2307</v>
      </c>
    </row>
    <row r="468" spans="1:29" s="640" customFormat="1" ht="15" hidden="1" customHeight="1">
      <c r="A468" s="461" t="s">
        <v>25</v>
      </c>
      <c r="B468" s="388" t="s">
        <v>25</v>
      </c>
      <c r="C468" s="389" t="s">
        <v>2391</v>
      </c>
      <c r="D468" s="389" t="s">
        <v>2392</v>
      </c>
      <c r="E468" s="389" t="s">
        <v>2393</v>
      </c>
      <c r="F468" s="389">
        <v>778010400</v>
      </c>
      <c r="G468" s="389">
        <v>712874887</v>
      </c>
      <c r="H468" s="390">
        <v>5.8348990000000001</v>
      </c>
      <c r="I468" s="390">
        <v>-5.3597219999999997</v>
      </c>
      <c r="J468" s="389" t="s">
        <v>36</v>
      </c>
      <c r="K468" s="390" t="s">
        <v>198</v>
      </c>
      <c r="L468" s="390" t="s">
        <v>1268</v>
      </c>
      <c r="M468" s="462" t="s">
        <v>2443</v>
      </c>
      <c r="N468" s="462">
        <v>2150027281</v>
      </c>
      <c r="O468" s="393">
        <v>45849</v>
      </c>
      <c r="P468" s="390"/>
      <c r="Q468" s="393">
        <v>45850</v>
      </c>
      <c r="R468" s="389" t="s">
        <v>30</v>
      </c>
      <c r="S468" s="540"/>
      <c r="T468" s="540">
        <v>1</v>
      </c>
      <c r="U468" s="484">
        <v>45858</v>
      </c>
      <c r="V468" s="542" t="s">
        <v>310</v>
      </c>
      <c r="W468" s="540">
        <v>200</v>
      </c>
      <c r="X468" s="541" t="s">
        <v>32</v>
      </c>
      <c r="Y468" s="390" t="s">
        <v>228</v>
      </c>
      <c r="Z468" s="374"/>
      <c r="AA468" s="380" t="s">
        <v>532</v>
      </c>
      <c r="AB468" s="544" t="s">
        <v>16</v>
      </c>
      <c r="AC468" s="374" t="s">
        <v>2217</v>
      </c>
    </row>
    <row r="469" spans="1:29" s="640" customFormat="1" ht="15" hidden="1" customHeight="1">
      <c r="A469" s="529" t="s">
        <v>25</v>
      </c>
      <c r="B469" s="529" t="s">
        <v>25</v>
      </c>
      <c r="C469" s="559" t="s">
        <v>2113</v>
      </c>
      <c r="D469" s="559" t="s">
        <v>2114</v>
      </c>
      <c r="E469" s="559" t="s">
        <v>2115</v>
      </c>
      <c r="F469" s="559">
        <v>708372140</v>
      </c>
      <c r="G469" s="559">
        <v>565643548</v>
      </c>
      <c r="H469" s="531">
        <v>5.8497969999999997</v>
      </c>
      <c r="I469" s="531">
        <v>-5.3567929999999997</v>
      </c>
      <c r="J469" s="528" t="s">
        <v>189</v>
      </c>
      <c r="K469" s="531" t="s">
        <v>198</v>
      </c>
      <c r="L469" s="531" t="s">
        <v>2218</v>
      </c>
      <c r="M469" s="553" t="s">
        <v>2442</v>
      </c>
      <c r="N469" s="553">
        <v>2150027280</v>
      </c>
      <c r="O469" s="560">
        <v>45805</v>
      </c>
      <c r="P469" s="533">
        <f t="shared" ref="P469:P484" ca="1" si="14">TODAY()-Q469</f>
        <v>261</v>
      </c>
      <c r="Q469" s="560">
        <v>45808</v>
      </c>
      <c r="R469" s="531" t="s">
        <v>30</v>
      </c>
      <c r="S469" s="531"/>
      <c r="T469" s="531">
        <v>1</v>
      </c>
      <c r="U469" s="536">
        <v>45860</v>
      </c>
      <c r="V469" s="531" t="s">
        <v>310</v>
      </c>
      <c r="W469" s="531">
        <v>100</v>
      </c>
      <c r="X469" s="539" t="s">
        <v>32</v>
      </c>
      <c r="Y469" s="80"/>
      <c r="Z469" s="374"/>
      <c r="AA469" s="380" t="s">
        <v>532</v>
      </c>
      <c r="AB469" s="544" t="s">
        <v>16</v>
      </c>
      <c r="AC469" s="374" t="s">
        <v>2237</v>
      </c>
    </row>
    <row r="470" spans="1:29" s="640" customFormat="1" ht="15" hidden="1" customHeight="1">
      <c r="A470" s="388" t="s">
        <v>25</v>
      </c>
      <c r="B470" s="388" t="s">
        <v>25</v>
      </c>
      <c r="C470" s="391" t="s">
        <v>2152</v>
      </c>
      <c r="D470" s="391" t="s">
        <v>2153</v>
      </c>
      <c r="E470" s="391" t="s">
        <v>2155</v>
      </c>
      <c r="F470" s="391">
        <v>10436741</v>
      </c>
      <c r="G470" s="391">
        <v>719488267</v>
      </c>
      <c r="H470" s="391">
        <v>5.8419559999999997</v>
      </c>
      <c r="I470" s="390">
        <v>-5.3705639999999999</v>
      </c>
      <c r="J470" s="391" t="s">
        <v>36</v>
      </c>
      <c r="K470" s="390" t="s">
        <v>190</v>
      </c>
      <c r="L470" s="390" t="s">
        <v>544</v>
      </c>
      <c r="M470" s="392" t="s">
        <v>2444</v>
      </c>
      <c r="N470" s="392">
        <v>2150027282</v>
      </c>
      <c r="O470" s="399">
        <v>45810</v>
      </c>
      <c r="P470" s="398">
        <f t="shared" ca="1" si="14"/>
        <v>258</v>
      </c>
      <c r="Q470" s="399">
        <v>45811</v>
      </c>
      <c r="R470" s="390" t="s">
        <v>30</v>
      </c>
      <c r="S470" s="390"/>
      <c r="T470" s="390">
        <v>3</v>
      </c>
      <c r="U470" s="484">
        <v>45860</v>
      </c>
      <c r="V470" s="390" t="s">
        <v>310</v>
      </c>
      <c r="W470" s="390">
        <v>200</v>
      </c>
      <c r="X470" s="395" t="s">
        <v>32</v>
      </c>
      <c r="Y470" s="390" t="s">
        <v>578</v>
      </c>
      <c r="Z470" s="374"/>
      <c r="AA470" s="380" t="s">
        <v>532</v>
      </c>
      <c r="AB470" s="544" t="s">
        <v>16</v>
      </c>
      <c r="AC470" s="374" t="s">
        <v>2303</v>
      </c>
    </row>
    <row r="471" spans="1:29" s="640" customFormat="1" ht="15" hidden="1" customHeight="1">
      <c r="A471" s="468" t="s">
        <v>25</v>
      </c>
      <c r="B471" s="372" t="s">
        <v>25</v>
      </c>
      <c r="C471" s="468" t="s">
        <v>2201</v>
      </c>
      <c r="D471" s="468" t="s">
        <v>2202</v>
      </c>
      <c r="E471" s="468" t="s">
        <v>35</v>
      </c>
      <c r="F471" s="468">
        <v>102832154</v>
      </c>
      <c r="G471" s="468">
        <v>708264951</v>
      </c>
      <c r="H471" s="374">
        <v>5.8411400000000002</v>
      </c>
      <c r="I471" s="374">
        <v>-5.3571099999999996</v>
      </c>
      <c r="J471" s="468" t="s">
        <v>36</v>
      </c>
      <c r="K471" s="374" t="s">
        <v>190</v>
      </c>
      <c r="L471" s="374" t="s">
        <v>474</v>
      </c>
      <c r="M471" s="374" t="s">
        <v>2414</v>
      </c>
      <c r="N471" s="374">
        <v>2150027249</v>
      </c>
      <c r="O471" s="469">
        <v>45819</v>
      </c>
      <c r="P471" s="377">
        <f t="shared" ca="1" si="14"/>
        <v>249</v>
      </c>
      <c r="Q471" s="469">
        <v>45820</v>
      </c>
      <c r="R471" s="374" t="s">
        <v>30</v>
      </c>
      <c r="S471" s="374"/>
      <c r="T471" s="374">
        <v>4</v>
      </c>
      <c r="U471" s="469">
        <v>45860</v>
      </c>
      <c r="V471" s="374" t="s">
        <v>310</v>
      </c>
      <c r="W471" s="374">
        <v>500</v>
      </c>
      <c r="X471" s="379" t="s">
        <v>32</v>
      </c>
      <c r="Y471" s="374" t="s">
        <v>578</v>
      </c>
      <c r="Z471" s="374"/>
      <c r="AA471" s="380" t="s">
        <v>532</v>
      </c>
      <c r="AB471" s="544" t="s">
        <v>16</v>
      </c>
      <c r="AC471" s="374"/>
    </row>
    <row r="472" spans="1:29" s="642" customFormat="1" ht="15" hidden="1" customHeight="1">
      <c r="A472" s="468" t="s">
        <v>25</v>
      </c>
      <c r="B472" s="372" t="s">
        <v>25</v>
      </c>
      <c r="C472" s="545" t="s">
        <v>2229</v>
      </c>
      <c r="D472" s="545" t="s">
        <v>2230</v>
      </c>
      <c r="E472" s="545" t="s">
        <v>667</v>
      </c>
      <c r="F472" s="545">
        <v>152347100</v>
      </c>
      <c r="G472" s="545">
        <v>748749425</v>
      </c>
      <c r="H472" s="374">
        <v>5.8476800000000004</v>
      </c>
      <c r="I472" s="374">
        <v>-5.3574700000000002</v>
      </c>
      <c r="J472" s="545" t="s">
        <v>189</v>
      </c>
      <c r="K472" s="374" t="s">
        <v>203</v>
      </c>
      <c r="L472" s="374" t="s">
        <v>1048</v>
      </c>
      <c r="M472" s="543" t="s">
        <v>2447</v>
      </c>
      <c r="N472" s="543">
        <v>2150027272</v>
      </c>
      <c r="O472" s="546">
        <v>45820</v>
      </c>
      <c r="P472" s="377">
        <f t="shared" ca="1" si="14"/>
        <v>247</v>
      </c>
      <c r="Q472" s="546">
        <v>45822</v>
      </c>
      <c r="R472" s="374" t="s">
        <v>30</v>
      </c>
      <c r="S472" s="374"/>
      <c r="T472" s="374">
        <v>1</v>
      </c>
      <c r="U472" s="469">
        <v>45860</v>
      </c>
      <c r="V472" s="374" t="s">
        <v>310</v>
      </c>
      <c r="W472" s="374">
        <v>400</v>
      </c>
      <c r="X472" s="379" t="s">
        <v>32</v>
      </c>
      <c r="Y472" s="374" t="s">
        <v>1521</v>
      </c>
      <c r="Z472" s="390"/>
      <c r="AA472" s="389" t="s">
        <v>532</v>
      </c>
      <c r="AB472" s="540" t="s">
        <v>16</v>
      </c>
      <c r="AC472" s="464" t="s">
        <v>2390</v>
      </c>
    </row>
    <row r="473" spans="1:29" s="642" customFormat="1" ht="15" hidden="1" customHeight="1">
      <c r="A473" s="468" t="s">
        <v>25</v>
      </c>
      <c r="B473" s="372" t="s">
        <v>25</v>
      </c>
      <c r="C473" s="380" t="s">
        <v>2259</v>
      </c>
      <c r="D473" s="380" t="s">
        <v>2260</v>
      </c>
      <c r="E473" s="380" t="s">
        <v>1334</v>
      </c>
      <c r="F473" s="380">
        <v>102948765</v>
      </c>
      <c r="G473" s="380">
        <v>102949081</v>
      </c>
      <c r="H473" s="374">
        <v>5.8305499999999997</v>
      </c>
      <c r="I473" s="374">
        <v>-5.3614100000000002</v>
      </c>
      <c r="J473" s="380" t="s">
        <v>36</v>
      </c>
      <c r="K473" s="374" t="s">
        <v>198</v>
      </c>
      <c r="L473" s="374" t="s">
        <v>896</v>
      </c>
      <c r="M473" s="543" t="s">
        <v>2452</v>
      </c>
      <c r="N473" s="543">
        <v>2150027267</v>
      </c>
      <c r="O473" s="381">
        <v>45826</v>
      </c>
      <c r="P473" s="377">
        <f t="shared" ca="1" si="14"/>
        <v>242</v>
      </c>
      <c r="Q473" s="381">
        <v>45827</v>
      </c>
      <c r="R473" s="544" t="s">
        <v>30</v>
      </c>
      <c r="S473" s="544"/>
      <c r="T473" s="544">
        <v>0</v>
      </c>
      <c r="U473" s="469">
        <v>45860</v>
      </c>
      <c r="V473" s="468" t="s">
        <v>310</v>
      </c>
      <c r="W473" s="544">
        <v>150</v>
      </c>
      <c r="X473" s="468" t="s">
        <v>32</v>
      </c>
      <c r="Y473" s="374" t="s">
        <v>533</v>
      </c>
      <c r="Z473" s="390"/>
      <c r="AA473" s="389" t="s">
        <v>532</v>
      </c>
      <c r="AB473" s="540" t="s">
        <v>16</v>
      </c>
      <c r="AC473" s="390" t="s">
        <v>2361</v>
      </c>
    </row>
    <row r="474" spans="1:29" s="642" customFormat="1" ht="15" hidden="1" customHeight="1">
      <c r="A474" s="388" t="s">
        <v>25</v>
      </c>
      <c r="B474" s="388" t="s">
        <v>25</v>
      </c>
      <c r="C474" s="465" t="s">
        <v>2272</v>
      </c>
      <c r="D474" s="465" t="s">
        <v>2273</v>
      </c>
      <c r="E474" s="465" t="s">
        <v>2274</v>
      </c>
      <c r="F474" s="465">
        <v>151774949</v>
      </c>
      <c r="G474" s="465">
        <v>798082097</v>
      </c>
      <c r="H474" s="390">
        <v>5.8334999999999999</v>
      </c>
      <c r="I474" s="390">
        <v>-5.3620599999999996</v>
      </c>
      <c r="J474" s="389" t="s">
        <v>36</v>
      </c>
      <c r="K474" s="390" t="s">
        <v>203</v>
      </c>
      <c r="L474" s="390" t="s">
        <v>716</v>
      </c>
      <c r="M474" s="462" t="s">
        <v>2470</v>
      </c>
      <c r="N474" s="462">
        <v>2150027277</v>
      </c>
      <c r="O474" s="466">
        <v>45828</v>
      </c>
      <c r="P474" s="398">
        <f t="shared" ca="1" si="14"/>
        <v>240</v>
      </c>
      <c r="Q474" s="466">
        <v>45829</v>
      </c>
      <c r="R474" s="390" t="s">
        <v>30</v>
      </c>
      <c r="S474" s="390"/>
      <c r="T474" s="390">
        <v>0</v>
      </c>
      <c r="U474" s="484">
        <v>45860</v>
      </c>
      <c r="V474" s="390" t="s">
        <v>310</v>
      </c>
      <c r="W474" s="390">
        <v>250</v>
      </c>
      <c r="X474" s="395" t="s">
        <v>32</v>
      </c>
      <c r="Y474" s="390" t="s">
        <v>245</v>
      </c>
      <c r="Z474" s="390"/>
      <c r="AA474" s="389" t="s">
        <v>532</v>
      </c>
      <c r="AB474" s="540" t="s">
        <v>16</v>
      </c>
      <c r="AC474" s="390" t="s">
        <v>2305</v>
      </c>
    </row>
    <row r="475" spans="1:29" s="642" customFormat="1" ht="15" hidden="1" customHeight="1">
      <c r="A475" s="468" t="s">
        <v>25</v>
      </c>
      <c r="B475" s="372" t="s">
        <v>25</v>
      </c>
      <c r="C475" s="373" t="s">
        <v>2287</v>
      </c>
      <c r="D475" s="373" t="s">
        <v>2288</v>
      </c>
      <c r="E475" s="373" t="s">
        <v>864</v>
      </c>
      <c r="F475" s="373">
        <v>150859012</v>
      </c>
      <c r="G475" s="373">
        <v>716818710</v>
      </c>
      <c r="H475" s="374">
        <v>5.8400800000000004</v>
      </c>
      <c r="I475" s="374">
        <v>-5.36043</v>
      </c>
      <c r="J475" s="373" t="s">
        <v>36</v>
      </c>
      <c r="K475" s="374" t="s">
        <v>198</v>
      </c>
      <c r="L475" s="374" t="s">
        <v>1710</v>
      </c>
      <c r="M475" s="543" t="s">
        <v>2448</v>
      </c>
      <c r="N475" s="543">
        <v>2150027271</v>
      </c>
      <c r="O475" s="376">
        <v>45833</v>
      </c>
      <c r="P475" s="377">
        <f t="shared" ca="1" si="14"/>
        <v>234</v>
      </c>
      <c r="Q475" s="376">
        <v>45835</v>
      </c>
      <c r="R475" s="374" t="s">
        <v>30</v>
      </c>
      <c r="S475" s="374"/>
      <c r="T475" s="374">
        <v>3</v>
      </c>
      <c r="U475" s="469">
        <v>45860</v>
      </c>
      <c r="V475" s="374" t="s">
        <v>310</v>
      </c>
      <c r="W475" s="374">
        <v>250</v>
      </c>
      <c r="X475" s="379" t="s">
        <v>32</v>
      </c>
      <c r="Y475" s="374" t="s">
        <v>245</v>
      </c>
      <c r="Z475" s="390"/>
      <c r="AA475" s="389" t="s">
        <v>532</v>
      </c>
      <c r="AB475" s="540" t="s">
        <v>16</v>
      </c>
      <c r="AC475" s="390" t="s">
        <v>2306</v>
      </c>
    </row>
    <row r="476" spans="1:29" s="642" customFormat="1" ht="15" hidden="1" customHeight="1">
      <c r="A476" s="468" t="s">
        <v>25</v>
      </c>
      <c r="B476" s="372" t="s">
        <v>25</v>
      </c>
      <c r="C476" s="373" t="s">
        <v>2282</v>
      </c>
      <c r="D476" s="373" t="s">
        <v>2283</v>
      </c>
      <c r="E476" s="373" t="s">
        <v>2284</v>
      </c>
      <c r="F476" s="373">
        <v>758268333</v>
      </c>
      <c r="G476" s="373">
        <v>758268333</v>
      </c>
      <c r="H476" s="374">
        <v>5.8358800000000004</v>
      </c>
      <c r="I476" s="374">
        <v>-5.3532299999999999</v>
      </c>
      <c r="J476" s="373" t="s">
        <v>36</v>
      </c>
      <c r="K476" s="374" t="s">
        <v>198</v>
      </c>
      <c r="L476" s="374" t="s">
        <v>1710</v>
      </c>
      <c r="M476" s="543" t="s">
        <v>2449</v>
      </c>
      <c r="N476" s="543">
        <v>2150027270</v>
      </c>
      <c r="O476" s="376">
        <v>45833</v>
      </c>
      <c r="P476" s="377">
        <f t="shared" ca="1" si="14"/>
        <v>234</v>
      </c>
      <c r="Q476" s="376">
        <v>45835</v>
      </c>
      <c r="R476" s="374" t="s">
        <v>30</v>
      </c>
      <c r="S476" s="374"/>
      <c r="T476" s="374">
        <v>0</v>
      </c>
      <c r="U476" s="469">
        <v>45860</v>
      </c>
      <c r="V476" s="374" t="s">
        <v>310</v>
      </c>
      <c r="W476" s="374">
        <v>150</v>
      </c>
      <c r="X476" s="379" t="s">
        <v>32</v>
      </c>
      <c r="Y476" s="374" t="s">
        <v>228</v>
      </c>
      <c r="Z476" s="390"/>
      <c r="AA476" s="389" t="s">
        <v>532</v>
      </c>
      <c r="AB476" s="540" t="s">
        <v>16</v>
      </c>
      <c r="AC476" s="390" t="s">
        <v>2408</v>
      </c>
    </row>
    <row r="477" spans="1:29" s="642" customFormat="1" ht="15" hidden="1" customHeight="1">
      <c r="A477" s="468" t="s">
        <v>25</v>
      </c>
      <c r="B477" s="372" t="s">
        <v>25</v>
      </c>
      <c r="C477" s="545" t="s">
        <v>2298</v>
      </c>
      <c r="D477" s="545" t="s">
        <v>2299</v>
      </c>
      <c r="E477" s="545" t="s">
        <v>2300</v>
      </c>
      <c r="F477" s="545">
        <v>777104205</v>
      </c>
      <c r="G477" s="545">
        <v>565290423</v>
      </c>
      <c r="H477" s="374">
        <v>5.8381999999999996</v>
      </c>
      <c r="I477" s="545">
        <v>-5.3506200000000002</v>
      </c>
      <c r="J477" s="545" t="s">
        <v>189</v>
      </c>
      <c r="K477" s="545" t="s">
        <v>274</v>
      </c>
      <c r="L477" s="374" t="s">
        <v>1336</v>
      </c>
      <c r="M477" s="543" t="s">
        <v>2451</v>
      </c>
      <c r="N477" s="543">
        <v>2150027268</v>
      </c>
      <c r="O477" s="546">
        <v>45835</v>
      </c>
      <c r="P477" s="377">
        <f t="shared" ca="1" si="14"/>
        <v>233</v>
      </c>
      <c r="Q477" s="546">
        <v>45836</v>
      </c>
      <c r="R477" s="374" t="s">
        <v>30</v>
      </c>
      <c r="S477" s="374"/>
      <c r="T477" s="374">
        <v>4</v>
      </c>
      <c r="U477" s="469">
        <v>45860</v>
      </c>
      <c r="V477" s="374" t="s">
        <v>310</v>
      </c>
      <c r="W477" s="374">
        <v>400</v>
      </c>
      <c r="X477" s="379" t="s">
        <v>32</v>
      </c>
      <c r="Y477" s="374" t="s">
        <v>228</v>
      </c>
      <c r="Z477" s="390"/>
      <c r="AA477" s="389" t="s">
        <v>532</v>
      </c>
      <c r="AB477" s="540" t="s">
        <v>16</v>
      </c>
      <c r="AC477" s="390" t="s">
        <v>2407</v>
      </c>
    </row>
    <row r="478" spans="1:29" s="642" customFormat="1" ht="15" hidden="1" customHeight="1">
      <c r="A478" s="461" t="s">
        <v>25</v>
      </c>
      <c r="B478" s="388" t="s">
        <v>25</v>
      </c>
      <c r="C478" s="465" t="s">
        <v>2301</v>
      </c>
      <c r="D478" s="465" t="s">
        <v>2302</v>
      </c>
      <c r="E478" s="465" t="s">
        <v>114</v>
      </c>
      <c r="F478" s="465">
        <v>748476734</v>
      </c>
      <c r="G478" s="465">
        <v>504472189</v>
      </c>
      <c r="H478" s="390">
        <v>5.8338200000000002</v>
      </c>
      <c r="I478" s="465">
        <v>-5.3627200000000004</v>
      </c>
      <c r="J478" s="465" t="s">
        <v>36</v>
      </c>
      <c r="K478" s="465" t="s">
        <v>203</v>
      </c>
      <c r="L478" s="390" t="s">
        <v>1595</v>
      </c>
      <c r="M478" s="462" t="s">
        <v>2471</v>
      </c>
      <c r="N478" s="462">
        <v>2150027278</v>
      </c>
      <c r="O478" s="466">
        <v>45835</v>
      </c>
      <c r="P478" s="398">
        <f t="shared" ca="1" si="14"/>
        <v>233</v>
      </c>
      <c r="Q478" s="466">
        <v>45836</v>
      </c>
      <c r="R478" s="390" t="s">
        <v>30</v>
      </c>
      <c r="S478" s="390"/>
      <c r="T478" s="390">
        <v>1</v>
      </c>
      <c r="U478" s="484">
        <v>45860</v>
      </c>
      <c r="V478" s="390" t="s">
        <v>310</v>
      </c>
      <c r="W478" s="390">
        <v>300</v>
      </c>
      <c r="X478" s="395" t="s">
        <v>32</v>
      </c>
      <c r="Y478" s="390" t="s">
        <v>343</v>
      </c>
      <c r="Z478" s="390"/>
      <c r="AA478" s="389" t="s">
        <v>532</v>
      </c>
      <c r="AB478" s="540" t="s">
        <v>16</v>
      </c>
      <c r="AC478" s="390" t="s">
        <v>2389</v>
      </c>
    </row>
    <row r="479" spans="1:29" s="639" customFormat="1" ht="15" hidden="1" customHeight="1">
      <c r="A479" s="468" t="s">
        <v>25</v>
      </c>
      <c r="B479" s="372" t="s">
        <v>25</v>
      </c>
      <c r="C479" s="468" t="s">
        <v>2318</v>
      </c>
      <c r="D479" s="468" t="s">
        <v>2319</v>
      </c>
      <c r="E479" s="468" t="s">
        <v>110</v>
      </c>
      <c r="F479" s="468">
        <v>748281446</v>
      </c>
      <c r="G479" s="468">
        <v>748281446</v>
      </c>
      <c r="H479" s="374">
        <v>5.8445</v>
      </c>
      <c r="I479" s="374">
        <v>-5.3447300000000002</v>
      </c>
      <c r="J479" s="468" t="s">
        <v>189</v>
      </c>
      <c r="K479" s="374" t="s">
        <v>274</v>
      </c>
      <c r="L479" s="374" t="s">
        <v>261</v>
      </c>
      <c r="M479" s="374" t="s">
        <v>2418</v>
      </c>
      <c r="N479" s="374">
        <v>2150027255</v>
      </c>
      <c r="O479" s="469">
        <v>45838</v>
      </c>
      <c r="P479" s="377">
        <f t="shared" ca="1" si="14"/>
        <v>230</v>
      </c>
      <c r="Q479" s="469">
        <v>45839</v>
      </c>
      <c r="R479" s="380" t="s">
        <v>30</v>
      </c>
      <c r="S479" s="544"/>
      <c r="T479" s="544">
        <v>0</v>
      </c>
      <c r="U479" s="469">
        <v>45860</v>
      </c>
      <c r="V479" s="547" t="s">
        <v>310</v>
      </c>
      <c r="W479" s="544">
        <v>500</v>
      </c>
      <c r="X479" s="547" t="s">
        <v>32</v>
      </c>
      <c r="Y479" s="374"/>
      <c r="Z479" s="80"/>
      <c r="AA479" s="535" t="s">
        <v>532</v>
      </c>
      <c r="AB479" s="535" t="s">
        <v>16</v>
      </c>
      <c r="AC479" s="531" t="s">
        <v>2484</v>
      </c>
    </row>
    <row r="480" spans="1:29" s="639" customFormat="1" ht="15" hidden="1" customHeight="1">
      <c r="A480" s="461" t="s">
        <v>25</v>
      </c>
      <c r="B480" s="388" t="s">
        <v>25</v>
      </c>
      <c r="C480" s="465" t="s">
        <v>2351</v>
      </c>
      <c r="D480" s="465" t="s">
        <v>2352</v>
      </c>
      <c r="E480" s="465" t="s">
        <v>402</v>
      </c>
      <c r="F480" s="465">
        <v>142061474</v>
      </c>
      <c r="G480" s="465">
        <v>142284343</v>
      </c>
      <c r="H480" s="390">
        <v>5.8437780000000004</v>
      </c>
      <c r="I480" s="390">
        <v>-5.3664959999999997</v>
      </c>
      <c r="J480" s="390" t="s">
        <v>36</v>
      </c>
      <c r="K480" s="390" t="s">
        <v>190</v>
      </c>
      <c r="L480" s="465" t="s">
        <v>544</v>
      </c>
      <c r="M480" s="392" t="s">
        <v>2457</v>
      </c>
      <c r="N480" s="392">
        <v>2150027252</v>
      </c>
      <c r="O480" s="466">
        <v>45842</v>
      </c>
      <c r="P480" s="398">
        <f t="shared" ca="1" si="14"/>
        <v>226</v>
      </c>
      <c r="Q480" s="466">
        <v>45843</v>
      </c>
      <c r="R480" s="389" t="s">
        <v>30</v>
      </c>
      <c r="S480" s="389"/>
      <c r="T480" s="389">
        <v>1</v>
      </c>
      <c r="U480" s="484">
        <v>45860</v>
      </c>
      <c r="V480" s="541" t="s">
        <v>310</v>
      </c>
      <c r="W480" s="389">
        <v>200</v>
      </c>
      <c r="X480" s="541" t="s">
        <v>32</v>
      </c>
      <c r="Y480" s="390" t="s">
        <v>533</v>
      </c>
      <c r="Z480" s="80"/>
      <c r="AA480" s="535" t="s">
        <v>532</v>
      </c>
      <c r="AB480" s="535" t="s">
        <v>16</v>
      </c>
      <c r="AC480" s="531" t="s">
        <v>2483</v>
      </c>
    </row>
    <row r="481" spans="1:29" s="639" customFormat="1" ht="15" hidden="1" customHeight="1">
      <c r="A481" s="461" t="s">
        <v>25</v>
      </c>
      <c r="B481" s="388" t="s">
        <v>25</v>
      </c>
      <c r="C481" s="550" t="s">
        <v>2380</v>
      </c>
      <c r="D481" s="550" t="s">
        <v>2381</v>
      </c>
      <c r="E481" s="550" t="s">
        <v>35</v>
      </c>
      <c r="F481" s="550">
        <v>778638504</v>
      </c>
      <c r="G481" s="550">
        <v>704757629</v>
      </c>
      <c r="H481" s="390">
        <v>5.8404259999999999</v>
      </c>
      <c r="I481" s="390">
        <v>-5.3585469999999997</v>
      </c>
      <c r="J481" s="550" t="s">
        <v>36</v>
      </c>
      <c r="K481" s="390" t="s">
        <v>190</v>
      </c>
      <c r="L481" s="390" t="s">
        <v>474</v>
      </c>
      <c r="M481" s="392" t="s">
        <v>2445</v>
      </c>
      <c r="N481" s="392">
        <v>2150027274</v>
      </c>
      <c r="O481" s="551">
        <v>45848</v>
      </c>
      <c r="P481" s="398">
        <f t="shared" ca="1" si="14"/>
        <v>220</v>
      </c>
      <c r="Q481" s="551">
        <v>45849</v>
      </c>
      <c r="R481" s="389" t="s">
        <v>30</v>
      </c>
      <c r="S481" s="540"/>
      <c r="T481" s="540">
        <v>2</v>
      </c>
      <c r="U481" s="484">
        <v>45860</v>
      </c>
      <c r="V481" s="542" t="s">
        <v>310</v>
      </c>
      <c r="W481" s="540">
        <v>200</v>
      </c>
      <c r="X481" s="541" t="s">
        <v>32</v>
      </c>
      <c r="Y481" s="390" t="s">
        <v>1521</v>
      </c>
      <c r="Z481" s="80"/>
      <c r="AA481" s="535" t="s">
        <v>532</v>
      </c>
      <c r="AB481" s="535" t="s">
        <v>16</v>
      </c>
      <c r="AC481" s="561" t="s">
        <v>2219</v>
      </c>
    </row>
    <row r="482" spans="1:29" s="639" customFormat="1" ht="15" hidden="1" customHeight="1">
      <c r="A482" s="461" t="s">
        <v>25</v>
      </c>
      <c r="B482" s="388" t="s">
        <v>25</v>
      </c>
      <c r="C482" s="548" t="s">
        <v>2397</v>
      </c>
      <c r="D482" s="548" t="s">
        <v>2398</v>
      </c>
      <c r="E482" s="548" t="s">
        <v>2393</v>
      </c>
      <c r="F482" s="548">
        <v>506228994</v>
      </c>
      <c r="G482" s="548">
        <v>708235310</v>
      </c>
      <c r="H482" s="390">
        <v>5.8342499999999999</v>
      </c>
      <c r="I482" s="390">
        <v>-5.3620039999999998</v>
      </c>
      <c r="J482" s="548" t="s">
        <v>36</v>
      </c>
      <c r="K482" s="390" t="s">
        <v>198</v>
      </c>
      <c r="L482" s="390" t="s">
        <v>950</v>
      </c>
      <c r="M482" s="462" t="s">
        <v>2481</v>
      </c>
      <c r="N482" s="462">
        <v>2150027279</v>
      </c>
      <c r="O482" s="549">
        <v>45854</v>
      </c>
      <c r="P482" s="398">
        <f t="shared" ca="1" si="14"/>
        <v>214</v>
      </c>
      <c r="Q482" s="549">
        <v>45855</v>
      </c>
      <c r="R482" s="389" t="s">
        <v>30</v>
      </c>
      <c r="S482" s="540"/>
      <c r="T482" s="540">
        <v>0</v>
      </c>
      <c r="U482" s="484">
        <v>45860</v>
      </c>
      <c r="V482" s="542" t="s">
        <v>310</v>
      </c>
      <c r="W482" s="540">
        <v>100</v>
      </c>
      <c r="X482" s="541" t="s">
        <v>32</v>
      </c>
      <c r="Y482" s="390" t="s">
        <v>1521</v>
      </c>
      <c r="Z482" s="80"/>
      <c r="AA482" s="535" t="s">
        <v>532</v>
      </c>
      <c r="AB482" s="531" t="s">
        <v>16</v>
      </c>
      <c r="AC482" s="531" t="s">
        <v>2485</v>
      </c>
    </row>
    <row r="483" spans="1:29" s="639" customFormat="1" ht="15" hidden="1" customHeight="1">
      <c r="A483" s="461" t="s">
        <v>25</v>
      </c>
      <c r="B483" s="388" t="s">
        <v>25</v>
      </c>
      <c r="C483" s="548" t="s">
        <v>2395</v>
      </c>
      <c r="D483" s="548" t="s">
        <v>2396</v>
      </c>
      <c r="E483" s="548" t="s">
        <v>289</v>
      </c>
      <c r="F483" s="548">
        <v>505062122</v>
      </c>
      <c r="G483" s="548">
        <v>716634201</v>
      </c>
      <c r="H483" s="390">
        <v>5.8336430000000004</v>
      </c>
      <c r="I483" s="390">
        <v>-5.3557779999999999</v>
      </c>
      <c r="J483" s="548" t="s">
        <v>36</v>
      </c>
      <c r="K483" s="390" t="s">
        <v>274</v>
      </c>
      <c r="L483" s="390" t="s">
        <v>2406</v>
      </c>
      <c r="M483" s="462" t="s">
        <v>2482</v>
      </c>
      <c r="N483" s="462">
        <v>2150027283</v>
      </c>
      <c r="O483" s="549">
        <v>45853</v>
      </c>
      <c r="P483" s="398">
        <f t="shared" ca="1" si="14"/>
        <v>214</v>
      </c>
      <c r="Q483" s="549">
        <v>45855</v>
      </c>
      <c r="R483" s="389" t="s">
        <v>30</v>
      </c>
      <c r="S483" s="540"/>
      <c r="T483" s="540">
        <v>0</v>
      </c>
      <c r="U483" s="484">
        <v>45860</v>
      </c>
      <c r="V483" s="542" t="s">
        <v>310</v>
      </c>
      <c r="W483" s="540">
        <v>100</v>
      </c>
      <c r="X483" s="541" t="s">
        <v>32</v>
      </c>
      <c r="Y483" s="390" t="s">
        <v>193</v>
      </c>
      <c r="Z483" s="80"/>
      <c r="AA483" s="509" t="s">
        <v>532</v>
      </c>
      <c r="AB483" s="509" t="s">
        <v>16</v>
      </c>
      <c r="AC483" s="419" t="s">
        <v>2478</v>
      </c>
    </row>
    <row r="484" spans="1:29" s="639" customFormat="1" ht="15" hidden="1" customHeight="1">
      <c r="A484" s="528" t="s">
        <v>25</v>
      </c>
      <c r="B484" s="529" t="s">
        <v>25</v>
      </c>
      <c r="C484" s="557" t="s">
        <v>2356</v>
      </c>
      <c r="D484" s="557" t="s">
        <v>2357</v>
      </c>
      <c r="E484" s="557" t="s">
        <v>2358</v>
      </c>
      <c r="F484" s="557">
        <v>170680881</v>
      </c>
      <c r="G484" s="557">
        <v>505810192</v>
      </c>
      <c r="H484" s="531">
        <v>5.8338200000000002</v>
      </c>
      <c r="I484" s="531">
        <v>-5.3627200000000004</v>
      </c>
      <c r="J484" s="531" t="s">
        <v>36</v>
      </c>
      <c r="K484" s="531" t="s">
        <v>198</v>
      </c>
      <c r="L484" s="557" t="s">
        <v>716</v>
      </c>
      <c r="M484" s="553" t="s">
        <v>2488</v>
      </c>
      <c r="N484" s="553">
        <v>2150027294</v>
      </c>
      <c r="O484" s="558">
        <v>45843</v>
      </c>
      <c r="P484" s="533">
        <f t="shared" ca="1" si="14"/>
        <v>226</v>
      </c>
      <c r="Q484" s="558">
        <v>45843</v>
      </c>
      <c r="R484" s="534" t="s">
        <v>30</v>
      </c>
      <c r="S484" s="534"/>
      <c r="T484" s="534">
        <v>0</v>
      </c>
      <c r="U484" s="536">
        <v>45861</v>
      </c>
      <c r="V484" s="537" t="s">
        <v>310</v>
      </c>
      <c r="W484" s="534">
        <v>50</v>
      </c>
      <c r="X484" s="537" t="s">
        <v>32</v>
      </c>
      <c r="Y484" s="80" t="s">
        <v>578</v>
      </c>
      <c r="Z484" s="80"/>
      <c r="AA484" s="509" t="s">
        <v>532</v>
      </c>
      <c r="AB484" s="509" t="s">
        <v>16</v>
      </c>
      <c r="AC484" s="419" t="s">
        <v>2409</v>
      </c>
    </row>
    <row r="485" spans="1:29" s="639" customFormat="1" ht="15" hidden="1" customHeight="1">
      <c r="A485" s="528" t="s">
        <v>25</v>
      </c>
      <c r="B485" s="529" t="s">
        <v>25</v>
      </c>
      <c r="C485" s="552" t="s">
        <v>2465</v>
      </c>
      <c r="D485" s="552" t="s">
        <v>2466</v>
      </c>
      <c r="E485" s="552" t="s">
        <v>2467</v>
      </c>
      <c r="F485" s="552">
        <v>101082200</v>
      </c>
      <c r="G485" s="552">
        <v>708850008</v>
      </c>
      <c r="H485" s="531">
        <v>5.83847</v>
      </c>
      <c r="I485" s="531">
        <v>-5.35684</v>
      </c>
      <c r="J485" s="531" t="s">
        <v>36</v>
      </c>
      <c r="K485" s="531" t="s">
        <v>190</v>
      </c>
      <c r="L485" s="531" t="s">
        <v>1263</v>
      </c>
      <c r="M485" s="553" t="s">
        <v>2469</v>
      </c>
      <c r="N485" s="553">
        <v>2150027284</v>
      </c>
      <c r="O485" s="554">
        <v>45856</v>
      </c>
      <c r="P485" s="531"/>
      <c r="Q485" s="554">
        <v>45857</v>
      </c>
      <c r="R485" s="531" t="s">
        <v>30</v>
      </c>
      <c r="S485" s="531"/>
      <c r="T485" s="531">
        <v>0</v>
      </c>
      <c r="U485" s="555">
        <v>45861</v>
      </c>
      <c r="V485" s="531" t="s">
        <v>310</v>
      </c>
      <c r="W485" s="531">
        <v>200</v>
      </c>
      <c r="X485" s="531" t="s">
        <v>32</v>
      </c>
      <c r="Y485" s="80" t="s">
        <v>578</v>
      </c>
      <c r="Z485" s="80"/>
      <c r="AA485" s="509" t="s">
        <v>532</v>
      </c>
      <c r="AB485" s="509" t="s">
        <v>16</v>
      </c>
      <c r="AC485" s="419" t="s">
        <v>2497</v>
      </c>
    </row>
    <row r="486" spans="1:29" s="639" customFormat="1" ht="15" hidden="1" customHeight="1">
      <c r="A486" s="528" t="s">
        <v>25</v>
      </c>
      <c r="B486" s="529" t="s">
        <v>25</v>
      </c>
      <c r="C486" s="552" t="s">
        <v>2472</v>
      </c>
      <c r="D486" s="552" t="s">
        <v>2473</v>
      </c>
      <c r="E486" s="552" t="s">
        <v>2474</v>
      </c>
      <c r="F486" s="552">
        <v>749855393</v>
      </c>
      <c r="G486" s="552">
        <v>576713989</v>
      </c>
      <c r="H486" s="531">
        <v>5.8416600000000001</v>
      </c>
      <c r="I486" s="531">
        <v>-5.36599</v>
      </c>
      <c r="J486" s="531" t="s">
        <v>36</v>
      </c>
      <c r="K486" s="531" t="s">
        <v>203</v>
      </c>
      <c r="L486" s="531" t="s">
        <v>1228</v>
      </c>
      <c r="M486" s="553" t="s">
        <v>2487</v>
      </c>
      <c r="N486" s="553">
        <v>2150027275</v>
      </c>
      <c r="O486" s="554">
        <v>45859</v>
      </c>
      <c r="P486" s="533">
        <f t="shared" ref="P486:P494" ca="1" si="15">TODAY()-Q486</f>
        <v>209</v>
      </c>
      <c r="Q486" s="554">
        <v>45860</v>
      </c>
      <c r="R486" s="531" t="s">
        <v>30</v>
      </c>
      <c r="S486" s="531"/>
      <c r="T486" s="531">
        <v>0</v>
      </c>
      <c r="U486" s="555">
        <v>45861</v>
      </c>
      <c r="V486" s="556" t="s">
        <v>310</v>
      </c>
      <c r="W486" s="531">
        <v>150</v>
      </c>
      <c r="X486" s="537" t="s">
        <v>32</v>
      </c>
      <c r="Y486" s="80" t="s">
        <v>627</v>
      </c>
      <c r="Z486" s="80"/>
      <c r="AA486" s="509" t="s">
        <v>532</v>
      </c>
      <c r="AB486" s="419" t="s">
        <v>16</v>
      </c>
      <c r="AC486" s="419" t="s">
        <v>2499</v>
      </c>
    </row>
    <row r="487" spans="1:29" s="639" customFormat="1" ht="15" hidden="1" customHeight="1">
      <c r="A487" s="507" t="s">
        <v>25</v>
      </c>
      <c r="B487" s="417" t="s">
        <v>25</v>
      </c>
      <c r="C487" s="576" t="s">
        <v>2399</v>
      </c>
      <c r="D487" s="576" t="s">
        <v>2400</v>
      </c>
      <c r="E487" s="576" t="s">
        <v>2401</v>
      </c>
      <c r="F487" s="576">
        <v>708231239</v>
      </c>
      <c r="G487" s="576">
        <v>711076346</v>
      </c>
      <c r="H487" s="419">
        <v>5.8538160000000001</v>
      </c>
      <c r="I487" s="419">
        <v>-5.3532400000000004</v>
      </c>
      <c r="J487" s="576" t="s">
        <v>189</v>
      </c>
      <c r="K487" s="419" t="s">
        <v>198</v>
      </c>
      <c r="L487" s="419" t="s">
        <v>1210</v>
      </c>
      <c r="M487" s="650" t="s">
        <v>2502</v>
      </c>
      <c r="N487" s="650">
        <v>2150027292</v>
      </c>
      <c r="O487" s="577">
        <v>45854</v>
      </c>
      <c r="P487" s="422">
        <f t="shared" ca="1" si="15"/>
        <v>214</v>
      </c>
      <c r="Q487" s="577">
        <v>45855</v>
      </c>
      <c r="R487" s="418" t="s">
        <v>30</v>
      </c>
      <c r="S487" s="509"/>
      <c r="T487" s="509">
        <v>1</v>
      </c>
      <c r="U487" s="459">
        <v>45862</v>
      </c>
      <c r="V487" s="574" t="s">
        <v>310</v>
      </c>
      <c r="W487" s="509">
        <v>400</v>
      </c>
      <c r="X487" s="575" t="s">
        <v>32</v>
      </c>
      <c r="Y487" s="80" t="s">
        <v>228</v>
      </c>
      <c r="Z487" s="390"/>
      <c r="AA487" s="540" t="s">
        <v>532</v>
      </c>
      <c r="AB487" s="390" t="s">
        <v>16</v>
      </c>
      <c r="AC487" s="390" t="s">
        <v>2310</v>
      </c>
    </row>
    <row r="488" spans="1:29" s="639" customFormat="1" ht="15" hidden="1" customHeight="1">
      <c r="A488" s="507" t="s">
        <v>25</v>
      </c>
      <c r="B488" s="418" t="s">
        <v>25</v>
      </c>
      <c r="C488" s="507" t="s">
        <v>2440</v>
      </c>
      <c r="D488" s="507" t="s">
        <v>2441</v>
      </c>
      <c r="E488" s="507" t="s">
        <v>864</v>
      </c>
      <c r="F488" s="507">
        <v>757000132</v>
      </c>
      <c r="G488" s="507">
        <v>717545388</v>
      </c>
      <c r="H488" s="419">
        <v>5.8380739999999998</v>
      </c>
      <c r="I488" s="419">
        <v>-5.3587579999999999</v>
      </c>
      <c r="J488" s="507" t="s">
        <v>36</v>
      </c>
      <c r="K488" s="419" t="s">
        <v>190</v>
      </c>
      <c r="L488" s="419" t="s">
        <v>642</v>
      </c>
      <c r="M488" s="650" t="s">
        <v>2503</v>
      </c>
      <c r="N488" s="650">
        <v>2150027291</v>
      </c>
      <c r="O488" s="510">
        <v>45850</v>
      </c>
      <c r="P488" s="422">
        <f t="shared" ca="1" si="15"/>
        <v>213</v>
      </c>
      <c r="Q488" s="423">
        <v>45856</v>
      </c>
      <c r="R488" s="418" t="s">
        <v>30</v>
      </c>
      <c r="S488" s="509"/>
      <c r="T488" s="509">
        <v>0</v>
      </c>
      <c r="U488" s="459">
        <v>45862</v>
      </c>
      <c r="V488" s="574" t="s">
        <v>310</v>
      </c>
      <c r="W488" s="509">
        <v>50</v>
      </c>
      <c r="X488" s="575" t="s">
        <v>32</v>
      </c>
      <c r="Y488" s="80" t="s">
        <v>533</v>
      </c>
      <c r="Z488" s="390"/>
      <c r="AA488" s="540" t="s">
        <v>532</v>
      </c>
      <c r="AB488" s="540" t="s">
        <v>16</v>
      </c>
      <c r="AC488" s="390" t="s">
        <v>2267</v>
      </c>
    </row>
    <row r="489" spans="1:29" s="639" customFormat="1" ht="15" hidden="1" customHeight="1">
      <c r="A489" s="507" t="s">
        <v>25</v>
      </c>
      <c r="B489" s="418" t="s">
        <v>25</v>
      </c>
      <c r="C489" s="507" t="s">
        <v>2459</v>
      </c>
      <c r="D489" s="507" t="s">
        <v>2460</v>
      </c>
      <c r="E489" s="507" t="s">
        <v>2461</v>
      </c>
      <c r="F489" s="507">
        <v>173090995</v>
      </c>
      <c r="G489" s="507">
        <v>769750916</v>
      </c>
      <c r="H489" s="419">
        <v>5.8490500000000001</v>
      </c>
      <c r="I489" s="419">
        <v>-5.3499600000000003</v>
      </c>
      <c r="J489" s="507" t="s">
        <v>189</v>
      </c>
      <c r="K489" s="419" t="s">
        <v>203</v>
      </c>
      <c r="L489" s="419" t="s">
        <v>638</v>
      </c>
      <c r="M489" s="650" t="s">
        <v>2504</v>
      </c>
      <c r="N489" s="650">
        <v>2150027293</v>
      </c>
      <c r="O489" s="510">
        <v>45855</v>
      </c>
      <c r="P489" s="422">
        <f t="shared" ca="1" si="15"/>
        <v>212</v>
      </c>
      <c r="Q489" s="510">
        <v>45857</v>
      </c>
      <c r="R489" s="425" t="s">
        <v>30</v>
      </c>
      <c r="S489" s="425"/>
      <c r="T489" s="509">
        <v>0</v>
      </c>
      <c r="U489" s="459">
        <v>45862</v>
      </c>
      <c r="V489" s="509" t="s">
        <v>310</v>
      </c>
      <c r="W489" s="509">
        <v>500</v>
      </c>
      <c r="X489" s="419" t="s">
        <v>32</v>
      </c>
      <c r="Y489" s="80" t="s">
        <v>533</v>
      </c>
      <c r="Z489" s="390"/>
      <c r="AA489" s="540" t="s">
        <v>532</v>
      </c>
      <c r="AB489" s="540" t="s">
        <v>16</v>
      </c>
      <c r="AC489" s="390" t="s">
        <v>2240</v>
      </c>
    </row>
    <row r="490" spans="1:29" s="639" customFormat="1" ht="15" hidden="1" customHeight="1">
      <c r="A490" s="507" t="s">
        <v>25</v>
      </c>
      <c r="B490" s="417" t="s">
        <v>25</v>
      </c>
      <c r="C490" s="572" t="s">
        <v>2475</v>
      </c>
      <c r="D490" s="572" t="s">
        <v>2476</v>
      </c>
      <c r="E490" s="572" t="s">
        <v>35</v>
      </c>
      <c r="F490" s="572">
        <v>101355525</v>
      </c>
      <c r="G490" s="572">
        <v>101914169</v>
      </c>
      <c r="H490" s="419">
        <v>5.8391200000000003</v>
      </c>
      <c r="I490" s="419">
        <v>-5.3578099999999997</v>
      </c>
      <c r="J490" s="419" t="s">
        <v>36</v>
      </c>
      <c r="K490" s="419" t="s">
        <v>190</v>
      </c>
      <c r="L490" s="419" t="s">
        <v>1263</v>
      </c>
      <c r="M490" s="421" t="s">
        <v>2486</v>
      </c>
      <c r="N490" s="421">
        <v>2150027276</v>
      </c>
      <c r="O490" s="573">
        <v>45859</v>
      </c>
      <c r="P490" s="422">
        <f t="shared" ca="1" si="15"/>
        <v>209</v>
      </c>
      <c r="Q490" s="573">
        <v>45860</v>
      </c>
      <c r="R490" s="419" t="s">
        <v>30</v>
      </c>
      <c r="S490" s="419"/>
      <c r="T490" s="419">
        <v>0</v>
      </c>
      <c r="U490" s="459">
        <v>45862</v>
      </c>
      <c r="V490" s="574" t="s">
        <v>310</v>
      </c>
      <c r="W490" s="419">
        <v>400</v>
      </c>
      <c r="X490" s="575" t="s">
        <v>32</v>
      </c>
      <c r="Y490" s="80"/>
      <c r="Z490" s="390"/>
      <c r="AA490" s="540" t="s">
        <v>532</v>
      </c>
      <c r="AB490" s="390" t="s">
        <v>16</v>
      </c>
      <c r="AC490" s="390" t="s">
        <v>2498</v>
      </c>
    </row>
    <row r="491" spans="1:29" s="639" customFormat="1" ht="15" hidden="1" customHeight="1">
      <c r="A491" s="388" t="s">
        <v>25</v>
      </c>
      <c r="B491" s="388" t="s">
        <v>25</v>
      </c>
      <c r="C491" s="391" t="s">
        <v>2165</v>
      </c>
      <c r="D491" s="391" t="s">
        <v>2166</v>
      </c>
      <c r="E491" s="391" t="s">
        <v>172</v>
      </c>
      <c r="F491" s="391">
        <v>103987708</v>
      </c>
      <c r="G491" s="391">
        <v>714126872</v>
      </c>
      <c r="H491" s="391">
        <v>5.8409680000000002</v>
      </c>
      <c r="I491" s="390">
        <v>-5.353739</v>
      </c>
      <c r="J491" s="390" t="s">
        <v>189</v>
      </c>
      <c r="K491" s="390" t="s">
        <v>203</v>
      </c>
      <c r="L491" s="390" t="s">
        <v>281</v>
      </c>
      <c r="M491" s="392" t="s">
        <v>2527</v>
      </c>
      <c r="N491" s="392">
        <v>2150027286</v>
      </c>
      <c r="O491" s="399">
        <v>45812</v>
      </c>
      <c r="P491" s="398">
        <f t="shared" ca="1" si="15"/>
        <v>256</v>
      </c>
      <c r="Q491" s="399">
        <v>45813</v>
      </c>
      <c r="R491" s="390" t="s">
        <v>30</v>
      </c>
      <c r="S491" s="390"/>
      <c r="T491" s="390">
        <v>0</v>
      </c>
      <c r="U491" s="578">
        <v>45863</v>
      </c>
      <c r="V491" s="390" t="s">
        <v>310</v>
      </c>
      <c r="W491" s="390">
        <v>400</v>
      </c>
      <c r="X491" s="395" t="s">
        <v>32</v>
      </c>
      <c r="Y491" s="390"/>
      <c r="Z491" s="390"/>
      <c r="AA491" s="540" t="s">
        <v>532</v>
      </c>
      <c r="AB491" s="390" t="s">
        <v>16</v>
      </c>
      <c r="AC491" s="390" t="s">
        <v>2458</v>
      </c>
    </row>
    <row r="492" spans="1:29" s="644" customFormat="1" ht="15" hidden="1" customHeight="1">
      <c r="A492" s="388" t="s">
        <v>25</v>
      </c>
      <c r="B492" s="388" t="s">
        <v>25</v>
      </c>
      <c r="C492" s="461" t="s">
        <v>2167</v>
      </c>
      <c r="D492" s="461" t="s">
        <v>2168</v>
      </c>
      <c r="E492" s="461" t="s">
        <v>2169</v>
      </c>
      <c r="F492" s="461">
        <v>555850362</v>
      </c>
      <c r="G492" s="461">
        <v>545024282</v>
      </c>
      <c r="H492" s="390">
        <v>5.83188</v>
      </c>
      <c r="I492" s="390">
        <v>-5.3591199999999999</v>
      </c>
      <c r="J492" s="390" t="s">
        <v>36</v>
      </c>
      <c r="K492" s="390" t="s">
        <v>198</v>
      </c>
      <c r="L492" s="390" t="s">
        <v>278</v>
      </c>
      <c r="M492" s="392" t="s">
        <v>2507</v>
      </c>
      <c r="N492" s="392">
        <v>2150027288</v>
      </c>
      <c r="O492" s="399">
        <v>45813</v>
      </c>
      <c r="P492" s="398">
        <f t="shared" ca="1" si="15"/>
        <v>256</v>
      </c>
      <c r="Q492" s="399">
        <v>45813</v>
      </c>
      <c r="R492" s="390" t="s">
        <v>30</v>
      </c>
      <c r="S492" s="390"/>
      <c r="T492" s="390">
        <v>1</v>
      </c>
      <c r="U492" s="578">
        <v>45863</v>
      </c>
      <c r="V492" s="390" t="s">
        <v>310</v>
      </c>
      <c r="W492" s="390">
        <v>250</v>
      </c>
      <c r="X492" s="395" t="s">
        <v>32</v>
      </c>
      <c r="Y492" s="390" t="s">
        <v>627</v>
      </c>
      <c r="Z492" s="419"/>
      <c r="AA492" s="509" t="s">
        <v>532</v>
      </c>
      <c r="AB492" s="419" t="s">
        <v>16</v>
      </c>
      <c r="AC492" s="419" t="s">
        <v>2479</v>
      </c>
    </row>
    <row r="493" spans="1:29" s="644" customFormat="1" ht="15" hidden="1" customHeight="1">
      <c r="A493" s="461" t="s">
        <v>25</v>
      </c>
      <c r="B493" s="388" t="s">
        <v>25</v>
      </c>
      <c r="C493" s="465" t="s">
        <v>2231</v>
      </c>
      <c r="D493" s="465" t="s">
        <v>2232</v>
      </c>
      <c r="E493" s="465" t="s">
        <v>2233</v>
      </c>
      <c r="F493" s="465">
        <v>575619491</v>
      </c>
      <c r="G493" s="465">
        <v>759466929</v>
      </c>
      <c r="H493" s="390">
        <v>5.8338200000000002</v>
      </c>
      <c r="I493" s="390">
        <v>-5.3627200000000004</v>
      </c>
      <c r="J493" s="465" t="s">
        <v>36</v>
      </c>
      <c r="K493" s="390" t="s">
        <v>198</v>
      </c>
      <c r="L493" s="390" t="s">
        <v>278</v>
      </c>
      <c r="M493" s="392" t="s">
        <v>2505</v>
      </c>
      <c r="N493" s="392">
        <v>2150027287</v>
      </c>
      <c r="O493" s="466">
        <v>45821</v>
      </c>
      <c r="P493" s="398">
        <f t="shared" ca="1" si="15"/>
        <v>247</v>
      </c>
      <c r="Q493" s="466">
        <v>45822</v>
      </c>
      <c r="R493" s="390" t="s">
        <v>30</v>
      </c>
      <c r="S493" s="390"/>
      <c r="T493" s="390">
        <v>1</v>
      </c>
      <c r="U493" s="578">
        <v>45863</v>
      </c>
      <c r="V493" s="390" t="s">
        <v>310</v>
      </c>
      <c r="W493" s="390">
        <v>200</v>
      </c>
      <c r="X493" s="395" t="s">
        <v>32</v>
      </c>
      <c r="Y493" s="390" t="s">
        <v>578</v>
      </c>
      <c r="Z493" s="419"/>
      <c r="AA493" s="509" t="s">
        <v>532</v>
      </c>
      <c r="AB493" s="419" t="s">
        <v>16</v>
      </c>
      <c r="AC493" s="419" t="s">
        <v>2340</v>
      </c>
    </row>
    <row r="494" spans="1:29" s="644" customFormat="1" ht="15" hidden="1" customHeight="1">
      <c r="A494" s="461" t="s">
        <v>25</v>
      </c>
      <c r="B494" s="388" t="s">
        <v>25</v>
      </c>
      <c r="C494" s="461" t="s">
        <v>2434</v>
      </c>
      <c r="D494" s="461" t="s">
        <v>1633</v>
      </c>
      <c r="E494" s="461" t="s">
        <v>402</v>
      </c>
      <c r="F494" s="461">
        <v>748368764</v>
      </c>
      <c r="G494" s="461">
        <v>748368764</v>
      </c>
      <c r="H494" s="390">
        <v>5.8446999999999996</v>
      </c>
      <c r="I494" s="390">
        <v>-5.3629429999999996</v>
      </c>
      <c r="J494" s="461" t="s">
        <v>36</v>
      </c>
      <c r="K494" s="390" t="s">
        <v>190</v>
      </c>
      <c r="L494" s="390" t="s">
        <v>1705</v>
      </c>
      <c r="M494" s="392" t="s">
        <v>2525</v>
      </c>
      <c r="N494" s="392">
        <v>2150027295</v>
      </c>
      <c r="O494" s="484">
        <v>45855</v>
      </c>
      <c r="P494" s="398">
        <f t="shared" ca="1" si="15"/>
        <v>213</v>
      </c>
      <c r="Q494" s="484">
        <v>45856</v>
      </c>
      <c r="R494" s="389" t="s">
        <v>30</v>
      </c>
      <c r="S494" s="540"/>
      <c r="T494" s="540">
        <v>2</v>
      </c>
      <c r="U494" s="578">
        <v>45863</v>
      </c>
      <c r="V494" s="542" t="s">
        <v>310</v>
      </c>
      <c r="W494" s="540">
        <v>500</v>
      </c>
      <c r="X494" s="541" t="s">
        <v>32</v>
      </c>
      <c r="Y494" s="390" t="s">
        <v>245</v>
      </c>
      <c r="Z494" s="419"/>
      <c r="AA494" s="509" t="s">
        <v>532</v>
      </c>
      <c r="AB494" s="419" t="s">
        <v>16</v>
      </c>
      <c r="AC494" s="419" t="s">
        <v>2412</v>
      </c>
    </row>
    <row r="495" spans="1:29" s="648" customFormat="1" ht="15" hidden="1" customHeight="1">
      <c r="A495" s="461" t="s">
        <v>25</v>
      </c>
      <c r="B495" s="388" t="s">
        <v>25</v>
      </c>
      <c r="C495" s="461" t="s">
        <v>2495</v>
      </c>
      <c r="D495" s="461" t="s">
        <v>2490</v>
      </c>
      <c r="E495" s="461" t="s">
        <v>2496</v>
      </c>
      <c r="F495" s="461">
        <v>505989669</v>
      </c>
      <c r="G495" s="461">
        <v>102707794</v>
      </c>
      <c r="H495" s="390">
        <v>5.8445010000000002</v>
      </c>
      <c r="I495" s="390">
        <v>-5.35067</v>
      </c>
      <c r="J495" s="461" t="s">
        <v>189</v>
      </c>
      <c r="K495" s="390" t="s">
        <v>203</v>
      </c>
      <c r="L495" s="390" t="s">
        <v>344</v>
      </c>
      <c r="M495" s="392" t="s">
        <v>2524</v>
      </c>
      <c r="N495" s="392">
        <v>2150027297</v>
      </c>
      <c r="O495" s="484">
        <v>45860</v>
      </c>
      <c r="P495" s="390"/>
      <c r="Q495" s="484">
        <v>45861</v>
      </c>
      <c r="R495" s="389" t="s">
        <v>30</v>
      </c>
      <c r="S495" s="540"/>
      <c r="T495" s="540">
        <v>4</v>
      </c>
      <c r="U495" s="578">
        <v>45863</v>
      </c>
      <c r="V495" s="542" t="s">
        <v>310</v>
      </c>
      <c r="W495" s="540">
        <v>400</v>
      </c>
      <c r="X495" s="541" t="s">
        <v>32</v>
      </c>
      <c r="Y495" s="390"/>
      <c r="Z495" s="374"/>
      <c r="AA495" s="544" t="s">
        <v>532</v>
      </c>
      <c r="AB495" s="544" t="s">
        <v>16</v>
      </c>
      <c r="AC495" s="374" t="s">
        <v>2238</v>
      </c>
    </row>
    <row r="496" spans="1:29" s="648" customFormat="1" ht="15" hidden="1" customHeight="1">
      <c r="A496" s="507" t="s">
        <v>25</v>
      </c>
      <c r="B496" s="417" t="s">
        <v>25</v>
      </c>
      <c r="C496" s="507" t="s">
        <v>2334</v>
      </c>
      <c r="D496" s="507" t="s">
        <v>2335</v>
      </c>
      <c r="E496" s="507" t="s">
        <v>2336</v>
      </c>
      <c r="F496" s="507">
        <v>102158280</v>
      </c>
      <c r="G496" s="507">
        <v>758893257</v>
      </c>
      <c r="H496" s="419">
        <v>5.84903</v>
      </c>
      <c r="I496" s="419">
        <v>-5.3519199999999998</v>
      </c>
      <c r="J496" s="507" t="s">
        <v>189</v>
      </c>
      <c r="K496" s="419" t="s">
        <v>203</v>
      </c>
      <c r="L496" s="419" t="s">
        <v>411</v>
      </c>
      <c r="M496" s="421" t="s">
        <v>2526</v>
      </c>
      <c r="N496" s="421">
        <v>2150027296</v>
      </c>
      <c r="O496" s="510">
        <v>45840</v>
      </c>
      <c r="P496" s="422">
        <f t="shared" ref="P496:P511" ca="1" si="16">TODAY()-Q496</f>
        <v>227</v>
      </c>
      <c r="Q496" s="510">
        <v>45842</v>
      </c>
      <c r="R496" s="419" t="s">
        <v>30</v>
      </c>
      <c r="S496" s="419"/>
      <c r="T496" s="419">
        <v>2</v>
      </c>
      <c r="U496" s="508">
        <v>45864</v>
      </c>
      <c r="V496" s="575" t="s">
        <v>310</v>
      </c>
      <c r="W496" s="419">
        <v>200</v>
      </c>
      <c r="X496" s="575" t="s">
        <v>32</v>
      </c>
      <c r="Y496" s="419" t="s">
        <v>578</v>
      </c>
      <c r="Z496" s="374"/>
      <c r="AA496" s="544" t="s">
        <v>532</v>
      </c>
      <c r="AB496" s="544" t="s">
        <v>16</v>
      </c>
      <c r="AC496" s="374" t="s">
        <v>2410</v>
      </c>
    </row>
    <row r="497" spans="1:29" s="639" customFormat="1" ht="15" hidden="1" customHeight="1">
      <c r="A497" s="507" t="s">
        <v>25</v>
      </c>
      <c r="B497" s="417" t="s">
        <v>25</v>
      </c>
      <c r="C497" s="576" t="s">
        <v>2404</v>
      </c>
      <c r="D497" s="576" t="s">
        <v>2405</v>
      </c>
      <c r="E497" s="576" t="s">
        <v>110</v>
      </c>
      <c r="F497" s="576">
        <v>768443900</v>
      </c>
      <c r="G497" s="576">
        <v>768443900</v>
      </c>
      <c r="H497" s="419">
        <v>5.8444630000000002</v>
      </c>
      <c r="I497" s="419">
        <v>-5.3413750000000002</v>
      </c>
      <c r="J497" s="576" t="s">
        <v>189</v>
      </c>
      <c r="K497" s="419" t="s">
        <v>274</v>
      </c>
      <c r="L497" s="419" t="s">
        <v>2411</v>
      </c>
      <c r="M497" s="421" t="s">
        <v>2523</v>
      </c>
      <c r="N497" s="421">
        <v>2150027298</v>
      </c>
      <c r="O497" s="577">
        <v>45853</v>
      </c>
      <c r="P497" s="422">
        <f t="shared" ca="1" si="16"/>
        <v>214</v>
      </c>
      <c r="Q497" s="577">
        <v>45855</v>
      </c>
      <c r="R497" s="418" t="s">
        <v>30</v>
      </c>
      <c r="S497" s="509"/>
      <c r="T497" s="509">
        <v>1</v>
      </c>
      <c r="U497" s="508">
        <v>45864</v>
      </c>
      <c r="V497" s="574" t="s">
        <v>310</v>
      </c>
      <c r="W497" s="509">
        <v>500</v>
      </c>
      <c r="X497" s="575" t="s">
        <v>32</v>
      </c>
      <c r="Y497" s="419" t="s">
        <v>696</v>
      </c>
      <c r="Z497" s="374"/>
      <c r="AA497" s="544" t="s">
        <v>532</v>
      </c>
      <c r="AB497" s="544" t="s">
        <v>16</v>
      </c>
      <c r="AC497" s="374" t="s">
        <v>2539</v>
      </c>
    </row>
    <row r="498" spans="1:29" s="639" customFormat="1" ht="15" hidden="1" customHeight="1">
      <c r="A498" s="507" t="s">
        <v>25</v>
      </c>
      <c r="B498" s="418" t="s">
        <v>25</v>
      </c>
      <c r="C498" s="507" t="s">
        <v>2462</v>
      </c>
      <c r="D498" s="507" t="s">
        <v>2463</v>
      </c>
      <c r="E498" s="507" t="s">
        <v>2464</v>
      </c>
      <c r="F498" s="507">
        <v>141428990</v>
      </c>
      <c r="G498" s="507">
        <v>709093798</v>
      </c>
      <c r="H498" s="419">
        <v>5.84903</v>
      </c>
      <c r="I498" s="419">
        <v>-5.3517000000000001</v>
      </c>
      <c r="J498" s="507" t="s">
        <v>189</v>
      </c>
      <c r="K498" s="419" t="s">
        <v>198</v>
      </c>
      <c r="L498" s="419" t="s">
        <v>282</v>
      </c>
      <c r="M498" s="421" t="s">
        <v>2528</v>
      </c>
      <c r="N498" s="421">
        <v>2150027285</v>
      </c>
      <c r="O498" s="508">
        <v>45856</v>
      </c>
      <c r="P498" s="422">
        <f t="shared" ca="1" si="16"/>
        <v>212</v>
      </c>
      <c r="Q498" s="510">
        <v>45857</v>
      </c>
      <c r="R498" s="425" t="s">
        <v>30</v>
      </c>
      <c r="S498" s="425"/>
      <c r="T498" s="509">
        <v>1</v>
      </c>
      <c r="U498" s="508">
        <v>45864</v>
      </c>
      <c r="V498" s="509" t="s">
        <v>310</v>
      </c>
      <c r="W498" s="509">
        <v>150</v>
      </c>
      <c r="X498" s="419" t="s">
        <v>32</v>
      </c>
      <c r="Y498" s="419" t="s">
        <v>343</v>
      </c>
      <c r="Z498" s="438"/>
      <c r="AA498" s="523" t="s">
        <v>532</v>
      </c>
      <c r="AB498" s="523" t="s">
        <v>16</v>
      </c>
      <c r="AC498" s="438" t="s">
        <v>2480</v>
      </c>
    </row>
    <row r="499" spans="1:29" s="639" customFormat="1" ht="15" hidden="1" customHeight="1">
      <c r="A499" s="468" t="s">
        <v>25</v>
      </c>
      <c r="B499" s="372" t="s">
        <v>25</v>
      </c>
      <c r="C499" s="545" t="s">
        <v>2227</v>
      </c>
      <c r="D499" s="545" t="s">
        <v>2228</v>
      </c>
      <c r="E499" s="545" t="s">
        <v>1004</v>
      </c>
      <c r="F499" s="545">
        <v>141575517</v>
      </c>
      <c r="G499" s="545">
        <v>708746821</v>
      </c>
      <c r="H499" s="374">
        <v>5.8400600000000003</v>
      </c>
      <c r="I499" s="374">
        <v>-5.3627200000000004</v>
      </c>
      <c r="J499" s="545" t="s">
        <v>36</v>
      </c>
      <c r="K499" s="374" t="s">
        <v>203</v>
      </c>
      <c r="L499" s="374" t="s">
        <v>645</v>
      </c>
      <c r="M499" s="543" t="s">
        <v>2506</v>
      </c>
      <c r="N499" s="543">
        <v>2150027290</v>
      </c>
      <c r="O499" s="546">
        <v>45820</v>
      </c>
      <c r="P499" s="377">
        <f t="shared" ca="1" si="16"/>
        <v>247</v>
      </c>
      <c r="Q499" s="546">
        <v>45822</v>
      </c>
      <c r="R499" s="374" t="s">
        <v>30</v>
      </c>
      <c r="S499" s="374"/>
      <c r="T499" s="374">
        <v>0</v>
      </c>
      <c r="U499" s="579">
        <v>45866</v>
      </c>
      <c r="V499" s="374" t="s">
        <v>310</v>
      </c>
      <c r="W499" s="374">
        <v>250</v>
      </c>
      <c r="X499" s="379" t="s">
        <v>32</v>
      </c>
      <c r="Y499" s="374" t="s">
        <v>245</v>
      </c>
      <c r="Z499" s="438"/>
      <c r="AA499" s="523" t="s">
        <v>532</v>
      </c>
      <c r="AB499" s="523" t="s">
        <v>16</v>
      </c>
      <c r="AC499" s="438" t="s">
        <v>2500</v>
      </c>
    </row>
    <row r="500" spans="1:29" s="639" customFormat="1" ht="15" hidden="1" customHeight="1">
      <c r="A500" s="468" t="s">
        <v>25</v>
      </c>
      <c r="B500" s="372" t="s">
        <v>25</v>
      </c>
      <c r="C500" s="580" t="s">
        <v>2402</v>
      </c>
      <c r="D500" s="580" t="s">
        <v>2403</v>
      </c>
      <c r="E500" s="580" t="s">
        <v>621</v>
      </c>
      <c r="F500" s="580">
        <v>788981305</v>
      </c>
      <c r="G500" s="580">
        <v>788981305</v>
      </c>
      <c r="H500" s="374">
        <v>5.852983</v>
      </c>
      <c r="I500" s="374">
        <v>-5.3456010000000003</v>
      </c>
      <c r="J500" s="580" t="s">
        <v>189</v>
      </c>
      <c r="K500" s="374" t="s">
        <v>198</v>
      </c>
      <c r="L500" s="374" t="s">
        <v>888</v>
      </c>
      <c r="M500" s="467" t="s">
        <v>2558</v>
      </c>
      <c r="N500" s="467">
        <v>2150027303</v>
      </c>
      <c r="O500" s="581">
        <v>45854</v>
      </c>
      <c r="P500" s="377">
        <f t="shared" ca="1" si="16"/>
        <v>214</v>
      </c>
      <c r="Q500" s="581">
        <v>45855</v>
      </c>
      <c r="R500" s="380" t="s">
        <v>30</v>
      </c>
      <c r="S500" s="544"/>
      <c r="T500" s="544">
        <v>5</v>
      </c>
      <c r="U500" s="579">
        <v>45866</v>
      </c>
      <c r="V500" s="582" t="s">
        <v>310</v>
      </c>
      <c r="W500" s="544">
        <v>500</v>
      </c>
      <c r="X500" s="547" t="s">
        <v>32</v>
      </c>
      <c r="Y500" s="374" t="s">
        <v>696</v>
      </c>
      <c r="Z500" s="438"/>
      <c r="AA500" s="523" t="s">
        <v>532</v>
      </c>
      <c r="AB500" s="523" t="s">
        <v>16</v>
      </c>
      <c r="AC500" s="438" t="s">
        <v>2540</v>
      </c>
    </row>
    <row r="501" spans="1:29" s="639" customFormat="1" ht="15" hidden="1" customHeight="1">
      <c r="A501" s="468" t="s">
        <v>25</v>
      </c>
      <c r="B501" s="372" t="s">
        <v>25</v>
      </c>
      <c r="C501" s="468" t="s">
        <v>2520</v>
      </c>
      <c r="D501" s="468" t="s">
        <v>2521</v>
      </c>
      <c r="E501" s="468" t="s">
        <v>2522</v>
      </c>
      <c r="F501" s="468">
        <v>707754185</v>
      </c>
      <c r="G501" s="468">
        <v>151533313</v>
      </c>
      <c r="H501" s="374">
        <v>5.838069</v>
      </c>
      <c r="I501" s="374">
        <v>-5.3684430000000001</v>
      </c>
      <c r="J501" s="468" t="s">
        <v>36</v>
      </c>
      <c r="K501" s="374" t="s">
        <v>198</v>
      </c>
      <c r="L501" s="374" t="s">
        <v>1567</v>
      </c>
      <c r="M501" s="467" t="s">
        <v>2554</v>
      </c>
      <c r="N501" s="467">
        <v>2150027301</v>
      </c>
      <c r="O501" s="469">
        <v>45861</v>
      </c>
      <c r="P501" s="377">
        <f t="shared" ca="1" si="16"/>
        <v>207</v>
      </c>
      <c r="Q501" s="469">
        <v>45862</v>
      </c>
      <c r="R501" s="374" t="s">
        <v>30</v>
      </c>
      <c r="S501" s="374"/>
      <c r="T501" s="374">
        <v>0</v>
      </c>
      <c r="U501" s="579">
        <v>45866</v>
      </c>
      <c r="V501" s="374" t="s">
        <v>310</v>
      </c>
      <c r="W501" s="374">
        <v>500</v>
      </c>
      <c r="X501" s="379" t="s">
        <v>32</v>
      </c>
      <c r="Y501" s="374" t="s">
        <v>1521</v>
      </c>
      <c r="Z501" s="390"/>
      <c r="AA501" s="390" t="s">
        <v>532</v>
      </c>
      <c r="AB501" s="389" t="s">
        <v>16</v>
      </c>
      <c r="AC501" s="464" t="s">
        <v>2552</v>
      </c>
    </row>
    <row r="502" spans="1:29" s="639" customFormat="1" ht="15" hidden="1" customHeight="1">
      <c r="A502" s="444" t="s">
        <v>25</v>
      </c>
      <c r="B502" s="436" t="s">
        <v>25</v>
      </c>
      <c r="C502" s="444" t="s">
        <v>2431</v>
      </c>
      <c r="D502" s="444" t="s">
        <v>2432</v>
      </c>
      <c r="E502" s="444" t="s">
        <v>2433</v>
      </c>
      <c r="F502" s="444">
        <v>503679134</v>
      </c>
      <c r="G502" s="444">
        <v>503679134</v>
      </c>
      <c r="H502" s="438">
        <v>5.84903</v>
      </c>
      <c r="I502" s="438">
        <v>-5.3517000000000001</v>
      </c>
      <c r="J502" s="444" t="s">
        <v>189</v>
      </c>
      <c r="K502" s="438" t="s">
        <v>203</v>
      </c>
      <c r="L502" s="438" t="s">
        <v>638</v>
      </c>
      <c r="M502" s="438" t="s">
        <v>2559</v>
      </c>
      <c r="N502" s="438">
        <v>2150027302</v>
      </c>
      <c r="O502" s="446">
        <v>45855</v>
      </c>
      <c r="P502" s="440">
        <f t="shared" ca="1" si="16"/>
        <v>213</v>
      </c>
      <c r="Q502" s="446">
        <v>45856</v>
      </c>
      <c r="R502" s="443" t="s">
        <v>30</v>
      </c>
      <c r="S502" s="523"/>
      <c r="T502" s="523">
        <v>4</v>
      </c>
      <c r="U502" s="583">
        <v>45867</v>
      </c>
      <c r="V502" s="526" t="s">
        <v>310</v>
      </c>
      <c r="W502" s="523">
        <v>500</v>
      </c>
      <c r="X502" s="522" t="s">
        <v>32</v>
      </c>
      <c r="Y502" s="438" t="s">
        <v>343</v>
      </c>
      <c r="Z502" s="390"/>
      <c r="AA502" s="390" t="s">
        <v>532</v>
      </c>
      <c r="AB502" s="390" t="s">
        <v>16</v>
      </c>
      <c r="AC502" s="390" t="s">
        <v>2551</v>
      </c>
    </row>
    <row r="503" spans="1:29" s="639" customFormat="1" ht="13.8" hidden="1" customHeight="1">
      <c r="A503" s="444" t="s">
        <v>25</v>
      </c>
      <c r="B503" s="436" t="s">
        <v>25</v>
      </c>
      <c r="C503" s="444" t="s">
        <v>2492</v>
      </c>
      <c r="D503" s="444" t="s">
        <v>2493</v>
      </c>
      <c r="E503" s="444" t="s">
        <v>2494</v>
      </c>
      <c r="F503" s="444">
        <v>757588450</v>
      </c>
      <c r="G503" s="444">
        <v>544873137</v>
      </c>
      <c r="H503" s="438">
        <v>5.8500100000000002</v>
      </c>
      <c r="I503" s="438">
        <v>-5.3449530000000003</v>
      </c>
      <c r="J503" s="444" t="s">
        <v>189</v>
      </c>
      <c r="K503" s="438" t="s">
        <v>198</v>
      </c>
      <c r="L503" s="438" t="s">
        <v>412</v>
      </c>
      <c r="M503" s="445" t="s">
        <v>2556</v>
      </c>
      <c r="N503" s="445">
        <v>2150027299</v>
      </c>
      <c r="O503" s="446">
        <v>45860</v>
      </c>
      <c r="P503" s="440">
        <f t="shared" ca="1" si="16"/>
        <v>208</v>
      </c>
      <c r="Q503" s="446">
        <v>45861</v>
      </c>
      <c r="R503" s="443" t="s">
        <v>30</v>
      </c>
      <c r="S503" s="523"/>
      <c r="T503" s="523">
        <v>0</v>
      </c>
      <c r="U503" s="583">
        <v>45867</v>
      </c>
      <c r="V503" s="526" t="s">
        <v>310</v>
      </c>
      <c r="W503" s="523">
        <v>500</v>
      </c>
      <c r="X503" s="522" t="s">
        <v>32</v>
      </c>
      <c r="Y503" s="438" t="s">
        <v>696</v>
      </c>
      <c r="Z503" s="390"/>
      <c r="AA503" s="390" t="s">
        <v>532</v>
      </c>
      <c r="AB503" s="540" t="s">
        <v>16</v>
      </c>
      <c r="AC503" s="390" t="s">
        <v>2257</v>
      </c>
    </row>
    <row r="504" spans="1:29" s="639" customFormat="1" ht="15" hidden="1" customHeight="1">
      <c r="A504" s="444" t="s">
        <v>25</v>
      </c>
      <c r="B504" s="436" t="s">
        <v>25</v>
      </c>
      <c r="C504" s="444" t="s">
        <v>2517</v>
      </c>
      <c r="D504" s="444" t="s">
        <v>2518</v>
      </c>
      <c r="E504" s="444" t="s">
        <v>2519</v>
      </c>
      <c r="F504" s="444">
        <v>576771677</v>
      </c>
      <c r="G504" s="444">
        <v>175732141</v>
      </c>
      <c r="H504" s="438">
        <v>5.8418749999999999</v>
      </c>
      <c r="I504" s="438">
        <v>-5.3536489999999999</v>
      </c>
      <c r="J504" s="444" t="s">
        <v>189</v>
      </c>
      <c r="K504" s="438" t="s">
        <v>203</v>
      </c>
      <c r="L504" s="438" t="s">
        <v>281</v>
      </c>
      <c r="M504" s="445" t="s">
        <v>2555</v>
      </c>
      <c r="N504" s="445">
        <v>2150027300</v>
      </c>
      <c r="O504" s="446">
        <v>45855</v>
      </c>
      <c r="P504" s="440">
        <f t="shared" ca="1" si="16"/>
        <v>207</v>
      </c>
      <c r="Q504" s="446">
        <v>45862</v>
      </c>
      <c r="R504" s="438" t="s">
        <v>30</v>
      </c>
      <c r="S504" s="438"/>
      <c r="T504" s="438">
        <v>0</v>
      </c>
      <c r="U504" s="583">
        <v>45867</v>
      </c>
      <c r="V504" s="438" t="s">
        <v>310</v>
      </c>
      <c r="W504" s="438">
        <v>100</v>
      </c>
      <c r="X504" s="442" t="s">
        <v>32</v>
      </c>
      <c r="Y504" s="438" t="s">
        <v>343</v>
      </c>
      <c r="Z504" s="390"/>
      <c r="AA504" s="390" t="s">
        <v>532</v>
      </c>
      <c r="AB504" s="540" t="s">
        <v>16</v>
      </c>
      <c r="AC504" s="390" t="s">
        <v>2388</v>
      </c>
    </row>
    <row r="505" spans="1:29" s="639" customFormat="1" ht="15" hidden="1" customHeight="1">
      <c r="A505" s="388" t="s">
        <v>25</v>
      </c>
      <c r="B505" s="388" t="s">
        <v>25</v>
      </c>
      <c r="C505" s="461" t="s">
        <v>2096</v>
      </c>
      <c r="D505" s="461" t="s">
        <v>2097</v>
      </c>
      <c r="E505" s="461" t="s">
        <v>2095</v>
      </c>
      <c r="F505" s="461">
        <v>101848420</v>
      </c>
      <c r="G505" s="461">
        <v>789000013</v>
      </c>
      <c r="H505" s="390">
        <v>5.8536159999999997</v>
      </c>
      <c r="I505" s="390">
        <v>-5.3542459999999998</v>
      </c>
      <c r="J505" s="461" t="s">
        <v>189</v>
      </c>
      <c r="K505" s="390" t="s">
        <v>198</v>
      </c>
      <c r="L505" s="390" t="s">
        <v>2550</v>
      </c>
      <c r="M505" s="462" t="s">
        <v>2571</v>
      </c>
      <c r="N505" s="462">
        <v>2150027319</v>
      </c>
      <c r="O505" s="484">
        <v>45804</v>
      </c>
      <c r="P505" s="398">
        <f t="shared" ca="1" si="16"/>
        <v>262</v>
      </c>
      <c r="Q505" s="484">
        <v>45807</v>
      </c>
      <c r="R505" s="390" t="s">
        <v>30</v>
      </c>
      <c r="S505" s="390"/>
      <c r="T505" s="390">
        <v>5</v>
      </c>
      <c r="U505" s="584">
        <v>45868</v>
      </c>
      <c r="V505" s="390" t="s">
        <v>310</v>
      </c>
      <c r="W505" s="390">
        <v>300</v>
      </c>
      <c r="X505" s="395" t="s">
        <v>32</v>
      </c>
      <c r="Y505" s="390" t="s">
        <v>697</v>
      </c>
      <c r="Z505" s="390"/>
      <c r="AA505" s="390" t="s">
        <v>532</v>
      </c>
      <c r="AB505" s="390" t="s">
        <v>16</v>
      </c>
      <c r="AC505" s="390" t="s">
        <v>2548</v>
      </c>
    </row>
    <row r="506" spans="1:29" s="641" customFormat="1" ht="15" hidden="1" customHeight="1">
      <c r="A506" s="461" t="s">
        <v>25</v>
      </c>
      <c r="B506" s="388" t="s">
        <v>25</v>
      </c>
      <c r="C506" s="389" t="s">
        <v>2251</v>
      </c>
      <c r="D506" s="389" t="s">
        <v>2252</v>
      </c>
      <c r="E506" s="389" t="s">
        <v>289</v>
      </c>
      <c r="F506" s="389">
        <v>103966621</v>
      </c>
      <c r="G506" s="389">
        <v>103966621</v>
      </c>
      <c r="H506" s="390">
        <v>5.8361999999999998</v>
      </c>
      <c r="I506" s="390">
        <v>-5.3532700000000002</v>
      </c>
      <c r="J506" s="389" t="s">
        <v>189</v>
      </c>
      <c r="K506" s="390" t="s">
        <v>190</v>
      </c>
      <c r="L506" s="390" t="s">
        <v>2256</v>
      </c>
      <c r="M506" s="392" t="s">
        <v>2508</v>
      </c>
      <c r="N506" s="392">
        <v>2150027289</v>
      </c>
      <c r="O506" s="393">
        <v>45825</v>
      </c>
      <c r="P506" s="398">
        <f t="shared" ca="1" si="16"/>
        <v>243</v>
      </c>
      <c r="Q506" s="393">
        <v>45826</v>
      </c>
      <c r="R506" s="540" t="s">
        <v>30</v>
      </c>
      <c r="S506" s="540"/>
      <c r="T506" s="540">
        <v>1</v>
      </c>
      <c r="U506" s="584">
        <v>45868</v>
      </c>
      <c r="V506" s="461" t="s">
        <v>310</v>
      </c>
      <c r="W506" s="540">
        <v>150</v>
      </c>
      <c r="X506" s="461" t="s">
        <v>32</v>
      </c>
      <c r="Y506" s="390" t="s">
        <v>696</v>
      </c>
      <c r="Z506" s="531"/>
      <c r="AA506" s="587" t="s">
        <v>532</v>
      </c>
      <c r="AB506" s="587" t="s">
        <v>16</v>
      </c>
      <c r="AC506" s="585"/>
    </row>
    <row r="507" spans="1:29" s="641" customFormat="1" ht="15" hidden="1" customHeight="1">
      <c r="A507" s="461" t="s">
        <v>25</v>
      </c>
      <c r="B507" s="388" t="s">
        <v>25</v>
      </c>
      <c r="C507" s="550" t="s">
        <v>2378</v>
      </c>
      <c r="D507" s="550" t="s">
        <v>2379</v>
      </c>
      <c r="E507" s="550" t="s">
        <v>289</v>
      </c>
      <c r="F507" s="550">
        <v>759489169</v>
      </c>
      <c r="G507" s="550">
        <v>759489169</v>
      </c>
      <c r="H507" s="390">
        <v>5.837472</v>
      </c>
      <c r="I507" s="390">
        <v>-5.3544919999999996</v>
      </c>
      <c r="J507" s="550" t="s">
        <v>189</v>
      </c>
      <c r="K507" s="390" t="s">
        <v>190</v>
      </c>
      <c r="L507" s="390" t="s">
        <v>1353</v>
      </c>
      <c r="M507" s="462" t="s">
        <v>2557</v>
      </c>
      <c r="N507" s="462">
        <v>2150027304</v>
      </c>
      <c r="O507" s="551">
        <v>45848</v>
      </c>
      <c r="P507" s="398">
        <f t="shared" ca="1" si="16"/>
        <v>220</v>
      </c>
      <c r="Q507" s="551">
        <v>45849</v>
      </c>
      <c r="R507" s="389" t="s">
        <v>30</v>
      </c>
      <c r="S507" s="540"/>
      <c r="T507" s="540">
        <v>0</v>
      </c>
      <c r="U507" s="584">
        <v>45868</v>
      </c>
      <c r="V507" s="542" t="s">
        <v>310</v>
      </c>
      <c r="W507" s="540">
        <v>500</v>
      </c>
      <c r="X507" s="541" t="s">
        <v>32</v>
      </c>
      <c r="Y507" s="390" t="s">
        <v>343</v>
      </c>
      <c r="Z507" s="531"/>
      <c r="AA507" s="587" t="s">
        <v>532</v>
      </c>
      <c r="AB507" s="531" t="s">
        <v>16</v>
      </c>
      <c r="AC507" s="531" t="s">
        <v>2576</v>
      </c>
    </row>
    <row r="508" spans="1:29" s="641" customFormat="1" ht="15" hidden="1" customHeight="1">
      <c r="A508" s="461" t="s">
        <v>25</v>
      </c>
      <c r="B508" s="461" t="s">
        <v>25</v>
      </c>
      <c r="C508" s="461" t="s">
        <v>2542</v>
      </c>
      <c r="D508" s="461" t="s">
        <v>2543</v>
      </c>
      <c r="E508" s="461" t="s">
        <v>2544</v>
      </c>
      <c r="F508" s="461">
        <v>749300774</v>
      </c>
      <c r="G508" s="461">
        <v>749300774</v>
      </c>
      <c r="H508" s="390">
        <v>5.8537869999999996</v>
      </c>
      <c r="I508" s="390">
        <v>-5.3550219999999999</v>
      </c>
      <c r="J508" s="461" t="s">
        <v>189</v>
      </c>
      <c r="K508" s="390" t="s">
        <v>198</v>
      </c>
      <c r="L508" s="390" t="s">
        <v>1307</v>
      </c>
      <c r="M508" s="390" t="s">
        <v>2561</v>
      </c>
      <c r="N508" s="390">
        <v>2150027321</v>
      </c>
      <c r="O508" s="484">
        <v>45863</v>
      </c>
      <c r="P508" s="398">
        <f t="shared" ca="1" si="16"/>
        <v>205</v>
      </c>
      <c r="Q508" s="463">
        <v>45864</v>
      </c>
      <c r="R508" s="390" t="s">
        <v>30</v>
      </c>
      <c r="S508" s="390"/>
      <c r="T508" s="390">
        <v>3</v>
      </c>
      <c r="U508" s="584">
        <v>45868</v>
      </c>
      <c r="V508" s="390" t="s">
        <v>310</v>
      </c>
      <c r="W508" s="390">
        <v>450</v>
      </c>
      <c r="X508" s="395" t="s">
        <v>32</v>
      </c>
      <c r="Y508" s="390" t="s">
        <v>343</v>
      </c>
      <c r="Z508" s="531"/>
      <c r="AA508" s="587" t="s">
        <v>532</v>
      </c>
      <c r="AB508" s="531" t="s">
        <v>16</v>
      </c>
      <c r="AC508" s="531" t="s">
        <v>2568</v>
      </c>
    </row>
    <row r="509" spans="1:29" s="641" customFormat="1" ht="15" hidden="1" customHeight="1">
      <c r="A509" s="461" t="s">
        <v>25</v>
      </c>
      <c r="B509" s="461" t="s">
        <v>25</v>
      </c>
      <c r="C509" s="465" t="s">
        <v>2532</v>
      </c>
      <c r="D509" s="465" t="s">
        <v>2533</v>
      </c>
      <c r="E509" s="465" t="s">
        <v>2534</v>
      </c>
      <c r="F509" s="465">
        <v>758799207</v>
      </c>
      <c r="G509" s="465">
        <v>172293174</v>
      </c>
      <c r="H509" s="390">
        <v>5.8528320000000003</v>
      </c>
      <c r="I509" s="390">
        <v>-5.3549439999999997</v>
      </c>
      <c r="J509" s="461" t="s">
        <v>189</v>
      </c>
      <c r="K509" s="390" t="s">
        <v>198</v>
      </c>
      <c r="L509" s="390" t="s">
        <v>2550</v>
      </c>
      <c r="M509" s="462" t="s">
        <v>2570</v>
      </c>
      <c r="N509" s="462">
        <v>2150027323</v>
      </c>
      <c r="O509" s="465" t="s">
        <v>2535</v>
      </c>
      <c r="P509" s="398">
        <f t="shared" ca="1" si="16"/>
        <v>206</v>
      </c>
      <c r="Q509" s="465" t="s">
        <v>2536</v>
      </c>
      <c r="R509" s="390" t="s">
        <v>30</v>
      </c>
      <c r="S509" s="390"/>
      <c r="T509" s="390">
        <v>2</v>
      </c>
      <c r="U509" s="584">
        <v>45868</v>
      </c>
      <c r="V509" s="390" t="s">
        <v>310</v>
      </c>
      <c r="W509" s="390">
        <v>350</v>
      </c>
      <c r="X509" s="395" t="s">
        <v>32</v>
      </c>
      <c r="Y509" s="390" t="s">
        <v>696</v>
      </c>
      <c r="Z509" s="390"/>
      <c r="AA509" s="236" t="s">
        <v>532</v>
      </c>
      <c r="AB509" s="236" t="s">
        <v>16</v>
      </c>
      <c r="AC509" s="390" t="s">
        <v>2651</v>
      </c>
    </row>
    <row r="510" spans="1:29" s="639" customFormat="1" ht="15" hidden="1" customHeight="1">
      <c r="A510" s="528" t="s">
        <v>25</v>
      </c>
      <c r="B510" s="528" t="s">
        <v>25</v>
      </c>
      <c r="C510" s="552" t="s">
        <v>2565</v>
      </c>
      <c r="D510" s="552" t="s">
        <v>2566</v>
      </c>
      <c r="E510" s="552" t="s">
        <v>2567</v>
      </c>
      <c r="F510" s="552">
        <v>757376904</v>
      </c>
      <c r="G510" s="552">
        <v>161499922</v>
      </c>
      <c r="H510" s="531">
        <v>5.8462170000000002</v>
      </c>
      <c r="I510" s="531">
        <v>-5.3530720000000001</v>
      </c>
      <c r="J510" s="528" t="s">
        <v>189</v>
      </c>
      <c r="K510" s="531" t="s">
        <v>203</v>
      </c>
      <c r="L510" s="531" t="s">
        <v>2143</v>
      </c>
      <c r="M510" s="553" t="s">
        <v>2577</v>
      </c>
      <c r="N510" s="553">
        <v>2150027305</v>
      </c>
      <c r="O510" s="554">
        <v>45866</v>
      </c>
      <c r="P510" s="533">
        <f t="shared" ca="1" si="16"/>
        <v>202</v>
      </c>
      <c r="Q510" s="554">
        <v>45867</v>
      </c>
      <c r="R510" s="531" t="s">
        <v>30</v>
      </c>
      <c r="S510" s="531"/>
      <c r="T510" s="531">
        <v>0</v>
      </c>
      <c r="U510" s="555">
        <v>45873</v>
      </c>
      <c r="V510" s="531" t="s">
        <v>310</v>
      </c>
      <c r="W510" s="531">
        <v>150</v>
      </c>
      <c r="X510" s="539" t="s">
        <v>32</v>
      </c>
      <c r="Y510" s="531" t="s">
        <v>245</v>
      </c>
      <c r="Z510" s="390"/>
      <c r="AA510" s="236" t="s">
        <v>532</v>
      </c>
      <c r="AB510" s="390" t="s">
        <v>16</v>
      </c>
      <c r="AC510" s="390" t="s">
        <v>2575</v>
      </c>
    </row>
    <row r="511" spans="1:29" s="639" customFormat="1" ht="15" hidden="1" customHeight="1">
      <c r="A511" s="528" t="s">
        <v>25</v>
      </c>
      <c r="B511" s="528" t="s">
        <v>25</v>
      </c>
      <c r="C511" s="552" t="s">
        <v>2562</v>
      </c>
      <c r="D511" s="552" t="s">
        <v>2563</v>
      </c>
      <c r="E511" s="552" t="s">
        <v>2564</v>
      </c>
      <c r="F511" s="552">
        <v>709894689</v>
      </c>
      <c r="G511" s="552">
        <v>709894689</v>
      </c>
      <c r="H511" s="531">
        <v>5.845796</v>
      </c>
      <c r="I511" s="531">
        <v>-5.3465629999999997</v>
      </c>
      <c r="J511" s="552" t="s">
        <v>189</v>
      </c>
      <c r="K511" s="531" t="s">
        <v>274</v>
      </c>
      <c r="L511" s="531" t="s">
        <v>2079</v>
      </c>
      <c r="M511" s="553" t="s">
        <v>2569</v>
      </c>
      <c r="N511" s="553">
        <v>2150027324</v>
      </c>
      <c r="O511" s="554">
        <v>45866</v>
      </c>
      <c r="P511" s="533">
        <f t="shared" ca="1" si="16"/>
        <v>202</v>
      </c>
      <c r="Q511" s="554">
        <v>45867</v>
      </c>
      <c r="R511" s="531" t="s">
        <v>30</v>
      </c>
      <c r="S511" s="531"/>
      <c r="T511" s="531">
        <v>0</v>
      </c>
      <c r="U511" s="555">
        <v>45873</v>
      </c>
      <c r="V511" s="531" t="s">
        <v>310</v>
      </c>
      <c r="W511" s="531">
        <v>50</v>
      </c>
      <c r="X511" s="539" t="s">
        <v>32</v>
      </c>
      <c r="Y511" s="531" t="s">
        <v>697</v>
      </c>
      <c r="Z511" s="390"/>
      <c r="AA511" s="236" t="s">
        <v>532</v>
      </c>
      <c r="AB511" s="540" t="s">
        <v>16</v>
      </c>
      <c r="AC511" s="390" t="s">
        <v>2537</v>
      </c>
    </row>
    <row r="512" spans="1:29" s="644" customFormat="1" ht="15" hidden="1" customHeight="1">
      <c r="A512" s="491" t="s">
        <v>25</v>
      </c>
      <c r="B512" s="491" t="s">
        <v>25</v>
      </c>
      <c r="C512" s="491" t="s">
        <v>2639</v>
      </c>
      <c r="D512" s="491" t="s">
        <v>2640</v>
      </c>
      <c r="E512" s="585"/>
      <c r="F512" s="585"/>
      <c r="G512" s="585"/>
      <c r="H512" s="585">
        <v>5.8495629999999998</v>
      </c>
      <c r="I512" s="585">
        <v>-5.3467630000000002</v>
      </c>
      <c r="J512" s="491" t="s">
        <v>189</v>
      </c>
      <c r="K512" s="491" t="s">
        <v>198</v>
      </c>
      <c r="L512" s="491" t="s">
        <v>412</v>
      </c>
      <c r="M512" s="491" t="s">
        <v>2611</v>
      </c>
      <c r="N512" s="491">
        <v>2150027308</v>
      </c>
      <c r="O512" s="585"/>
      <c r="P512" s="586"/>
      <c r="Q512" s="585"/>
      <c r="R512" s="491" t="s">
        <v>2641</v>
      </c>
      <c r="S512" s="585"/>
      <c r="T512" s="585"/>
      <c r="U512" s="926">
        <v>45873</v>
      </c>
      <c r="V512" s="587" t="s">
        <v>310</v>
      </c>
      <c r="W512" s="587">
        <v>100</v>
      </c>
      <c r="X512" s="587" t="s">
        <v>32</v>
      </c>
      <c r="Y512" s="531" t="s">
        <v>578</v>
      </c>
      <c r="Z512" s="419"/>
      <c r="AA512" s="419" t="s">
        <v>532</v>
      </c>
      <c r="AB512" s="419" t="s">
        <v>16</v>
      </c>
      <c r="AC512" s="419" t="s">
        <v>2596</v>
      </c>
    </row>
    <row r="513" spans="1:29" s="644" customFormat="1" ht="15" hidden="1" customHeight="1">
      <c r="A513" s="461" t="s">
        <v>25</v>
      </c>
      <c r="B513" s="461" t="s">
        <v>25</v>
      </c>
      <c r="C513" s="461" t="s">
        <v>2514</v>
      </c>
      <c r="D513" s="461" t="s">
        <v>2515</v>
      </c>
      <c r="E513" s="461" t="s">
        <v>2516</v>
      </c>
      <c r="F513" s="461">
        <v>102983845</v>
      </c>
      <c r="G513" s="461">
        <v>709252639</v>
      </c>
      <c r="H513" s="390">
        <v>5.8504560000000003</v>
      </c>
      <c r="I513" s="390">
        <v>-5.3575489999999997</v>
      </c>
      <c r="J513" s="461" t="s">
        <v>189</v>
      </c>
      <c r="K513" s="390" t="s">
        <v>198</v>
      </c>
      <c r="L513" s="390" t="s">
        <v>2218</v>
      </c>
      <c r="M513" s="390" t="s">
        <v>2560</v>
      </c>
      <c r="N513" s="390">
        <v>2150027322</v>
      </c>
      <c r="O513" s="484">
        <v>45862</v>
      </c>
      <c r="P513" s="398">
        <f t="shared" ref="P513:P548" ca="1" si="17">TODAY()-Q513</f>
        <v>207</v>
      </c>
      <c r="Q513" s="484">
        <v>45862</v>
      </c>
      <c r="R513" s="390" t="s">
        <v>30</v>
      </c>
      <c r="S513" s="390"/>
      <c r="T513" s="390">
        <v>3</v>
      </c>
      <c r="U513" s="394">
        <v>45874</v>
      </c>
      <c r="V513" s="390" t="s">
        <v>310</v>
      </c>
      <c r="W513" s="390">
        <v>450</v>
      </c>
      <c r="X513" s="395" t="s">
        <v>32</v>
      </c>
      <c r="Y513" s="390" t="s">
        <v>697</v>
      </c>
      <c r="Z513" s="419"/>
      <c r="AA513" s="419" t="s">
        <v>532</v>
      </c>
      <c r="AB513" s="419" t="s">
        <v>16</v>
      </c>
      <c r="AC513" s="591" t="s">
        <v>2594</v>
      </c>
    </row>
    <row r="514" spans="1:29" s="644" customFormat="1" ht="15" hidden="1" customHeight="1" thickBot="1">
      <c r="A514" s="461" t="s">
        <v>25</v>
      </c>
      <c r="B514" s="461" t="s">
        <v>25</v>
      </c>
      <c r="C514" s="589" t="s">
        <v>2572</v>
      </c>
      <c r="D514" s="589" t="s">
        <v>2573</v>
      </c>
      <c r="E514" s="589" t="s">
        <v>2574</v>
      </c>
      <c r="F514" s="589">
        <v>747229789</v>
      </c>
      <c r="G514" s="589">
        <v>707558943</v>
      </c>
      <c r="H514" s="390">
        <v>5.8496790000000001</v>
      </c>
      <c r="I514" s="390">
        <v>-5.3572009999999999</v>
      </c>
      <c r="J514" s="461" t="s">
        <v>189</v>
      </c>
      <c r="K514" s="390" t="s">
        <v>198</v>
      </c>
      <c r="L514" s="390" t="s">
        <v>2218</v>
      </c>
      <c r="M514" s="392" t="s">
        <v>2578</v>
      </c>
      <c r="N514" s="392">
        <v>2150027315</v>
      </c>
      <c r="O514" s="590">
        <v>45866</v>
      </c>
      <c r="P514" s="398">
        <f t="shared" ca="1" si="17"/>
        <v>201</v>
      </c>
      <c r="Q514" s="590">
        <v>45868</v>
      </c>
      <c r="R514" s="390" t="s">
        <v>30</v>
      </c>
      <c r="S514" s="390"/>
      <c r="T514" s="390">
        <v>1</v>
      </c>
      <c r="U514" s="394">
        <v>45874</v>
      </c>
      <c r="V514" s="390" t="s">
        <v>310</v>
      </c>
      <c r="W514" s="390">
        <v>150</v>
      </c>
      <c r="X514" s="395" t="s">
        <v>32</v>
      </c>
      <c r="Y514" s="390" t="s">
        <v>245</v>
      </c>
      <c r="Z514" s="419"/>
      <c r="AA514" s="419" t="s">
        <v>532</v>
      </c>
      <c r="AB514" s="419" t="s">
        <v>16</v>
      </c>
      <c r="AC514" s="419" t="s">
        <v>2595</v>
      </c>
    </row>
    <row r="515" spans="1:29" s="648" customFormat="1" ht="15" hidden="1" customHeight="1" thickBot="1">
      <c r="A515" s="461" t="s">
        <v>25</v>
      </c>
      <c r="B515" s="461" t="s">
        <v>25</v>
      </c>
      <c r="C515" s="589" t="s">
        <v>2621</v>
      </c>
      <c r="D515" s="588" t="s">
        <v>2622</v>
      </c>
      <c r="E515" s="589" t="s">
        <v>2623</v>
      </c>
      <c r="F515" s="589">
        <v>142964640</v>
      </c>
      <c r="G515" s="589">
        <v>142964640</v>
      </c>
      <c r="H515" s="390">
        <v>5.8534030000000001</v>
      </c>
      <c r="I515" s="390">
        <v>-5.353148</v>
      </c>
      <c r="J515" s="589" t="s">
        <v>189</v>
      </c>
      <c r="K515" s="390" t="s">
        <v>198</v>
      </c>
      <c r="L515" s="390" t="s">
        <v>1210</v>
      </c>
      <c r="M515" s="757" t="s">
        <v>2652</v>
      </c>
      <c r="N515" s="757">
        <v>2150027309</v>
      </c>
      <c r="O515" s="590">
        <v>45869</v>
      </c>
      <c r="P515" s="398">
        <f t="shared" ca="1" si="17"/>
        <v>198</v>
      </c>
      <c r="Q515" s="590">
        <v>45871</v>
      </c>
      <c r="R515" s="236" t="s">
        <v>30</v>
      </c>
      <c r="S515" s="236"/>
      <c r="T515" s="236">
        <v>0</v>
      </c>
      <c r="U515" s="239">
        <v>45874</v>
      </c>
      <c r="V515" s="236" t="s">
        <v>310</v>
      </c>
      <c r="W515" s="236">
        <v>450</v>
      </c>
      <c r="X515" s="236" t="s">
        <v>32</v>
      </c>
      <c r="Y515" s="642" t="s">
        <v>245</v>
      </c>
      <c r="Z515" s="644"/>
      <c r="AA515" s="419" t="s">
        <v>532</v>
      </c>
      <c r="AB515" s="419" t="s">
        <v>16</v>
      </c>
      <c r="AC515" s="419" t="s">
        <v>2605</v>
      </c>
    </row>
    <row r="516" spans="1:29" s="644" customFormat="1" ht="15" hidden="1" customHeight="1">
      <c r="A516" s="507" t="s">
        <v>25</v>
      </c>
      <c r="B516" s="507" t="s">
        <v>25</v>
      </c>
      <c r="C516" s="507" t="s">
        <v>2545</v>
      </c>
      <c r="D516" s="507" t="s">
        <v>2059</v>
      </c>
      <c r="E516" s="507" t="s">
        <v>2546</v>
      </c>
      <c r="F516" s="507">
        <v>101131372</v>
      </c>
      <c r="G516" s="507">
        <v>707080196</v>
      </c>
      <c r="H516" s="419">
        <v>5.8424129999999996</v>
      </c>
      <c r="I516" s="419">
        <v>-5.3625309999999997</v>
      </c>
      <c r="J516" s="507" t="s">
        <v>36</v>
      </c>
      <c r="K516" s="419" t="s">
        <v>190</v>
      </c>
      <c r="L516" s="419" t="s">
        <v>480</v>
      </c>
      <c r="M516" s="421" t="s">
        <v>2580</v>
      </c>
      <c r="N516" s="421">
        <v>2150027318</v>
      </c>
      <c r="O516" s="510">
        <v>45863</v>
      </c>
      <c r="P516" s="422">
        <f t="shared" ca="1" si="17"/>
        <v>205</v>
      </c>
      <c r="Q516" s="592">
        <v>45864</v>
      </c>
      <c r="R516" s="419" t="s">
        <v>30</v>
      </c>
      <c r="S516" s="419"/>
      <c r="T516" s="419">
        <v>1</v>
      </c>
      <c r="U516" s="424">
        <v>45875</v>
      </c>
      <c r="V516" s="419" t="s">
        <v>310</v>
      </c>
      <c r="W516" s="419">
        <v>200</v>
      </c>
      <c r="X516" s="425" t="s">
        <v>32</v>
      </c>
      <c r="Y516" s="419" t="s">
        <v>343</v>
      </c>
      <c r="Z516" s="419"/>
      <c r="AA516" s="419" t="s">
        <v>532</v>
      </c>
      <c r="AB516" s="419" t="s">
        <v>16</v>
      </c>
      <c r="AC516" s="419" t="s">
        <v>2549</v>
      </c>
    </row>
    <row r="517" spans="1:29" s="639" customFormat="1" ht="15" hidden="1" customHeight="1">
      <c r="A517" s="507" t="s">
        <v>25</v>
      </c>
      <c r="B517" s="507" t="s">
        <v>25</v>
      </c>
      <c r="C517" s="572" t="s">
        <v>2591</v>
      </c>
      <c r="D517" s="572" t="s">
        <v>2592</v>
      </c>
      <c r="E517" s="572" t="s">
        <v>1553</v>
      </c>
      <c r="F517" s="572">
        <v>778463847</v>
      </c>
      <c r="G517" s="572">
        <v>584634836</v>
      </c>
      <c r="H517" s="419">
        <v>5.8444219999999998</v>
      </c>
      <c r="I517" s="419">
        <v>-5.34253</v>
      </c>
      <c r="J517" s="572" t="s">
        <v>189</v>
      </c>
      <c r="K517" s="419" t="s">
        <v>198</v>
      </c>
      <c r="L517" s="419" t="s">
        <v>2411</v>
      </c>
      <c r="M517" s="421" t="s">
        <v>2609</v>
      </c>
      <c r="N517" s="421">
        <v>2150027307</v>
      </c>
      <c r="O517" s="573">
        <v>45867</v>
      </c>
      <c r="P517" s="422">
        <f t="shared" ca="1" si="17"/>
        <v>200</v>
      </c>
      <c r="Q517" s="573">
        <v>45869</v>
      </c>
      <c r="R517" s="419" t="s">
        <v>30</v>
      </c>
      <c r="S517" s="419"/>
      <c r="T517" s="419">
        <v>1</v>
      </c>
      <c r="U517" s="424">
        <v>45875</v>
      </c>
      <c r="V517" s="419" t="s">
        <v>310</v>
      </c>
      <c r="W517" s="419">
        <v>200</v>
      </c>
      <c r="X517" s="419" t="s">
        <v>32</v>
      </c>
      <c r="Y517" s="419" t="s">
        <v>245</v>
      </c>
      <c r="Z517" s="410"/>
      <c r="AA517" s="1" t="s">
        <v>532</v>
      </c>
      <c r="AB517" s="1" t="s">
        <v>16</v>
      </c>
      <c r="AC517" s="410" t="s">
        <v>2662</v>
      </c>
    </row>
    <row r="518" spans="1:29" s="639" customFormat="1" ht="15" hidden="1" customHeight="1">
      <c r="A518" s="507" t="s">
        <v>25</v>
      </c>
      <c r="B518" s="507" t="s">
        <v>25</v>
      </c>
      <c r="C518" s="572" t="s">
        <v>2593</v>
      </c>
      <c r="D518" s="572" t="s">
        <v>305</v>
      </c>
      <c r="E518" s="572" t="s">
        <v>289</v>
      </c>
      <c r="F518" s="572">
        <v>789824559</v>
      </c>
      <c r="G518" s="572">
        <v>702391832</v>
      </c>
      <c r="H518" s="419">
        <v>5.8325979999999999</v>
      </c>
      <c r="I518" s="419">
        <v>-5.3563590000000003</v>
      </c>
      <c r="J518" s="572" t="s">
        <v>36</v>
      </c>
      <c r="K518" s="419" t="s">
        <v>274</v>
      </c>
      <c r="L518" s="419" t="s">
        <v>1667</v>
      </c>
      <c r="M518" s="1145" t="s">
        <v>2607</v>
      </c>
      <c r="N518" s="1145">
        <v>2150027306</v>
      </c>
      <c r="O518" s="573">
        <v>45867</v>
      </c>
      <c r="P518" s="422">
        <f t="shared" ca="1" si="17"/>
        <v>200</v>
      </c>
      <c r="Q518" s="573">
        <v>45869</v>
      </c>
      <c r="R518" s="419" t="s">
        <v>30</v>
      </c>
      <c r="S518" s="419"/>
      <c r="T518" s="419">
        <v>0</v>
      </c>
      <c r="U518" s="424">
        <v>45875</v>
      </c>
      <c r="V518" s="419" t="s">
        <v>310</v>
      </c>
      <c r="W518" s="419">
        <v>150</v>
      </c>
      <c r="X518" s="419" t="s">
        <v>32</v>
      </c>
      <c r="Y518" s="644" t="s">
        <v>533</v>
      </c>
      <c r="Z518" s="643"/>
      <c r="AA518" s="1" t="s">
        <v>532</v>
      </c>
      <c r="AB518" s="410" t="s">
        <v>16</v>
      </c>
      <c r="AC518" s="410" t="s">
        <v>2657</v>
      </c>
    </row>
    <row r="519" spans="1:29" s="639" customFormat="1" ht="15" hidden="1" customHeight="1">
      <c r="A519" s="507" t="s">
        <v>25</v>
      </c>
      <c r="B519" s="507" t="s">
        <v>25</v>
      </c>
      <c r="C519" s="572" t="s">
        <v>2586</v>
      </c>
      <c r="D519" s="572" t="s">
        <v>2587</v>
      </c>
      <c r="E519" s="572" t="s">
        <v>2588</v>
      </c>
      <c r="F519" s="572">
        <v>707530770</v>
      </c>
      <c r="G519" s="572">
        <v>102397405</v>
      </c>
      <c r="H519" s="419">
        <v>5.8405630000000004</v>
      </c>
      <c r="I519" s="419">
        <v>-5.36876</v>
      </c>
      <c r="J519" s="572" t="s">
        <v>36</v>
      </c>
      <c r="K519" s="419" t="s">
        <v>203</v>
      </c>
      <c r="L519" s="1130" t="s">
        <v>1228</v>
      </c>
      <c r="M519" s="421" t="s">
        <v>2608</v>
      </c>
      <c r="N519" s="421">
        <v>2150027311</v>
      </c>
      <c r="O519" s="1189">
        <v>45868</v>
      </c>
      <c r="P519" s="422">
        <f t="shared" ca="1" si="17"/>
        <v>200</v>
      </c>
      <c r="Q519" s="573">
        <v>45869</v>
      </c>
      <c r="R519" s="419" t="s">
        <v>30</v>
      </c>
      <c r="S519" s="419"/>
      <c r="T519" s="419">
        <v>2</v>
      </c>
      <c r="U519" s="424">
        <v>45875</v>
      </c>
      <c r="V519" s="419" t="s">
        <v>310</v>
      </c>
      <c r="W519" s="419">
        <v>300</v>
      </c>
      <c r="X519" s="419" t="s">
        <v>32</v>
      </c>
      <c r="Y519" s="644" t="s">
        <v>1521</v>
      </c>
      <c r="Z519" s="643"/>
      <c r="AA519" s="1" t="s">
        <v>532</v>
      </c>
      <c r="AB519" s="410" t="s">
        <v>16</v>
      </c>
      <c r="AC519" s="410" t="s">
        <v>2650</v>
      </c>
    </row>
    <row r="520" spans="1:29" s="641" customFormat="1" ht="15" hidden="1" customHeight="1">
      <c r="A520" s="507" t="s">
        <v>25</v>
      </c>
      <c r="B520" s="507" t="s">
        <v>25</v>
      </c>
      <c r="C520" s="507" t="s">
        <v>2584</v>
      </c>
      <c r="D520" s="572" t="s">
        <v>2585</v>
      </c>
      <c r="E520" s="572" t="s">
        <v>885</v>
      </c>
      <c r="F520" s="572">
        <v>140674178</v>
      </c>
      <c r="G520" s="572">
        <v>747726978</v>
      </c>
      <c r="H520" s="419">
        <v>5.8452390000000003</v>
      </c>
      <c r="I520" s="419">
        <v>-5.366174</v>
      </c>
      <c r="J520" s="572" t="s">
        <v>36</v>
      </c>
      <c r="K520" s="419" t="s">
        <v>190</v>
      </c>
      <c r="L520" s="419" t="s">
        <v>579</v>
      </c>
      <c r="M520" s="1137" t="s">
        <v>2610</v>
      </c>
      <c r="N520" s="1137">
        <v>2150027310</v>
      </c>
      <c r="O520" s="510">
        <v>45867</v>
      </c>
      <c r="P520" s="422">
        <f t="shared" ca="1" si="17"/>
        <v>200</v>
      </c>
      <c r="Q520" s="510">
        <v>45869</v>
      </c>
      <c r="R520" s="419" t="s">
        <v>30</v>
      </c>
      <c r="S520" s="419"/>
      <c r="T520" s="419">
        <v>3</v>
      </c>
      <c r="U520" s="69">
        <v>45875</v>
      </c>
      <c r="V520" s="419" t="s">
        <v>310</v>
      </c>
      <c r="W520" s="419">
        <v>250</v>
      </c>
      <c r="X520" s="419" t="s">
        <v>32</v>
      </c>
      <c r="Y520" s="644" t="s">
        <v>578</v>
      </c>
      <c r="Z520" s="643"/>
      <c r="AA520" s="1" t="s">
        <v>532</v>
      </c>
      <c r="AB520" s="410" t="s">
        <v>16</v>
      </c>
      <c r="AC520" s="410" t="s">
        <v>2653</v>
      </c>
    </row>
    <row r="521" spans="1:29" s="639" customFormat="1" ht="15" hidden="1" customHeight="1">
      <c r="A521" s="486" t="s">
        <v>25</v>
      </c>
      <c r="B521" s="486" t="s">
        <v>25</v>
      </c>
      <c r="C521" s="486" t="s">
        <v>2603</v>
      </c>
      <c r="D521" s="651" t="s">
        <v>2604</v>
      </c>
      <c r="E521" s="651" t="s">
        <v>117</v>
      </c>
      <c r="F521" s="651">
        <v>141110309</v>
      </c>
      <c r="G521" s="651">
        <v>747440501</v>
      </c>
      <c r="H521" s="410">
        <v>5.8421200000000004</v>
      </c>
      <c r="I521" s="410">
        <v>-5.3535599999999999</v>
      </c>
      <c r="J521" s="651" t="s">
        <v>189</v>
      </c>
      <c r="K521" s="410" t="s">
        <v>198</v>
      </c>
      <c r="L521" s="905" t="s">
        <v>1868</v>
      </c>
      <c r="M521" s="653" t="s">
        <v>2667</v>
      </c>
      <c r="N521" s="653">
        <v>2150031635</v>
      </c>
      <c r="O521" s="913">
        <v>45868</v>
      </c>
      <c r="P521" s="502">
        <f t="shared" ca="1" si="17"/>
        <v>199</v>
      </c>
      <c r="Q521" s="487">
        <v>45870</v>
      </c>
      <c r="R521" s="410" t="s">
        <v>30</v>
      </c>
      <c r="S521" s="410"/>
      <c r="T521" s="410">
        <v>0</v>
      </c>
      <c r="U521" s="8">
        <v>45877</v>
      </c>
      <c r="V521" s="410" t="s">
        <v>310</v>
      </c>
      <c r="W521" s="410">
        <v>100</v>
      </c>
      <c r="X521" s="410" t="s">
        <v>32</v>
      </c>
      <c r="Y521" s="643" t="s">
        <v>193</v>
      </c>
      <c r="Z521" s="642"/>
      <c r="AA521" s="236" t="s">
        <v>532</v>
      </c>
      <c r="AB521" s="236" t="s">
        <v>16</v>
      </c>
      <c r="AC521" s="390" t="s">
        <v>2658</v>
      </c>
    </row>
    <row r="522" spans="1:29" s="642" customFormat="1" ht="15" hidden="1" customHeight="1">
      <c r="A522" s="486" t="s">
        <v>25</v>
      </c>
      <c r="B522" s="486" t="s">
        <v>25</v>
      </c>
      <c r="C522" s="486" t="s">
        <v>2601</v>
      </c>
      <c r="D522" s="651" t="s">
        <v>2602</v>
      </c>
      <c r="E522" s="651" t="s">
        <v>89</v>
      </c>
      <c r="F522" s="651">
        <v>758352810</v>
      </c>
      <c r="G522" s="651">
        <v>758352810</v>
      </c>
      <c r="H522" s="410">
        <v>5.8410900000000003</v>
      </c>
      <c r="I522" s="410">
        <v>-5.3520599999999998</v>
      </c>
      <c r="J522" s="651" t="s">
        <v>189</v>
      </c>
      <c r="K522" s="410" t="s">
        <v>190</v>
      </c>
      <c r="L522" s="410" t="s">
        <v>411</v>
      </c>
      <c r="M522" s="1144" t="s">
        <v>2668</v>
      </c>
      <c r="N522" s="1144">
        <v>2150031634</v>
      </c>
      <c r="O522" s="487">
        <v>45866</v>
      </c>
      <c r="P522" s="502">
        <f t="shared" ca="1" si="17"/>
        <v>199</v>
      </c>
      <c r="Q522" s="487">
        <v>45870</v>
      </c>
      <c r="R522" s="410" t="s">
        <v>30</v>
      </c>
      <c r="S522" s="410"/>
      <c r="T522" s="410">
        <v>0</v>
      </c>
      <c r="U522" s="414">
        <v>45877</v>
      </c>
      <c r="V522" s="410" t="s">
        <v>310</v>
      </c>
      <c r="W522" s="410">
        <v>100</v>
      </c>
      <c r="X522" s="410" t="s">
        <v>32</v>
      </c>
      <c r="Y522" s="643" t="s">
        <v>343</v>
      </c>
      <c r="AA522" s="236" t="s">
        <v>532</v>
      </c>
      <c r="AB522" s="390" t="s">
        <v>16</v>
      </c>
      <c r="AC522" s="390" t="s">
        <v>2654</v>
      </c>
    </row>
    <row r="523" spans="1:29" s="642" customFormat="1" ht="15" hidden="1" customHeight="1">
      <c r="A523" s="486" t="s">
        <v>25</v>
      </c>
      <c r="B523" s="486" t="s">
        <v>25</v>
      </c>
      <c r="C523" s="486" t="s">
        <v>2615</v>
      </c>
      <c r="D523" s="651" t="s">
        <v>2616</v>
      </c>
      <c r="E523" s="651" t="s">
        <v>2617</v>
      </c>
      <c r="F523" s="651">
        <v>708159587</v>
      </c>
      <c r="G523" s="651">
        <v>708383033</v>
      </c>
      <c r="H523" s="410">
        <v>5.8400800000000004</v>
      </c>
      <c r="I523" s="410">
        <v>-5.36043</v>
      </c>
      <c r="J523" s="651" t="s">
        <v>36</v>
      </c>
      <c r="K523" s="410" t="s">
        <v>190</v>
      </c>
      <c r="L523" s="410" t="s">
        <v>1740</v>
      </c>
      <c r="M523" s="1150" t="s">
        <v>2696</v>
      </c>
      <c r="N523" s="1150">
        <v>2150031629</v>
      </c>
      <c r="O523" s="487">
        <v>45869</v>
      </c>
      <c r="P523" s="502">
        <f t="shared" ca="1" si="17"/>
        <v>198</v>
      </c>
      <c r="Q523" s="487">
        <v>45871</v>
      </c>
      <c r="R523" s="1" t="s">
        <v>30</v>
      </c>
      <c r="S523" s="1"/>
      <c r="T523" s="1">
        <v>0</v>
      </c>
      <c r="U523" s="8">
        <v>45877</v>
      </c>
      <c r="V523" s="1" t="s">
        <v>310</v>
      </c>
      <c r="W523" s="1">
        <v>200</v>
      </c>
      <c r="X523" s="1" t="s">
        <v>32</v>
      </c>
      <c r="Y523" s="643" t="s">
        <v>578</v>
      </c>
      <c r="AA523" s="236" t="s">
        <v>532</v>
      </c>
      <c r="AB523" s="390" t="s">
        <v>16</v>
      </c>
      <c r="AC523" s="390" t="s">
        <v>2655</v>
      </c>
    </row>
    <row r="524" spans="1:29" s="642" customFormat="1" ht="15" hidden="1" customHeight="1">
      <c r="A524" s="486" t="s">
        <v>25</v>
      </c>
      <c r="B524" s="486" t="s">
        <v>25</v>
      </c>
      <c r="C524" s="801" t="s">
        <v>2644</v>
      </c>
      <c r="D524" s="654" t="s">
        <v>2645</v>
      </c>
      <c r="E524" s="654" t="s">
        <v>2646</v>
      </c>
      <c r="F524" s="654">
        <v>177946428</v>
      </c>
      <c r="G524" s="654">
        <v>777911533</v>
      </c>
      <c r="H524" s="410">
        <v>5.8407299999999998</v>
      </c>
      <c r="I524" s="410">
        <v>-5.36043</v>
      </c>
      <c r="J524" s="654" t="s">
        <v>36</v>
      </c>
      <c r="K524" s="410" t="s">
        <v>190</v>
      </c>
      <c r="L524" s="905" t="s">
        <v>1740</v>
      </c>
      <c r="M524" s="653" t="s">
        <v>2670</v>
      </c>
      <c r="N524" s="653">
        <v>2150027344</v>
      </c>
      <c r="O524" s="1171">
        <v>45755</v>
      </c>
      <c r="P524" s="502">
        <f t="shared" ca="1" si="17"/>
        <v>195</v>
      </c>
      <c r="Q524" s="655">
        <v>45874</v>
      </c>
      <c r="R524" s="410" t="s">
        <v>30</v>
      </c>
      <c r="S524" s="410"/>
      <c r="T524" s="410">
        <v>0</v>
      </c>
      <c r="U524" s="414">
        <v>45877</v>
      </c>
      <c r="V524" s="410" t="s">
        <v>310</v>
      </c>
      <c r="W524" s="410">
        <v>200</v>
      </c>
      <c r="X524" s="410" t="s">
        <v>32</v>
      </c>
      <c r="Y524" s="643" t="s">
        <v>228</v>
      </c>
      <c r="AA524" s="236" t="s">
        <v>532</v>
      </c>
      <c r="AB524" s="236" t="s">
        <v>16</v>
      </c>
      <c r="AC524" s="390" t="s">
        <v>2656</v>
      </c>
    </row>
    <row r="525" spans="1:29" s="642" customFormat="1" ht="15" hidden="1" customHeight="1">
      <c r="A525" s="235" t="s">
        <v>25</v>
      </c>
      <c r="B525" s="235" t="s">
        <v>25</v>
      </c>
      <c r="C525" s="461" t="s">
        <v>2635</v>
      </c>
      <c r="D525" s="235" t="s">
        <v>2636</v>
      </c>
      <c r="E525" s="235" t="s">
        <v>2496</v>
      </c>
      <c r="F525" s="235">
        <v>709096118</v>
      </c>
      <c r="G525" s="235">
        <v>500011901</v>
      </c>
      <c r="H525" s="236">
        <v>5.8418700000000001</v>
      </c>
      <c r="I525" s="236">
        <v>-5.3506</v>
      </c>
      <c r="J525" s="235" t="s">
        <v>189</v>
      </c>
      <c r="K525" s="236" t="s">
        <v>203</v>
      </c>
      <c r="L525" s="236" t="s">
        <v>638</v>
      </c>
      <c r="M525" s="910" t="s">
        <v>2671</v>
      </c>
      <c r="N525" s="910">
        <v>2150031633</v>
      </c>
      <c r="O525" s="484">
        <v>45870</v>
      </c>
      <c r="P525" s="398">
        <f t="shared" ca="1" si="17"/>
        <v>198</v>
      </c>
      <c r="Q525" s="484">
        <v>45871</v>
      </c>
      <c r="R525" s="236" t="s">
        <v>30</v>
      </c>
      <c r="S525" s="236"/>
      <c r="T525" s="236">
        <v>1</v>
      </c>
      <c r="U525" s="238">
        <v>45878</v>
      </c>
      <c r="V525" s="236" t="s">
        <v>310</v>
      </c>
      <c r="W525" s="236">
        <v>150</v>
      </c>
      <c r="X525" s="236" t="s">
        <v>32</v>
      </c>
      <c r="Y525" s="642" t="s">
        <v>578</v>
      </c>
      <c r="Z525" s="640"/>
      <c r="AA525" s="51" t="s">
        <v>1427</v>
      </c>
      <c r="AB525" s="51" t="s">
        <v>16</v>
      </c>
      <c r="AC525" s="374" t="s">
        <v>2714</v>
      </c>
    </row>
    <row r="526" spans="1:29" s="640" customFormat="1" ht="15" hidden="1" customHeight="1">
      <c r="A526" s="461" t="s">
        <v>25</v>
      </c>
      <c r="B526" s="461" t="s">
        <v>25</v>
      </c>
      <c r="C526" s="461" t="s">
        <v>2618</v>
      </c>
      <c r="D526" s="589" t="s">
        <v>2619</v>
      </c>
      <c r="E526" s="589" t="s">
        <v>2620</v>
      </c>
      <c r="F526" s="589">
        <v>505064441</v>
      </c>
      <c r="G526" s="589">
        <v>504182751</v>
      </c>
      <c r="H526" s="390">
        <v>5.8338200000000002</v>
      </c>
      <c r="I526" s="390">
        <v>-5.3682720000000002</v>
      </c>
      <c r="J526" s="589" t="s">
        <v>36</v>
      </c>
      <c r="K526" s="390" t="s">
        <v>203</v>
      </c>
      <c r="L526" s="906" t="s">
        <v>1573</v>
      </c>
      <c r="M526" s="462" t="s">
        <v>2666</v>
      </c>
      <c r="N526" s="462">
        <v>2150031630</v>
      </c>
      <c r="O526" s="912">
        <v>45869</v>
      </c>
      <c r="P526" s="398">
        <f t="shared" ca="1" si="17"/>
        <v>198</v>
      </c>
      <c r="Q526" s="484">
        <v>45871</v>
      </c>
      <c r="R526" s="236" t="s">
        <v>30</v>
      </c>
      <c r="S526" s="236"/>
      <c r="T526" s="236">
        <v>0</v>
      </c>
      <c r="U526" s="238">
        <v>45878</v>
      </c>
      <c r="V526" s="236" t="s">
        <v>310</v>
      </c>
      <c r="W526" s="236">
        <v>100</v>
      </c>
      <c r="X526" s="236" t="s">
        <v>32</v>
      </c>
      <c r="Y526" s="642" t="s">
        <v>228</v>
      </c>
      <c r="AA526" s="51" t="s">
        <v>1427</v>
      </c>
      <c r="AB526" s="26" t="s">
        <v>16</v>
      </c>
      <c r="AC526" s="374" t="s">
        <v>2659</v>
      </c>
    </row>
    <row r="527" spans="1:29" s="640" customFormat="1" ht="15" hidden="1" customHeight="1">
      <c r="A527" s="461" t="s">
        <v>25</v>
      </c>
      <c r="B527" s="461" t="s">
        <v>25</v>
      </c>
      <c r="C527" s="541" t="s">
        <v>2642</v>
      </c>
      <c r="D527" s="652" t="s">
        <v>2643</v>
      </c>
      <c r="E527" s="652" t="s">
        <v>885</v>
      </c>
      <c r="F527" s="652">
        <v>150790793</v>
      </c>
      <c r="G527" s="652">
        <v>778072427</v>
      </c>
      <c r="H527" s="390">
        <v>5.8416699999999997</v>
      </c>
      <c r="I527" s="390">
        <v>-5.36599</v>
      </c>
      <c r="J527" s="652" t="s">
        <v>36</v>
      </c>
      <c r="K527" s="390" t="s">
        <v>190</v>
      </c>
      <c r="L527" s="390" t="s">
        <v>544</v>
      </c>
      <c r="M527" s="910" t="s">
        <v>2672</v>
      </c>
      <c r="N527" s="910">
        <v>2150031631</v>
      </c>
      <c r="O527" s="584">
        <v>45696</v>
      </c>
      <c r="P527" s="398">
        <f t="shared" ca="1" si="17"/>
        <v>195</v>
      </c>
      <c r="Q527" s="584">
        <v>45874</v>
      </c>
      <c r="R527" s="390" t="s">
        <v>30</v>
      </c>
      <c r="S527" s="390"/>
      <c r="T527" s="390">
        <v>3</v>
      </c>
      <c r="U527" s="238">
        <v>45878</v>
      </c>
      <c r="V527" s="390" t="s">
        <v>310</v>
      </c>
      <c r="W527" s="390">
        <v>300</v>
      </c>
      <c r="X527" s="390" t="s">
        <v>32</v>
      </c>
      <c r="Y527" s="642" t="s">
        <v>1521</v>
      </c>
      <c r="AA527" s="51" t="s">
        <v>1427</v>
      </c>
      <c r="AB527" s="51" t="s">
        <v>16</v>
      </c>
      <c r="AC527" s="374" t="s">
        <v>2727</v>
      </c>
    </row>
    <row r="528" spans="1:29" s="640" customFormat="1" ht="15" hidden="1" customHeight="1">
      <c r="A528" s="461" t="s">
        <v>25</v>
      </c>
      <c r="B528" s="461" t="s">
        <v>25</v>
      </c>
      <c r="C528" s="541" t="s">
        <v>2647</v>
      </c>
      <c r="D528" s="652" t="s">
        <v>2648</v>
      </c>
      <c r="E528" s="652" t="s">
        <v>2649</v>
      </c>
      <c r="F528" s="652">
        <v>759426418</v>
      </c>
      <c r="G528" s="652">
        <v>505622362</v>
      </c>
      <c r="H528" s="390">
        <v>5.84335</v>
      </c>
      <c r="I528" s="390">
        <v>-5.3623900000000004</v>
      </c>
      <c r="J528" s="652" t="s">
        <v>36</v>
      </c>
      <c r="K528" s="390" t="s">
        <v>190</v>
      </c>
      <c r="L528" s="390" t="s">
        <v>544</v>
      </c>
      <c r="M528" s="656" t="s">
        <v>2663</v>
      </c>
      <c r="N528" s="656">
        <v>2150031626</v>
      </c>
      <c r="O528" s="541" t="s">
        <v>2535</v>
      </c>
      <c r="P528" s="398">
        <f t="shared" ca="1" si="17"/>
        <v>195</v>
      </c>
      <c r="Q528" s="584">
        <v>45874</v>
      </c>
      <c r="R528" s="390" t="s">
        <v>30</v>
      </c>
      <c r="S528" s="390"/>
      <c r="T528" s="390">
        <v>0</v>
      </c>
      <c r="U528" s="238">
        <v>45878</v>
      </c>
      <c r="V528" s="390" t="s">
        <v>310</v>
      </c>
      <c r="W528" s="390">
        <v>200</v>
      </c>
      <c r="X528" s="390" t="s">
        <v>32</v>
      </c>
      <c r="Y528" s="642" t="s">
        <v>343</v>
      </c>
      <c r="AA528" s="51" t="s">
        <v>1427</v>
      </c>
      <c r="AB528" s="51" t="s">
        <v>16</v>
      </c>
      <c r="AC528" s="374" t="s">
        <v>2715</v>
      </c>
    </row>
    <row r="529" spans="1:29" s="640" customFormat="1" ht="15" hidden="1" customHeight="1">
      <c r="A529" s="25" t="s">
        <v>25</v>
      </c>
      <c r="B529" s="25" t="s">
        <v>25</v>
      </c>
      <c r="C529" s="545" t="s">
        <v>2637</v>
      </c>
      <c r="D529" s="213" t="s">
        <v>2638</v>
      </c>
      <c r="E529" s="213" t="s">
        <v>2393</v>
      </c>
      <c r="F529" s="213">
        <v>757499009</v>
      </c>
      <c r="G529" s="213">
        <v>757499009</v>
      </c>
      <c r="H529" s="26">
        <v>5.8338200000000002</v>
      </c>
      <c r="I529" s="26">
        <v>-5.3627200000000004</v>
      </c>
      <c r="J529" s="213" t="s">
        <v>36</v>
      </c>
      <c r="K529" s="26" t="s">
        <v>198</v>
      </c>
      <c r="L529" s="904" t="s">
        <v>952</v>
      </c>
      <c r="M529" s="543" t="s">
        <v>2664</v>
      </c>
      <c r="N529" s="543">
        <v>2150031628</v>
      </c>
      <c r="O529" s="1181">
        <v>45696</v>
      </c>
      <c r="P529" s="377">
        <f t="shared" ca="1" si="17"/>
        <v>345</v>
      </c>
      <c r="Q529" s="546">
        <v>45724</v>
      </c>
      <c r="R529" s="26" t="s">
        <v>30</v>
      </c>
      <c r="S529" s="26"/>
      <c r="T529" s="26">
        <v>0</v>
      </c>
      <c r="U529" s="43">
        <v>45880</v>
      </c>
      <c r="V529" s="26" t="s">
        <v>310</v>
      </c>
      <c r="W529" s="26">
        <v>250</v>
      </c>
      <c r="X529" s="26" t="s">
        <v>32</v>
      </c>
      <c r="Y529" s="640" t="s">
        <v>228</v>
      </c>
      <c r="AA529" s="26" t="s">
        <v>1427</v>
      </c>
      <c r="AB529" s="26" t="s">
        <v>16</v>
      </c>
      <c r="AC529" s="374" t="s">
        <v>2661</v>
      </c>
    </row>
    <row r="530" spans="1:29" s="640" customFormat="1" ht="15" hidden="1" customHeight="1">
      <c r="A530" s="25" t="s">
        <v>25</v>
      </c>
      <c r="B530" s="25" t="s">
        <v>25</v>
      </c>
      <c r="C530" s="468" t="s">
        <v>2633</v>
      </c>
      <c r="D530" s="25" t="s">
        <v>2634</v>
      </c>
      <c r="E530" s="25" t="s">
        <v>289</v>
      </c>
      <c r="F530" s="25">
        <v>505201856</v>
      </c>
      <c r="G530" s="25">
        <v>596926290</v>
      </c>
      <c r="H530" s="26">
        <v>5.8353799999999998</v>
      </c>
      <c r="I530" s="26">
        <v>-5.3527500000000003</v>
      </c>
      <c r="J530" s="25" t="s">
        <v>189</v>
      </c>
      <c r="K530" s="26" t="s">
        <v>190</v>
      </c>
      <c r="L530" s="26" t="s">
        <v>2256</v>
      </c>
      <c r="M530" s="907" t="s">
        <v>2673</v>
      </c>
      <c r="N530" s="907">
        <v>2150027343</v>
      </c>
      <c r="O530" s="469">
        <v>45870</v>
      </c>
      <c r="P530" s="377">
        <f t="shared" ca="1" si="17"/>
        <v>198</v>
      </c>
      <c r="Q530" s="469">
        <v>45871</v>
      </c>
      <c r="R530" s="26" t="s">
        <v>30</v>
      </c>
      <c r="S530" s="26"/>
      <c r="T530" s="26">
        <v>1</v>
      </c>
      <c r="U530" s="43">
        <v>45880</v>
      </c>
      <c r="V530" s="26" t="s">
        <v>310</v>
      </c>
      <c r="W530" s="26">
        <v>200</v>
      </c>
      <c r="X530" s="26" t="s">
        <v>32</v>
      </c>
      <c r="Y530" s="640" t="s">
        <v>228</v>
      </c>
      <c r="Z530" s="642"/>
      <c r="AA530" s="390" t="s">
        <v>532</v>
      </c>
      <c r="AB530" s="390" t="s">
        <v>16</v>
      </c>
      <c r="AC530" s="390" t="s">
        <v>2606</v>
      </c>
    </row>
    <row r="531" spans="1:29" s="639" customFormat="1" ht="15" hidden="1" customHeight="1">
      <c r="A531" s="25" t="s">
        <v>25</v>
      </c>
      <c r="B531" s="25" t="s">
        <v>25</v>
      </c>
      <c r="C531" s="657" t="s">
        <v>2697</v>
      </c>
      <c r="D531" s="657" t="s">
        <v>2698</v>
      </c>
      <c r="E531" s="657" t="s">
        <v>2699</v>
      </c>
      <c r="F531" s="657">
        <v>101081146</v>
      </c>
      <c r="G531" s="657">
        <v>709557978</v>
      </c>
      <c r="H531" s="374">
        <v>5.8441700000000001</v>
      </c>
      <c r="I531" s="374">
        <v>-5.3447300000000002</v>
      </c>
      <c r="J531" s="657" t="s">
        <v>189</v>
      </c>
      <c r="K531" s="374" t="s">
        <v>274</v>
      </c>
      <c r="L531" s="374" t="s">
        <v>261</v>
      </c>
      <c r="M531" s="543" t="s">
        <v>2717</v>
      </c>
      <c r="N531" s="543">
        <v>2150031517</v>
      </c>
      <c r="O531" s="469">
        <v>45877</v>
      </c>
      <c r="P531" s="377">
        <f t="shared" ca="1" si="17"/>
        <v>191</v>
      </c>
      <c r="Q531" s="469">
        <v>45878</v>
      </c>
      <c r="R531" s="91" t="s">
        <v>30</v>
      </c>
      <c r="S531" s="51"/>
      <c r="T531" s="51">
        <v>6</v>
      </c>
      <c r="U531" s="43">
        <v>45880</v>
      </c>
      <c r="V531" s="46" t="s">
        <v>310</v>
      </c>
      <c r="W531" s="51">
        <v>500</v>
      </c>
      <c r="X531" s="658" t="s">
        <v>32</v>
      </c>
      <c r="Y531" s="640" t="s">
        <v>1521</v>
      </c>
      <c r="Z531" s="642"/>
      <c r="AA531" s="390" t="s">
        <v>532</v>
      </c>
      <c r="AB531" s="665" t="s">
        <v>16</v>
      </c>
      <c r="AC531" s="390" t="s">
        <v>2713</v>
      </c>
    </row>
    <row r="532" spans="1:29" s="639" customFormat="1" ht="15" hidden="1" customHeight="1">
      <c r="A532" s="25" t="s">
        <v>25</v>
      </c>
      <c r="B532" s="25" t="s">
        <v>25</v>
      </c>
      <c r="C532" s="657" t="s">
        <v>2702</v>
      </c>
      <c r="D532" s="657" t="s">
        <v>2703</v>
      </c>
      <c r="E532" s="657" t="s">
        <v>289</v>
      </c>
      <c r="F532" s="657">
        <v>103952194</v>
      </c>
      <c r="G532" s="657">
        <v>747722203</v>
      </c>
      <c r="H532" s="374">
        <v>5.8342499999999999</v>
      </c>
      <c r="I532" s="374">
        <v>-5.3522499999999997</v>
      </c>
      <c r="J532" s="657" t="s">
        <v>189</v>
      </c>
      <c r="K532" s="374" t="s">
        <v>190</v>
      </c>
      <c r="L532" s="374" t="s">
        <v>1353</v>
      </c>
      <c r="M532" s="467" t="s">
        <v>2729</v>
      </c>
      <c r="N532" s="467">
        <v>2150031534</v>
      </c>
      <c r="O532" s="469">
        <v>45871</v>
      </c>
      <c r="P532" s="377">
        <f t="shared" ca="1" si="17"/>
        <v>191</v>
      </c>
      <c r="Q532" s="469">
        <v>45878</v>
      </c>
      <c r="R532" s="91" t="s">
        <v>30</v>
      </c>
      <c r="S532" s="51"/>
      <c r="T532" s="51">
        <v>0</v>
      </c>
      <c r="U532" s="43">
        <v>45880</v>
      </c>
      <c r="V532" s="658" t="s">
        <v>310</v>
      </c>
      <c r="W532" s="51">
        <v>250</v>
      </c>
      <c r="X532" s="658" t="s">
        <v>32</v>
      </c>
      <c r="Y532" s="640" t="s">
        <v>578</v>
      </c>
      <c r="Z532" s="642"/>
      <c r="AA532" s="390" t="s">
        <v>532</v>
      </c>
      <c r="AB532" s="389" t="s">
        <v>16</v>
      </c>
      <c r="AC532" s="464" t="s">
        <v>2547</v>
      </c>
    </row>
    <row r="533" spans="1:29" s="641" customFormat="1" ht="15" hidden="1" customHeight="1">
      <c r="A533" s="25" t="s">
        <v>25</v>
      </c>
      <c r="B533" s="25" t="s">
        <v>25</v>
      </c>
      <c r="C533" s="657" t="s">
        <v>2707</v>
      </c>
      <c r="D533" s="657" t="s">
        <v>2708</v>
      </c>
      <c r="E533" s="657" t="s">
        <v>621</v>
      </c>
      <c r="F533" s="657">
        <v>748667417</v>
      </c>
      <c r="G533" s="657">
        <v>505456693</v>
      </c>
      <c r="H533" s="374">
        <v>5.84938</v>
      </c>
      <c r="I533" s="374">
        <v>-5.3499600000000003</v>
      </c>
      <c r="J533" s="657" t="s">
        <v>189</v>
      </c>
      <c r="K533" s="374" t="s">
        <v>198</v>
      </c>
      <c r="L533" s="374" t="s">
        <v>1818</v>
      </c>
      <c r="M533" s="543" t="s">
        <v>2722</v>
      </c>
      <c r="N533" s="543">
        <v>2150031523</v>
      </c>
      <c r="O533" s="469">
        <v>45873</v>
      </c>
      <c r="P533" s="377">
        <f t="shared" ca="1" si="17"/>
        <v>191</v>
      </c>
      <c r="Q533" s="469">
        <v>45878</v>
      </c>
      <c r="R533" s="91" t="s">
        <v>30</v>
      </c>
      <c r="S533" s="51"/>
      <c r="T533" s="51">
        <v>1</v>
      </c>
      <c r="U533" s="43">
        <v>45880</v>
      </c>
      <c r="V533" s="46" t="s">
        <v>310</v>
      </c>
      <c r="W533" s="51">
        <v>150</v>
      </c>
      <c r="X533" s="658" t="s">
        <v>32</v>
      </c>
      <c r="Y533" s="640" t="s">
        <v>245</v>
      </c>
      <c r="Z533" s="642"/>
      <c r="AA533" s="390" t="s">
        <v>532</v>
      </c>
      <c r="AB533" s="665" t="s">
        <v>16</v>
      </c>
      <c r="AC533" s="390" t="s">
        <v>2694</v>
      </c>
    </row>
    <row r="534" spans="1:29" s="641" customFormat="1" ht="15" hidden="1" customHeight="1">
      <c r="A534" s="461" t="s">
        <v>25</v>
      </c>
      <c r="B534" s="388" t="s">
        <v>25</v>
      </c>
      <c r="C534" s="465" t="s">
        <v>1495</v>
      </c>
      <c r="D534" s="465" t="s">
        <v>1496</v>
      </c>
      <c r="E534" s="465" t="s">
        <v>1497</v>
      </c>
      <c r="F534" s="465">
        <v>143005555</v>
      </c>
      <c r="G534" s="465">
        <v>778515188</v>
      </c>
      <c r="H534" s="390">
        <v>5.8476150000000002</v>
      </c>
      <c r="I534" s="390">
        <v>-5.3556340000000002</v>
      </c>
      <c r="J534" s="465" t="s">
        <v>189</v>
      </c>
      <c r="K534" s="390" t="s">
        <v>203</v>
      </c>
      <c r="L534" s="390" t="s">
        <v>672</v>
      </c>
      <c r="M534" s="392" t="s">
        <v>2453</v>
      </c>
      <c r="N534" s="392">
        <v>2150027266</v>
      </c>
      <c r="O534" s="466">
        <v>45748</v>
      </c>
      <c r="P534" s="398">
        <f t="shared" ca="1" si="17"/>
        <v>320</v>
      </c>
      <c r="Q534" s="466">
        <v>45749</v>
      </c>
      <c r="R534" s="390" t="s">
        <v>30</v>
      </c>
      <c r="S534" s="390"/>
      <c r="T534" s="390">
        <v>0</v>
      </c>
      <c r="U534" s="238">
        <v>45881</v>
      </c>
      <c r="V534" s="390" t="s">
        <v>310</v>
      </c>
      <c r="W534" s="390">
        <v>50</v>
      </c>
      <c r="X534" s="395" t="s">
        <v>32</v>
      </c>
      <c r="Y534" s="642" t="s">
        <v>245</v>
      </c>
      <c r="Z534" s="642"/>
      <c r="AA534" s="390" t="s">
        <v>532</v>
      </c>
      <c r="AB534" s="665" t="s">
        <v>16</v>
      </c>
      <c r="AC534" s="390" t="s">
        <v>2660</v>
      </c>
    </row>
    <row r="535" spans="1:29" s="639" customFormat="1" ht="15" hidden="1" customHeight="1">
      <c r="A535" s="388" t="s">
        <v>25</v>
      </c>
      <c r="B535" s="388" t="s">
        <v>25</v>
      </c>
      <c r="C535" s="461" t="s">
        <v>2093</v>
      </c>
      <c r="D535" s="461" t="s">
        <v>2094</v>
      </c>
      <c r="E535" s="461" t="s">
        <v>2095</v>
      </c>
      <c r="F535" s="461">
        <v>153514635</v>
      </c>
      <c r="G535" s="461">
        <v>789256389</v>
      </c>
      <c r="H535" s="390">
        <v>5.8385300000000004</v>
      </c>
      <c r="I535" s="390">
        <v>-5.3675680000000003</v>
      </c>
      <c r="J535" s="461" t="s">
        <v>36</v>
      </c>
      <c r="K535" s="390" t="s">
        <v>203</v>
      </c>
      <c r="L535" s="390" t="s">
        <v>1484</v>
      </c>
      <c r="M535" s="392" t="s">
        <v>2579</v>
      </c>
      <c r="N535" s="392">
        <v>2150027317</v>
      </c>
      <c r="O535" s="484">
        <v>45804</v>
      </c>
      <c r="P535" s="398">
        <f t="shared" ca="1" si="17"/>
        <v>262</v>
      </c>
      <c r="Q535" s="484">
        <v>45807</v>
      </c>
      <c r="R535" s="390" t="s">
        <v>30</v>
      </c>
      <c r="S535" s="390"/>
      <c r="T535" s="390">
        <v>1</v>
      </c>
      <c r="U535" s="238">
        <v>45881</v>
      </c>
      <c r="V535" s="390" t="s">
        <v>310</v>
      </c>
      <c r="W535" s="390">
        <v>450</v>
      </c>
      <c r="X535" s="395" t="s">
        <v>32</v>
      </c>
      <c r="Y535" s="642" t="s">
        <v>343</v>
      </c>
      <c r="Z535" s="642"/>
      <c r="AA535" s="390" t="s">
        <v>532</v>
      </c>
      <c r="AB535" s="665" t="s">
        <v>16</v>
      </c>
      <c r="AC535" s="464" t="s">
        <v>2501</v>
      </c>
    </row>
    <row r="536" spans="1:29" s="641" customFormat="1" ht="15" hidden="1" customHeight="1">
      <c r="A536" s="461" t="s">
        <v>25</v>
      </c>
      <c r="B536" s="461" t="s">
        <v>25</v>
      </c>
      <c r="C536" s="461" t="s">
        <v>2582</v>
      </c>
      <c r="D536" s="589" t="s">
        <v>2583</v>
      </c>
      <c r="E536" s="589" t="s">
        <v>667</v>
      </c>
      <c r="F536" s="589">
        <v>173821134</v>
      </c>
      <c r="G536" s="589">
        <v>576678146</v>
      </c>
      <c r="H536" s="390">
        <v>5.8480480000000004</v>
      </c>
      <c r="I536" s="390">
        <v>-5.3564249999999998</v>
      </c>
      <c r="J536" s="589" t="s">
        <v>189</v>
      </c>
      <c r="K536" s="390" t="s">
        <v>203</v>
      </c>
      <c r="L536" s="390" t="s">
        <v>672</v>
      </c>
      <c r="M536" s="392" t="s">
        <v>2665</v>
      </c>
      <c r="N536" s="392">
        <v>2150031627</v>
      </c>
      <c r="O536" s="484">
        <v>45867</v>
      </c>
      <c r="P536" s="398">
        <f t="shared" ca="1" si="17"/>
        <v>200</v>
      </c>
      <c r="Q536" s="484">
        <v>45869</v>
      </c>
      <c r="R536" s="390" t="s">
        <v>30</v>
      </c>
      <c r="S536" s="390"/>
      <c r="T536" s="390">
        <v>1</v>
      </c>
      <c r="U536" s="238">
        <v>45881</v>
      </c>
      <c r="V536" s="390" t="s">
        <v>310</v>
      </c>
      <c r="W536" s="390">
        <v>200</v>
      </c>
      <c r="X536" s="390" t="s">
        <v>32</v>
      </c>
      <c r="Y536" s="642" t="s">
        <v>228</v>
      </c>
      <c r="Z536" s="642"/>
      <c r="AA536" s="390" t="s">
        <v>532</v>
      </c>
      <c r="AB536" s="665" t="s">
        <v>16</v>
      </c>
      <c r="AC536" s="390" t="s">
        <v>2693</v>
      </c>
    </row>
    <row r="537" spans="1:29" s="639" customFormat="1" ht="15" hidden="1" customHeight="1">
      <c r="A537" s="235" t="s">
        <v>25</v>
      </c>
      <c r="B537" s="235" t="s">
        <v>25</v>
      </c>
      <c r="C537" s="461" t="s">
        <v>2630</v>
      </c>
      <c r="D537" s="235" t="s">
        <v>2631</v>
      </c>
      <c r="E537" s="235" t="s">
        <v>2632</v>
      </c>
      <c r="F537" s="235">
        <v>101030882</v>
      </c>
      <c r="G537" s="235">
        <v>709634259</v>
      </c>
      <c r="H537" s="236">
        <v>5.8322900000000004</v>
      </c>
      <c r="I537" s="236">
        <v>-5.3506200000000002</v>
      </c>
      <c r="J537" s="235" t="s">
        <v>36</v>
      </c>
      <c r="K537" s="236" t="s">
        <v>274</v>
      </c>
      <c r="L537" s="236" t="s">
        <v>2111</v>
      </c>
      <c r="M537" s="392" t="s">
        <v>2669</v>
      </c>
      <c r="N537" s="392">
        <v>2150031632</v>
      </c>
      <c r="O537" s="484">
        <v>45870</v>
      </c>
      <c r="P537" s="398">
        <f t="shared" ca="1" si="17"/>
        <v>198</v>
      </c>
      <c r="Q537" s="484">
        <v>45871</v>
      </c>
      <c r="R537" s="236" t="s">
        <v>30</v>
      </c>
      <c r="S537" s="236"/>
      <c r="T537" s="236">
        <v>0</v>
      </c>
      <c r="U537" s="238">
        <v>45881</v>
      </c>
      <c r="V537" s="236" t="s">
        <v>310</v>
      </c>
      <c r="W537" s="236">
        <v>200</v>
      </c>
      <c r="X537" s="236" t="s">
        <v>32</v>
      </c>
      <c r="Y537" s="642"/>
      <c r="Z537" s="642"/>
      <c r="AA537" s="390" t="s">
        <v>532</v>
      </c>
      <c r="AB537" s="665" t="s">
        <v>16</v>
      </c>
      <c r="AC537" s="390" t="s">
        <v>2695</v>
      </c>
    </row>
    <row r="538" spans="1:29" s="641" customFormat="1" ht="15" hidden="1" customHeight="1">
      <c r="A538" s="235" t="s">
        <v>25</v>
      </c>
      <c r="B538" s="235" t="s">
        <v>25</v>
      </c>
      <c r="C538" s="659" t="s">
        <v>2678</v>
      </c>
      <c r="D538" s="659" t="s">
        <v>2679</v>
      </c>
      <c r="E538" s="659" t="s">
        <v>41</v>
      </c>
      <c r="F538" s="659">
        <v>70769172979</v>
      </c>
      <c r="G538" s="659">
        <v>7577335533</v>
      </c>
      <c r="H538" s="390">
        <v>5.8480600000000003</v>
      </c>
      <c r="I538" s="390">
        <v>-5.3509399999999996</v>
      </c>
      <c r="J538" s="659" t="s">
        <v>189</v>
      </c>
      <c r="K538" s="390" t="s">
        <v>203</v>
      </c>
      <c r="L538" s="390" t="s">
        <v>638</v>
      </c>
      <c r="M538" s="392" t="s">
        <v>2723</v>
      </c>
      <c r="N538" s="392">
        <v>2150031524</v>
      </c>
      <c r="O538" s="466">
        <v>45785</v>
      </c>
      <c r="P538" s="398">
        <f t="shared" ca="1" si="17"/>
        <v>192</v>
      </c>
      <c r="Q538" s="466">
        <v>45877</v>
      </c>
      <c r="R538" s="664" t="s">
        <v>30</v>
      </c>
      <c r="S538" s="665"/>
      <c r="T538" s="665">
        <v>1</v>
      </c>
      <c r="U538" s="238">
        <v>45881</v>
      </c>
      <c r="V538" s="666" t="s">
        <v>310</v>
      </c>
      <c r="W538" s="665">
        <v>400</v>
      </c>
      <c r="X538" s="666" t="s">
        <v>32</v>
      </c>
      <c r="Y538" s="642" t="s">
        <v>627</v>
      </c>
      <c r="Z538" s="642"/>
      <c r="AA538" s="390" t="s">
        <v>532</v>
      </c>
      <c r="AB538" s="665" t="s">
        <v>16</v>
      </c>
      <c r="AC538" s="390" t="s">
        <v>2712</v>
      </c>
    </row>
    <row r="539" spans="1:29" s="639" customFormat="1" ht="15" hidden="1" customHeight="1">
      <c r="A539" s="235" t="s">
        <v>25</v>
      </c>
      <c r="B539" s="235" t="s">
        <v>25</v>
      </c>
      <c r="C539" s="659" t="s">
        <v>2683</v>
      </c>
      <c r="D539" s="659" t="s">
        <v>2684</v>
      </c>
      <c r="E539" s="659" t="s">
        <v>2685</v>
      </c>
      <c r="F539" s="659">
        <v>758699114</v>
      </c>
      <c r="G539" s="659">
        <v>758699114</v>
      </c>
      <c r="H539" s="390">
        <v>5.8379200000000004</v>
      </c>
      <c r="I539" s="390">
        <v>-5.3457100000000004</v>
      </c>
      <c r="J539" s="659" t="s">
        <v>189</v>
      </c>
      <c r="K539" s="390" t="s">
        <v>274</v>
      </c>
      <c r="L539" s="390" t="s">
        <v>2411</v>
      </c>
      <c r="M539" s="392" t="s">
        <v>2719</v>
      </c>
      <c r="N539" s="392">
        <v>2150031520</v>
      </c>
      <c r="O539" s="466">
        <v>45785</v>
      </c>
      <c r="P539" s="398">
        <f t="shared" ca="1" si="17"/>
        <v>192</v>
      </c>
      <c r="Q539" s="466">
        <v>45877</v>
      </c>
      <c r="R539" s="664" t="s">
        <v>30</v>
      </c>
      <c r="S539" s="665"/>
      <c r="T539" s="665">
        <v>2</v>
      </c>
      <c r="U539" s="238">
        <v>45881</v>
      </c>
      <c r="V539" s="666" t="s">
        <v>310</v>
      </c>
      <c r="W539" s="665">
        <v>300</v>
      </c>
      <c r="X539" s="666" t="s">
        <v>32</v>
      </c>
      <c r="Y539" s="642" t="s">
        <v>245</v>
      </c>
      <c r="Z539" s="642"/>
      <c r="AA539" s="390" t="s">
        <v>532</v>
      </c>
      <c r="AB539" s="665" t="s">
        <v>16</v>
      </c>
      <c r="AC539" s="390" t="s">
        <v>2692</v>
      </c>
    </row>
    <row r="540" spans="1:29" s="639" customFormat="1" ht="15" hidden="1" customHeight="1">
      <c r="A540" s="235" t="s">
        <v>25</v>
      </c>
      <c r="B540" s="235" t="s">
        <v>25</v>
      </c>
      <c r="C540" s="659" t="s">
        <v>2686</v>
      </c>
      <c r="D540" s="659" t="s">
        <v>2687</v>
      </c>
      <c r="E540" s="659" t="s">
        <v>2688</v>
      </c>
      <c r="F540" s="659">
        <v>708109076</v>
      </c>
      <c r="G540" s="659">
        <v>708109076</v>
      </c>
      <c r="H540" s="390">
        <v>5.8464099999999997</v>
      </c>
      <c r="I540" s="390">
        <v>-5.3512700000000004</v>
      </c>
      <c r="J540" s="659" t="s">
        <v>189</v>
      </c>
      <c r="K540" s="390" t="s">
        <v>203</v>
      </c>
      <c r="L540" s="390" t="s">
        <v>2143</v>
      </c>
      <c r="M540" s="392" t="s">
        <v>2718</v>
      </c>
      <c r="N540" s="392">
        <v>2150031519</v>
      </c>
      <c r="O540" s="466">
        <v>45816</v>
      </c>
      <c r="P540" s="398">
        <f t="shared" ca="1" si="17"/>
        <v>192</v>
      </c>
      <c r="Q540" s="466">
        <v>45877</v>
      </c>
      <c r="R540" s="664" t="s">
        <v>30</v>
      </c>
      <c r="S540" s="665"/>
      <c r="T540" s="665">
        <v>2</v>
      </c>
      <c r="U540" s="238">
        <v>45881</v>
      </c>
      <c r="V540" s="666" t="s">
        <v>310</v>
      </c>
      <c r="W540" s="665">
        <v>300</v>
      </c>
      <c r="X540" s="666" t="s">
        <v>32</v>
      </c>
      <c r="Y540" s="642" t="s">
        <v>343</v>
      </c>
      <c r="Z540" s="663"/>
      <c r="AA540" s="300" t="s">
        <v>532</v>
      </c>
      <c r="AB540" s="300" t="s">
        <v>16</v>
      </c>
      <c r="AC540" s="438" t="s">
        <v>2740</v>
      </c>
    </row>
    <row r="541" spans="1:29" s="639" customFormat="1" ht="15" hidden="1" customHeight="1">
      <c r="A541" s="235" t="s">
        <v>25</v>
      </c>
      <c r="B541" s="235" t="s">
        <v>25</v>
      </c>
      <c r="C541" s="659" t="s">
        <v>2676</v>
      </c>
      <c r="D541" s="659" t="s">
        <v>2677</v>
      </c>
      <c r="E541" s="659" t="s">
        <v>289</v>
      </c>
      <c r="F541" s="659">
        <v>103001100</v>
      </c>
      <c r="G541" s="659">
        <v>748506540</v>
      </c>
      <c r="H541" s="390">
        <v>5.8355600000000001</v>
      </c>
      <c r="I541" s="390">
        <v>-5.3522800000000004</v>
      </c>
      <c r="J541" s="659" t="s">
        <v>36</v>
      </c>
      <c r="K541" s="390" t="s">
        <v>274</v>
      </c>
      <c r="L541" s="390" t="s">
        <v>1030</v>
      </c>
      <c r="M541" s="392" t="s">
        <v>2724</v>
      </c>
      <c r="N541" s="392">
        <v>2150031525</v>
      </c>
      <c r="O541" s="466">
        <v>45755</v>
      </c>
      <c r="P541" s="398">
        <f t="shared" ca="1" si="17"/>
        <v>192</v>
      </c>
      <c r="Q541" s="466">
        <v>45877</v>
      </c>
      <c r="R541" s="664" t="s">
        <v>30</v>
      </c>
      <c r="S541" s="665"/>
      <c r="T541" s="665">
        <v>4</v>
      </c>
      <c r="U541" s="238">
        <v>45881</v>
      </c>
      <c r="V541" s="666" t="s">
        <v>310</v>
      </c>
      <c r="W541" s="665">
        <v>500</v>
      </c>
      <c r="X541" s="666" t="s">
        <v>32</v>
      </c>
      <c r="Y541" s="642" t="s">
        <v>578</v>
      </c>
      <c r="Z541" s="663"/>
      <c r="AA541" s="300" t="s">
        <v>532</v>
      </c>
      <c r="AB541" s="438" t="s">
        <v>16</v>
      </c>
      <c r="AC541" s="438" t="s">
        <v>2738</v>
      </c>
    </row>
    <row r="542" spans="1:29" s="639" customFormat="1" ht="15" hidden="1" customHeight="1">
      <c r="A542" s="235" t="s">
        <v>25</v>
      </c>
      <c r="B542" s="235" t="s">
        <v>25</v>
      </c>
      <c r="C542" s="589" t="s">
        <v>2704</v>
      </c>
      <c r="D542" s="589" t="s">
        <v>2705</v>
      </c>
      <c r="E542" s="589" t="s">
        <v>2706</v>
      </c>
      <c r="F542" s="589">
        <v>707020777</v>
      </c>
      <c r="G542" s="589">
        <v>707020777</v>
      </c>
      <c r="H542" s="390">
        <v>5.8422499999999999</v>
      </c>
      <c r="I542" s="390">
        <v>-5.3560999999999996</v>
      </c>
      <c r="J542" s="589" t="s">
        <v>36</v>
      </c>
      <c r="K542" s="390" t="s">
        <v>190</v>
      </c>
      <c r="L542" s="390" t="s">
        <v>1263</v>
      </c>
      <c r="M542" s="392" t="s">
        <v>2716</v>
      </c>
      <c r="N542" s="392">
        <v>2150031518</v>
      </c>
      <c r="O542" s="484">
        <v>45873</v>
      </c>
      <c r="P542" s="398">
        <f t="shared" ca="1" si="17"/>
        <v>191</v>
      </c>
      <c r="Q542" s="484">
        <v>45878</v>
      </c>
      <c r="R542" s="664" t="s">
        <v>30</v>
      </c>
      <c r="S542" s="665"/>
      <c r="T542" s="665">
        <v>0</v>
      </c>
      <c r="U542" s="238">
        <v>45881</v>
      </c>
      <c r="V542" s="240" t="s">
        <v>310</v>
      </c>
      <c r="W542" s="665">
        <v>300</v>
      </c>
      <c r="X542" s="666" t="s">
        <v>32</v>
      </c>
      <c r="Y542" s="642" t="s">
        <v>1521</v>
      </c>
      <c r="Z542" s="663"/>
      <c r="AA542" s="300" t="s">
        <v>532</v>
      </c>
      <c r="AB542" s="438" t="s">
        <v>16</v>
      </c>
      <c r="AC542" s="438" t="s">
        <v>2553</v>
      </c>
    </row>
    <row r="543" spans="1:29" s="639" customFormat="1" ht="15" hidden="1" customHeight="1">
      <c r="A543" s="235" t="s">
        <v>25</v>
      </c>
      <c r="B543" s="235" t="s">
        <v>25</v>
      </c>
      <c r="C543" s="589" t="s">
        <v>2709</v>
      </c>
      <c r="D543" s="589" t="s">
        <v>2710</v>
      </c>
      <c r="E543" s="589" t="s">
        <v>2711</v>
      </c>
      <c r="F543" s="589">
        <v>747148157</v>
      </c>
      <c r="G543" s="589">
        <v>778959720</v>
      </c>
      <c r="H543" s="390">
        <v>5.8299000000000003</v>
      </c>
      <c r="I543" s="390">
        <v>-5.3601000000000001</v>
      </c>
      <c r="J543" s="589" t="s">
        <v>36</v>
      </c>
      <c r="K543" s="390" t="s">
        <v>190</v>
      </c>
      <c r="L543" s="390" t="s">
        <v>410</v>
      </c>
      <c r="M543" s="392" t="s">
        <v>2721</v>
      </c>
      <c r="N543" s="392">
        <v>2150031521</v>
      </c>
      <c r="O543" s="484">
        <v>45874</v>
      </c>
      <c r="P543" s="398">
        <f t="shared" ca="1" si="17"/>
        <v>191</v>
      </c>
      <c r="Q543" s="484">
        <v>45878</v>
      </c>
      <c r="R543" s="664" t="s">
        <v>30</v>
      </c>
      <c r="S543" s="665"/>
      <c r="T543" s="665">
        <v>6</v>
      </c>
      <c r="U543" s="238">
        <v>45881</v>
      </c>
      <c r="V543" s="240" t="s">
        <v>310</v>
      </c>
      <c r="W543" s="665">
        <v>500</v>
      </c>
      <c r="X543" s="666" t="s">
        <v>32</v>
      </c>
      <c r="Y543" s="642" t="s">
        <v>533</v>
      </c>
      <c r="Z543" s="663"/>
      <c r="AA543" s="300" t="s">
        <v>532</v>
      </c>
      <c r="AB543" s="300" t="s">
        <v>16</v>
      </c>
      <c r="AC543" s="438" t="s">
        <v>2728</v>
      </c>
    </row>
    <row r="544" spans="1:29" s="639" customFormat="1" ht="15" hidden="1" customHeight="1">
      <c r="A544" s="444" t="s">
        <v>25</v>
      </c>
      <c r="B544" s="436" t="s">
        <v>25</v>
      </c>
      <c r="C544" s="444" t="s">
        <v>2511</v>
      </c>
      <c r="D544" s="444" t="s">
        <v>2512</v>
      </c>
      <c r="E544" s="444" t="s">
        <v>2513</v>
      </c>
      <c r="F544" s="444">
        <v>171897971</v>
      </c>
      <c r="G544" s="444">
        <v>596669388</v>
      </c>
      <c r="H544" s="438">
        <v>5.849812</v>
      </c>
      <c r="I544" s="438">
        <v>-5.3509900000000004</v>
      </c>
      <c r="J544" s="444" t="s">
        <v>189</v>
      </c>
      <c r="K544" s="438" t="s">
        <v>198</v>
      </c>
      <c r="L544" s="438" t="s">
        <v>2374</v>
      </c>
      <c r="M544" s="445" t="s">
        <v>2581</v>
      </c>
      <c r="N544" s="445">
        <v>2150027316</v>
      </c>
      <c r="O544" s="446">
        <v>45862</v>
      </c>
      <c r="P544" s="440">
        <f t="shared" ca="1" si="17"/>
        <v>207</v>
      </c>
      <c r="Q544" s="446">
        <v>45862</v>
      </c>
      <c r="R544" s="438" t="s">
        <v>30</v>
      </c>
      <c r="S544" s="438"/>
      <c r="T544" s="438">
        <v>1</v>
      </c>
      <c r="U544" s="441">
        <v>45882</v>
      </c>
      <c r="V544" s="438" t="s">
        <v>310</v>
      </c>
      <c r="W544" s="438">
        <v>450</v>
      </c>
      <c r="X544" s="442" t="s">
        <v>32</v>
      </c>
      <c r="Y544" s="663" t="s">
        <v>228</v>
      </c>
      <c r="Z544" s="663"/>
      <c r="AA544" s="300" t="s">
        <v>532</v>
      </c>
      <c r="AB544" s="300" t="s">
        <v>16</v>
      </c>
      <c r="AC544" s="438" t="s">
        <v>2726</v>
      </c>
    </row>
    <row r="545" spans="1:29" s="639" customFormat="1" ht="15" hidden="1" customHeight="1">
      <c r="A545" s="1078" t="s">
        <v>25</v>
      </c>
      <c r="B545" s="1078" t="s">
        <v>25</v>
      </c>
      <c r="C545" s="1104" t="s">
        <v>2689</v>
      </c>
      <c r="D545" s="1104" t="s">
        <v>2690</v>
      </c>
      <c r="E545" s="1104" t="s">
        <v>2691</v>
      </c>
      <c r="F545" s="1104">
        <v>575554152</v>
      </c>
      <c r="G545" s="1104">
        <v>575554152</v>
      </c>
      <c r="H545" s="1122">
        <v>5.8468400000000003</v>
      </c>
      <c r="I545" s="1122">
        <v>-5.34842</v>
      </c>
      <c r="J545" s="1104" t="s">
        <v>189</v>
      </c>
      <c r="K545" s="1122" t="s">
        <v>274</v>
      </c>
      <c r="L545" s="1122" t="s">
        <v>2331</v>
      </c>
      <c r="M545" s="1122" t="s">
        <v>2759</v>
      </c>
      <c r="N545" s="1122">
        <v>2150027312</v>
      </c>
      <c r="O545" s="1180">
        <v>45816</v>
      </c>
      <c r="P545" s="1194">
        <f t="shared" ca="1" si="17"/>
        <v>192</v>
      </c>
      <c r="Q545" s="1180">
        <v>45877</v>
      </c>
      <c r="R545" s="1199" t="s">
        <v>30</v>
      </c>
      <c r="S545" s="1204"/>
      <c r="T545" s="1204">
        <v>0</v>
      </c>
      <c r="U545" s="1218">
        <v>45882</v>
      </c>
      <c r="V545" s="1227" t="s">
        <v>310</v>
      </c>
      <c r="W545" s="1204">
        <v>300</v>
      </c>
      <c r="X545" s="1227" t="s">
        <v>32</v>
      </c>
      <c r="Y545" s="663" t="s">
        <v>228</v>
      </c>
      <c r="Z545" s="823"/>
      <c r="AA545" s="821" t="s">
        <v>532</v>
      </c>
      <c r="AB545" s="821" t="s">
        <v>16</v>
      </c>
      <c r="AC545" s="822" t="s">
        <v>2771</v>
      </c>
    </row>
    <row r="546" spans="1:29" s="828" customFormat="1" ht="15.6" hidden="1">
      <c r="A546" s="166" t="s">
        <v>25</v>
      </c>
      <c r="B546" s="166" t="s">
        <v>25</v>
      </c>
      <c r="C546" s="660" t="s">
        <v>2680</v>
      </c>
      <c r="D546" s="660" t="s">
        <v>2681</v>
      </c>
      <c r="E546" s="660" t="s">
        <v>2682</v>
      </c>
      <c r="F546" s="660">
        <v>141393251</v>
      </c>
      <c r="G546" s="660">
        <v>708188890</v>
      </c>
      <c r="H546" s="438">
        <v>5.8379399999999997</v>
      </c>
      <c r="I546" s="438">
        <v>-5.34375</v>
      </c>
      <c r="J546" s="660" t="s">
        <v>189</v>
      </c>
      <c r="K546" s="438" t="s">
        <v>190</v>
      </c>
      <c r="L546" s="438" t="s">
        <v>625</v>
      </c>
      <c r="M546" s="445" t="s">
        <v>2730</v>
      </c>
      <c r="N546" s="445">
        <v>2150031533</v>
      </c>
      <c r="O546" s="661">
        <v>45785</v>
      </c>
      <c r="P546" s="440">
        <f t="shared" ca="1" si="17"/>
        <v>192</v>
      </c>
      <c r="Q546" s="661">
        <v>45877</v>
      </c>
      <c r="R546" s="174" t="s">
        <v>30</v>
      </c>
      <c r="S546" s="300"/>
      <c r="T546" s="300">
        <v>0</v>
      </c>
      <c r="U546" s="441">
        <v>45882</v>
      </c>
      <c r="V546" s="662" t="s">
        <v>310</v>
      </c>
      <c r="W546" s="300">
        <v>400</v>
      </c>
      <c r="X546" s="662" t="s">
        <v>32</v>
      </c>
      <c r="Y546" s="438" t="s">
        <v>533</v>
      </c>
      <c r="Z546" s="38"/>
      <c r="AA546" s="38" t="s">
        <v>532</v>
      </c>
      <c r="AB546" s="24" t="s">
        <v>16</v>
      </c>
      <c r="AC546" s="24" t="s">
        <v>2739</v>
      </c>
    </row>
    <row r="547" spans="1:29" s="828" customFormat="1" ht="15.6" hidden="1">
      <c r="A547" s="166" t="s">
        <v>25</v>
      </c>
      <c r="B547" s="166" t="s">
        <v>25</v>
      </c>
      <c r="C547" s="710" t="s">
        <v>2700</v>
      </c>
      <c r="D547" s="710" t="s">
        <v>2701</v>
      </c>
      <c r="E547" s="710" t="s">
        <v>621</v>
      </c>
      <c r="F547" s="710">
        <v>787877474</v>
      </c>
      <c r="G547" s="710">
        <v>787877474</v>
      </c>
      <c r="H547" s="438">
        <v>5.8509599999999997</v>
      </c>
      <c r="I547" s="438">
        <v>-5.3568300000000004</v>
      </c>
      <c r="J547" s="710" t="s">
        <v>189</v>
      </c>
      <c r="K547" s="438" t="s">
        <v>2725</v>
      </c>
      <c r="L547" s="438" t="s">
        <v>2550</v>
      </c>
      <c r="M547" s="445" t="s">
        <v>2731</v>
      </c>
      <c r="N547" s="445">
        <v>2150031535</v>
      </c>
      <c r="O547" s="446">
        <v>45877</v>
      </c>
      <c r="P547" s="440">
        <f t="shared" ca="1" si="17"/>
        <v>191</v>
      </c>
      <c r="Q547" s="446">
        <v>45878</v>
      </c>
      <c r="R547" s="174" t="s">
        <v>30</v>
      </c>
      <c r="S547" s="300"/>
      <c r="T547" s="300">
        <v>0</v>
      </c>
      <c r="U547" s="441">
        <v>45882</v>
      </c>
      <c r="V547" s="173" t="s">
        <v>310</v>
      </c>
      <c r="W547" s="300">
        <v>300</v>
      </c>
      <c r="X547" s="662" t="s">
        <v>32</v>
      </c>
      <c r="Y547" s="438" t="s">
        <v>245</v>
      </c>
      <c r="Z547" s="38"/>
      <c r="AA547" s="38" t="s">
        <v>532</v>
      </c>
      <c r="AB547" s="24" t="s">
        <v>16</v>
      </c>
      <c r="AC547" s="24" t="s">
        <v>2758</v>
      </c>
    </row>
    <row r="548" spans="1:29" s="828" customFormat="1" ht="15.6" hidden="1">
      <c r="A548" s="444" t="s">
        <v>25</v>
      </c>
      <c r="B548" s="436" t="s">
        <v>25</v>
      </c>
      <c r="C548" s="444" t="s">
        <v>2732</v>
      </c>
      <c r="D548" s="444" t="s">
        <v>2733</v>
      </c>
      <c r="E548" s="444" t="s">
        <v>2734</v>
      </c>
      <c r="F548" s="444">
        <v>102021394</v>
      </c>
      <c r="G548" s="444">
        <v>707603320</v>
      </c>
      <c r="H548" s="438">
        <v>5.8397899999999998</v>
      </c>
      <c r="I548" s="438">
        <v>-5.3653500000000003</v>
      </c>
      <c r="J548" s="444" t="s">
        <v>36</v>
      </c>
      <c r="K548" s="438" t="s">
        <v>203</v>
      </c>
      <c r="L548" s="438" t="s">
        <v>1481</v>
      </c>
      <c r="M548" s="438" t="s">
        <v>2741</v>
      </c>
      <c r="N548" s="438">
        <v>2150031516</v>
      </c>
      <c r="O548" s="446">
        <v>45880</v>
      </c>
      <c r="P548" s="440">
        <f t="shared" ca="1" si="17"/>
        <v>188</v>
      </c>
      <c r="Q548" s="446">
        <v>45881</v>
      </c>
      <c r="R548" s="443" t="s">
        <v>30</v>
      </c>
      <c r="S548" s="438"/>
      <c r="T548" s="438">
        <v>0</v>
      </c>
      <c r="U548" s="441">
        <v>45882</v>
      </c>
      <c r="V548" s="438" t="s">
        <v>310</v>
      </c>
      <c r="W548" s="438">
        <v>200</v>
      </c>
      <c r="X548" s="438" t="s">
        <v>32</v>
      </c>
      <c r="Y548" s="438" t="s">
        <v>228</v>
      </c>
      <c r="Z548" s="38"/>
      <c r="AA548" s="38" t="s">
        <v>532</v>
      </c>
      <c r="AB548" s="24" t="s">
        <v>16</v>
      </c>
      <c r="AC548" s="24" t="s">
        <v>2772</v>
      </c>
    </row>
    <row r="549" spans="1:29" s="828" customFormat="1" ht="15.6" hidden="1">
      <c r="A549" s="824" t="s">
        <v>25</v>
      </c>
      <c r="B549" s="824" t="s">
        <v>25</v>
      </c>
      <c r="C549" s="824" t="s">
        <v>2674</v>
      </c>
      <c r="D549" s="824" t="s">
        <v>2675</v>
      </c>
      <c r="E549" s="824" t="s">
        <v>621</v>
      </c>
      <c r="F549" s="825">
        <v>758035463</v>
      </c>
      <c r="G549" s="38">
        <v>504081373</v>
      </c>
      <c r="H549" s="24">
        <v>5.84938</v>
      </c>
      <c r="I549" s="24">
        <v>-5.3499600000000003</v>
      </c>
      <c r="J549" s="824" t="s">
        <v>189</v>
      </c>
      <c r="K549" s="24" t="s">
        <v>198</v>
      </c>
      <c r="L549" s="24" t="s">
        <v>712</v>
      </c>
      <c r="M549" s="38" t="s">
        <v>2720</v>
      </c>
      <c r="N549" s="38">
        <v>2150031522</v>
      </c>
      <c r="O549" s="827">
        <v>45866</v>
      </c>
      <c r="P549" s="24">
        <v>6</v>
      </c>
      <c r="Q549" s="827">
        <v>45877</v>
      </c>
      <c r="R549" s="38" t="s">
        <v>192</v>
      </c>
      <c r="S549" s="38"/>
      <c r="T549" s="38">
        <v>2</v>
      </c>
      <c r="U549" s="32">
        <v>45883</v>
      </c>
      <c r="V549" s="38" t="s">
        <v>310</v>
      </c>
      <c r="W549" s="38">
        <v>300</v>
      </c>
      <c r="X549" s="38" t="s">
        <v>32</v>
      </c>
      <c r="Y549" s="38" t="s">
        <v>245</v>
      </c>
      <c r="Z549" s="38"/>
      <c r="AA549" s="38" t="s">
        <v>532</v>
      </c>
      <c r="AB549" s="24" t="s">
        <v>16</v>
      </c>
      <c r="AC549" s="24" t="s">
        <v>2756</v>
      </c>
    </row>
    <row r="550" spans="1:29" s="828" customFormat="1" ht="15.6" hidden="1">
      <c r="A550" s="824" t="s">
        <v>25</v>
      </c>
      <c r="B550" s="38" t="s">
        <v>25</v>
      </c>
      <c r="C550" s="824" t="s">
        <v>2735</v>
      </c>
      <c r="D550" s="824" t="s">
        <v>2736</v>
      </c>
      <c r="E550" s="824" t="s">
        <v>2737</v>
      </c>
      <c r="F550" s="825">
        <v>759475302</v>
      </c>
      <c r="G550" s="38">
        <v>574441643</v>
      </c>
      <c r="H550" s="24">
        <v>5.8296099999999997</v>
      </c>
      <c r="I550" s="24">
        <v>-5.35771</v>
      </c>
      <c r="J550" s="824" t="s">
        <v>36</v>
      </c>
      <c r="K550" s="24" t="s">
        <v>274</v>
      </c>
      <c r="L550" s="24" t="s">
        <v>521</v>
      </c>
      <c r="M550" s="24" t="s">
        <v>2742</v>
      </c>
      <c r="N550" s="826">
        <v>2150000000</v>
      </c>
      <c r="O550" s="827">
        <v>45880</v>
      </c>
      <c r="P550" s="24">
        <v>2</v>
      </c>
      <c r="Q550" s="827">
        <v>45881</v>
      </c>
      <c r="R550" s="38" t="s">
        <v>192</v>
      </c>
      <c r="S550" s="24"/>
      <c r="T550" s="24">
        <v>0</v>
      </c>
      <c r="U550" s="32">
        <v>45883</v>
      </c>
      <c r="V550" s="24" t="s">
        <v>310</v>
      </c>
      <c r="W550" s="24">
        <v>500</v>
      </c>
      <c r="X550" s="24" t="s">
        <v>32</v>
      </c>
      <c r="Y550" s="38" t="s">
        <v>228</v>
      </c>
      <c r="Z550" s="38"/>
      <c r="AA550" s="38" t="s">
        <v>532</v>
      </c>
      <c r="AB550" s="24" t="s">
        <v>16</v>
      </c>
      <c r="AC550" s="24" t="s">
        <v>2757</v>
      </c>
    </row>
    <row r="551" spans="1:29" s="828" customFormat="1" ht="15.6" hidden="1">
      <c r="A551" s="824" t="s">
        <v>25</v>
      </c>
      <c r="B551" s="38" t="s">
        <v>25</v>
      </c>
      <c r="C551" s="38" t="s">
        <v>2753</v>
      </c>
      <c r="D551" s="38" t="s">
        <v>2754</v>
      </c>
      <c r="E551" s="38" t="s">
        <v>621</v>
      </c>
      <c r="F551" s="825">
        <v>707322682</v>
      </c>
      <c r="G551" s="38">
        <v>152057283</v>
      </c>
      <c r="H551" s="24">
        <v>5.8490500000000001</v>
      </c>
      <c r="I551" s="24">
        <v>-5.3499600000000003</v>
      </c>
      <c r="J551" s="38" t="s">
        <v>189</v>
      </c>
      <c r="K551" s="24" t="s">
        <v>274</v>
      </c>
      <c r="L551" s="24" t="s">
        <v>2331</v>
      </c>
      <c r="M551" s="38" t="s">
        <v>2763</v>
      </c>
      <c r="N551" s="38">
        <v>2150027313</v>
      </c>
      <c r="O551" s="39">
        <v>45881</v>
      </c>
      <c r="P551" s="24">
        <v>1</v>
      </c>
      <c r="Q551" s="39">
        <v>45882</v>
      </c>
      <c r="R551" s="24" t="s">
        <v>192</v>
      </c>
      <c r="S551" s="24"/>
      <c r="T551" s="24">
        <v>0</v>
      </c>
      <c r="U551" s="32">
        <v>45883</v>
      </c>
      <c r="V551" s="38" t="s">
        <v>310</v>
      </c>
      <c r="W551" s="24">
        <v>150</v>
      </c>
      <c r="X551" s="24" t="s">
        <v>32</v>
      </c>
      <c r="Y551" s="38" t="s">
        <v>245</v>
      </c>
      <c r="Z551" s="38"/>
      <c r="AA551" s="38" t="s">
        <v>532</v>
      </c>
      <c r="AB551" s="24" t="s">
        <v>16</v>
      </c>
      <c r="AC551" s="24" t="s">
        <v>2755</v>
      </c>
    </row>
    <row r="552" spans="1:29" s="828" customFormat="1" ht="15.6" hidden="1">
      <c r="A552" s="824" t="s">
        <v>25</v>
      </c>
      <c r="B552" s="38" t="s">
        <v>25</v>
      </c>
      <c r="C552" s="38" t="s">
        <v>2750</v>
      </c>
      <c r="D552" s="38" t="s">
        <v>2751</v>
      </c>
      <c r="E552" s="38" t="s">
        <v>2752</v>
      </c>
      <c r="F552" s="825">
        <v>707542391</v>
      </c>
      <c r="G552" s="38">
        <v>545094030</v>
      </c>
      <c r="H552" s="24">
        <v>5.8322000000000003</v>
      </c>
      <c r="I552" s="24">
        <v>-5.36043</v>
      </c>
      <c r="J552" s="38" t="s">
        <v>36</v>
      </c>
      <c r="K552" s="24" t="s">
        <v>198</v>
      </c>
      <c r="L552" s="24" t="s">
        <v>894</v>
      </c>
      <c r="M552" s="38" t="s">
        <v>2760</v>
      </c>
      <c r="N552" s="38">
        <v>2150031532</v>
      </c>
      <c r="O552" s="39">
        <v>45878</v>
      </c>
      <c r="P552" s="24">
        <v>1</v>
      </c>
      <c r="Q552" s="39">
        <v>45882</v>
      </c>
      <c r="R552" s="24" t="s">
        <v>192</v>
      </c>
      <c r="S552" s="24"/>
      <c r="T552" s="24">
        <v>0</v>
      </c>
      <c r="U552" s="32">
        <v>45883</v>
      </c>
      <c r="V552" s="38" t="s">
        <v>310</v>
      </c>
      <c r="W552" s="24">
        <v>200</v>
      </c>
      <c r="X552" s="24" t="s">
        <v>32</v>
      </c>
      <c r="Y552" s="38" t="s">
        <v>1521</v>
      </c>
      <c r="Z552" s="410"/>
      <c r="AA552" s="410" t="s">
        <v>532</v>
      </c>
      <c r="AB552" s="410" t="s">
        <v>16</v>
      </c>
      <c r="AC552" s="410" t="s">
        <v>2785</v>
      </c>
    </row>
    <row r="553" spans="1:29" s="639" customFormat="1" ht="15" hidden="1" customHeight="1">
      <c r="A553" s="884" t="s">
        <v>25</v>
      </c>
      <c r="B553" s="821" t="s">
        <v>25</v>
      </c>
      <c r="C553" s="821" t="s">
        <v>2743</v>
      </c>
      <c r="D553" s="821" t="s">
        <v>2744</v>
      </c>
      <c r="E553" s="821" t="s">
        <v>2057</v>
      </c>
      <c r="F553" s="901">
        <v>747007661</v>
      </c>
      <c r="G553" s="821">
        <v>747007661</v>
      </c>
      <c r="H553" s="822">
        <v>5.8490500000000001</v>
      </c>
      <c r="I553" s="822">
        <v>-5.3499600000000003</v>
      </c>
      <c r="J553" s="821" t="s">
        <v>189</v>
      </c>
      <c r="K553" s="822" t="s">
        <v>198</v>
      </c>
      <c r="L553" s="1129" t="s">
        <v>658</v>
      </c>
      <c r="M553" s="821" t="s">
        <v>2762</v>
      </c>
      <c r="N553" s="821">
        <v>2150031530</v>
      </c>
      <c r="O553" s="1179">
        <v>45878</v>
      </c>
      <c r="P553" s="822">
        <v>1</v>
      </c>
      <c r="Q553" s="1196">
        <v>45882</v>
      </c>
      <c r="R553" s="822" t="s">
        <v>192</v>
      </c>
      <c r="S553" s="822"/>
      <c r="T553" s="822">
        <v>0</v>
      </c>
      <c r="U553" s="924">
        <v>45883</v>
      </c>
      <c r="V553" s="821" t="s">
        <v>310</v>
      </c>
      <c r="W553" s="822">
        <v>100</v>
      </c>
      <c r="X553" s="822" t="s">
        <v>32</v>
      </c>
      <c r="Y553" s="823" t="s">
        <v>245</v>
      </c>
      <c r="Z553" s="643"/>
      <c r="AA553" s="683" t="s">
        <v>532</v>
      </c>
      <c r="AB553" s="683" t="s">
        <v>16</v>
      </c>
      <c r="AC553" s="683" t="s">
        <v>2784</v>
      </c>
    </row>
    <row r="554" spans="1:29" s="639" customFormat="1" ht="15" hidden="1" customHeight="1">
      <c r="A554" s="824" t="s">
        <v>25</v>
      </c>
      <c r="B554" s="38" t="s">
        <v>25</v>
      </c>
      <c r="C554" s="38" t="s">
        <v>2745</v>
      </c>
      <c r="D554" s="38" t="s">
        <v>2746</v>
      </c>
      <c r="E554" s="38" t="s">
        <v>145</v>
      </c>
      <c r="F554" s="825">
        <v>758843205</v>
      </c>
      <c r="G554" s="38">
        <v>758843205</v>
      </c>
      <c r="H554" s="24">
        <v>5.8470000000000004</v>
      </c>
      <c r="I554" s="24">
        <v>-5.3587899999999999</v>
      </c>
      <c r="J554" s="38" t="s">
        <v>189</v>
      </c>
      <c r="K554" s="24" t="s">
        <v>190</v>
      </c>
      <c r="L554" s="24" t="s">
        <v>537</v>
      </c>
      <c r="M554" s="38" t="s">
        <v>2764</v>
      </c>
      <c r="N554" s="38">
        <v>2150031526</v>
      </c>
      <c r="O554" s="39">
        <v>45878</v>
      </c>
      <c r="P554" s="24">
        <v>1</v>
      </c>
      <c r="Q554" s="39">
        <v>45882</v>
      </c>
      <c r="R554" s="24" t="s">
        <v>192</v>
      </c>
      <c r="S554" s="24"/>
      <c r="T554" s="24">
        <v>5</v>
      </c>
      <c r="U554" s="32">
        <v>45883</v>
      </c>
      <c r="V554" s="38" t="s">
        <v>310</v>
      </c>
      <c r="W554" s="24">
        <v>500</v>
      </c>
      <c r="X554" s="24" t="s">
        <v>32</v>
      </c>
      <c r="Y554" s="38" t="s">
        <v>578</v>
      </c>
      <c r="Z554" s="246"/>
      <c r="AA554" s="667" t="s">
        <v>532</v>
      </c>
      <c r="AB554" s="667" t="s">
        <v>16</v>
      </c>
      <c r="AC554" s="80" t="s">
        <v>2788</v>
      </c>
    </row>
    <row r="555" spans="1:29" ht="15" hidden="1" customHeight="1">
      <c r="A555" s="824" t="s">
        <v>25</v>
      </c>
      <c r="B555" s="38" t="s">
        <v>25</v>
      </c>
      <c r="C555" s="38" t="s">
        <v>2747</v>
      </c>
      <c r="D555" s="38" t="s">
        <v>2748</v>
      </c>
      <c r="E555" s="38" t="s">
        <v>2749</v>
      </c>
      <c r="F555" s="825">
        <v>768146374</v>
      </c>
      <c r="G555" s="38">
        <v>768146374</v>
      </c>
      <c r="H555" s="24">
        <v>5.8480600000000003</v>
      </c>
      <c r="I555" s="24">
        <v>-5.3509399999999996</v>
      </c>
      <c r="J555" s="38" t="s">
        <v>189</v>
      </c>
      <c r="K555" s="24" t="s">
        <v>198</v>
      </c>
      <c r="L555" s="24" t="s">
        <v>2374</v>
      </c>
      <c r="M555" s="38" t="s">
        <v>2761</v>
      </c>
      <c r="N555" s="829">
        <v>2150000000</v>
      </c>
      <c r="O555" s="39">
        <v>45878</v>
      </c>
      <c r="P555" s="24">
        <v>1</v>
      </c>
      <c r="Q555" s="39">
        <v>45882</v>
      </c>
      <c r="R555" s="24" t="s">
        <v>192</v>
      </c>
      <c r="S555" s="24"/>
      <c r="T555" s="24">
        <v>0</v>
      </c>
      <c r="U555" s="32">
        <v>45883</v>
      </c>
      <c r="V555" s="38" t="s">
        <v>310</v>
      </c>
      <c r="W555" s="24">
        <v>150</v>
      </c>
      <c r="X555" s="24" t="s">
        <v>32</v>
      </c>
      <c r="Y555" s="38" t="s">
        <v>245</v>
      </c>
      <c r="Z555" s="2"/>
      <c r="AA555" s="410" t="s">
        <v>532</v>
      </c>
      <c r="AB555" s="410" t="s">
        <v>16</v>
      </c>
      <c r="AC555" s="410" t="s">
        <v>2795</v>
      </c>
    </row>
    <row r="556" spans="1:29" ht="15" hidden="1" customHeight="1">
      <c r="A556" s="885" t="s">
        <v>25</v>
      </c>
      <c r="B556" s="94" t="s">
        <v>25</v>
      </c>
      <c r="C556" s="892" t="s">
        <v>2775</v>
      </c>
      <c r="D556" s="892" t="s">
        <v>2776</v>
      </c>
      <c r="E556" s="892" t="s">
        <v>1591</v>
      </c>
      <c r="F556" s="892">
        <v>171307272</v>
      </c>
      <c r="G556" s="892">
        <v>171307272</v>
      </c>
      <c r="H556" s="410">
        <v>5.8492699999999997</v>
      </c>
      <c r="I556" s="410">
        <v>-5.3513400000000004</v>
      </c>
      <c r="J556" s="408" t="s">
        <v>189</v>
      </c>
      <c r="K556" s="410" t="s">
        <v>198</v>
      </c>
      <c r="L556" s="410" t="s">
        <v>1962</v>
      </c>
      <c r="M556" s="410" t="s">
        <v>2786</v>
      </c>
      <c r="N556" s="410">
        <v>2150027335</v>
      </c>
      <c r="O556" s="892" t="s">
        <v>2782</v>
      </c>
      <c r="P556" s="410"/>
      <c r="Q556" s="892" t="s">
        <v>2783</v>
      </c>
      <c r="R556" s="410" t="s">
        <v>192</v>
      </c>
      <c r="S556" s="410"/>
      <c r="T556" s="410">
        <v>5</v>
      </c>
      <c r="U556" s="414">
        <v>45885</v>
      </c>
      <c r="V556" s="408" t="s">
        <v>310</v>
      </c>
      <c r="W556" s="410">
        <v>600</v>
      </c>
      <c r="X556" s="410" t="s">
        <v>32</v>
      </c>
      <c r="Y556" s="410" t="s">
        <v>343</v>
      </c>
      <c r="Z556" s="2"/>
      <c r="AA556" s="410" t="s">
        <v>532</v>
      </c>
      <c r="AB556" s="410" t="s">
        <v>16</v>
      </c>
      <c r="AC556" s="410" t="s">
        <v>2794</v>
      </c>
    </row>
    <row r="557" spans="1:29" ht="15" hidden="1" customHeight="1">
      <c r="A557" s="885" t="s">
        <v>25</v>
      </c>
      <c r="B557" s="94" t="s">
        <v>25</v>
      </c>
      <c r="C557" s="892" t="s">
        <v>2780</v>
      </c>
      <c r="D557" s="892" t="s">
        <v>2781</v>
      </c>
      <c r="E557" s="892" t="s">
        <v>157</v>
      </c>
      <c r="F557" s="892">
        <v>507707587</v>
      </c>
      <c r="G557" s="892">
        <v>507707587</v>
      </c>
      <c r="H557" s="410">
        <v>5.8390300000000002</v>
      </c>
      <c r="I557" s="410">
        <v>-5.3672899999999997</v>
      </c>
      <c r="J557" s="410" t="s">
        <v>36</v>
      </c>
      <c r="K557" s="410" t="s">
        <v>190</v>
      </c>
      <c r="L557" s="410" t="s">
        <v>276</v>
      </c>
      <c r="M557" s="653" t="s">
        <v>2787</v>
      </c>
      <c r="N557" s="653">
        <v>2150031527</v>
      </c>
      <c r="O557" s="892" t="s">
        <v>2782</v>
      </c>
      <c r="P557" s="410"/>
      <c r="Q557" s="892" t="s">
        <v>2783</v>
      </c>
      <c r="R557" s="410" t="s">
        <v>192</v>
      </c>
      <c r="S557" s="410"/>
      <c r="T557" s="410">
        <v>0</v>
      </c>
      <c r="U557" s="414">
        <v>45885</v>
      </c>
      <c r="V557" s="408" t="s">
        <v>310</v>
      </c>
      <c r="W557" s="410">
        <v>200</v>
      </c>
      <c r="X557" s="410" t="s">
        <v>32</v>
      </c>
      <c r="Y557" s="410" t="s">
        <v>533</v>
      </c>
      <c r="Z557" s="495"/>
      <c r="AA557" s="678" t="s">
        <v>532</v>
      </c>
      <c r="AB557" s="678" t="s">
        <v>16</v>
      </c>
      <c r="AC557" s="495" t="s">
        <v>2831</v>
      </c>
    </row>
    <row r="558" spans="1:29" s="639" customFormat="1" ht="15" hidden="1" customHeight="1">
      <c r="A558" s="669" t="s">
        <v>25</v>
      </c>
      <c r="B558" s="667" t="s">
        <v>25</v>
      </c>
      <c r="C558" s="668" t="s">
        <v>2773</v>
      </c>
      <c r="D558" s="668" t="s">
        <v>2774</v>
      </c>
      <c r="E558" s="668" t="s">
        <v>1629</v>
      </c>
      <c r="F558" s="668">
        <v>703494545</v>
      </c>
      <c r="G558" s="668">
        <v>101010959</v>
      </c>
      <c r="H558" s="363">
        <v>5.8363699999999996</v>
      </c>
      <c r="I558" s="363">
        <v>-5.3670900000000001</v>
      </c>
      <c r="J558" s="668" t="s">
        <v>36</v>
      </c>
      <c r="K558" s="80" t="s">
        <v>203</v>
      </c>
      <c r="L558" s="80" t="s">
        <v>1661</v>
      </c>
      <c r="M558" s="791" t="s">
        <v>2789</v>
      </c>
      <c r="N558" s="791">
        <v>2150031528</v>
      </c>
      <c r="O558" s="671">
        <v>45880</v>
      </c>
      <c r="P558" s="81">
        <f ca="1">TODAY()-Q558</f>
        <v>186</v>
      </c>
      <c r="Q558" s="671">
        <v>45883</v>
      </c>
      <c r="R558" s="667" t="s">
        <v>192</v>
      </c>
      <c r="S558" s="667"/>
      <c r="T558" s="667">
        <v>3</v>
      </c>
      <c r="U558" s="670">
        <v>45888</v>
      </c>
      <c r="V558" s="667" t="s">
        <v>310</v>
      </c>
      <c r="W558" s="667">
        <v>400</v>
      </c>
      <c r="X558" s="667" t="s">
        <v>32</v>
      </c>
      <c r="Y558" s="246" t="s">
        <v>245</v>
      </c>
      <c r="Z558" s="495"/>
      <c r="AA558" s="678" t="s">
        <v>532</v>
      </c>
      <c r="AB558" s="678" t="s">
        <v>16</v>
      </c>
      <c r="AC558" s="495" t="s">
        <v>2833</v>
      </c>
    </row>
    <row r="559" spans="1:29" s="639" customFormat="1" ht="15" hidden="1" customHeight="1">
      <c r="A559" s="672" t="s">
        <v>25</v>
      </c>
      <c r="B559" s="409" t="s">
        <v>25</v>
      </c>
      <c r="C559" s="651" t="s">
        <v>2790</v>
      </c>
      <c r="D559" s="651" t="s">
        <v>2791</v>
      </c>
      <c r="E559" s="651" t="s">
        <v>110</v>
      </c>
      <c r="F559" s="651">
        <v>759487496</v>
      </c>
      <c r="G559" s="651">
        <v>140239008</v>
      </c>
      <c r="H559" s="410">
        <v>5.8441700000000001</v>
      </c>
      <c r="I559" s="410">
        <v>-5.3447300000000002</v>
      </c>
      <c r="J559" s="651" t="s">
        <v>189</v>
      </c>
      <c r="K559" s="410" t="s">
        <v>274</v>
      </c>
      <c r="L559" s="410" t="s">
        <v>2411</v>
      </c>
      <c r="M559" s="410" t="s">
        <v>2796</v>
      </c>
      <c r="N559" s="410">
        <v>2150027339</v>
      </c>
      <c r="O559" s="673">
        <v>45887</v>
      </c>
      <c r="P559" s="502">
        <f ca="1">TODAY()-Q559</f>
        <v>180</v>
      </c>
      <c r="Q559" s="673">
        <v>45889</v>
      </c>
      <c r="R559" s="409" t="s">
        <v>192</v>
      </c>
      <c r="S559" s="410"/>
      <c r="T559" s="410">
        <v>0</v>
      </c>
      <c r="U559" s="414">
        <v>45889</v>
      </c>
      <c r="V559" s="410" t="s">
        <v>310</v>
      </c>
      <c r="W559" s="410">
        <v>300</v>
      </c>
      <c r="X559" s="409" t="s">
        <v>32</v>
      </c>
      <c r="Y559" s="2" t="s">
        <v>343</v>
      </c>
      <c r="Z559" s="495"/>
      <c r="AA559" s="678" t="s">
        <v>532</v>
      </c>
      <c r="AB559" s="678" t="s">
        <v>16</v>
      </c>
      <c r="AC559" s="495" t="s">
        <v>2827</v>
      </c>
    </row>
    <row r="560" spans="1:29" s="639" customFormat="1" ht="15" hidden="1" customHeight="1">
      <c r="A560" s="672" t="s">
        <v>25</v>
      </c>
      <c r="B560" s="409" t="s">
        <v>25</v>
      </c>
      <c r="C560" s="651" t="s">
        <v>2792</v>
      </c>
      <c r="D560" s="651" t="s">
        <v>2793</v>
      </c>
      <c r="E560" s="651" t="s">
        <v>41</v>
      </c>
      <c r="F560" s="651">
        <v>709738099</v>
      </c>
      <c r="G560" s="651">
        <v>101262680</v>
      </c>
      <c r="H560" s="410">
        <v>5.8418299999999999</v>
      </c>
      <c r="I560" s="410">
        <v>-5.3480800000000004</v>
      </c>
      <c r="J560" s="651" t="s">
        <v>189</v>
      </c>
      <c r="K560" s="410" t="s">
        <v>203</v>
      </c>
      <c r="L560" s="410" t="s">
        <v>638</v>
      </c>
      <c r="M560" s="410" t="s">
        <v>2797</v>
      </c>
      <c r="N560" s="410">
        <v>2150031529</v>
      </c>
      <c r="O560" s="673">
        <v>45887</v>
      </c>
      <c r="P560" s="502">
        <f ca="1">TODAY()-Q560</f>
        <v>180</v>
      </c>
      <c r="Q560" s="673">
        <v>45889</v>
      </c>
      <c r="R560" s="409" t="s">
        <v>192</v>
      </c>
      <c r="S560" s="410"/>
      <c r="T560" s="410">
        <v>0</v>
      </c>
      <c r="U560" s="414">
        <v>45889</v>
      </c>
      <c r="V560" s="410" t="s">
        <v>310</v>
      </c>
      <c r="W560" s="410">
        <v>400</v>
      </c>
      <c r="X560" s="409" t="s">
        <v>32</v>
      </c>
      <c r="Y560" s="2" t="s">
        <v>1521</v>
      </c>
      <c r="Z560" s="495"/>
      <c r="AA560" s="678" t="s">
        <v>532</v>
      </c>
      <c r="AB560" s="678" t="s">
        <v>16</v>
      </c>
      <c r="AC560" s="495" t="s">
        <v>2828</v>
      </c>
    </row>
    <row r="561" spans="1:29" s="639" customFormat="1" ht="15" hidden="1" customHeight="1">
      <c r="A561" s="677" t="s">
        <v>25</v>
      </c>
      <c r="B561" s="499" t="s">
        <v>25</v>
      </c>
      <c r="C561" s="888" t="s">
        <v>2808</v>
      </c>
      <c r="D561" s="888" t="s">
        <v>2809</v>
      </c>
      <c r="E561" s="888" t="s">
        <v>2810</v>
      </c>
      <c r="F561" s="888">
        <v>707202627</v>
      </c>
      <c r="G561" s="888">
        <v>707621569</v>
      </c>
      <c r="H561" s="495">
        <v>5.8377600000000003</v>
      </c>
      <c r="I561" s="495">
        <v>-5.3617699999999999</v>
      </c>
      <c r="J561" s="888" t="s">
        <v>36</v>
      </c>
      <c r="K561" s="495" t="s">
        <v>203</v>
      </c>
      <c r="L561" s="495" t="s">
        <v>2830</v>
      </c>
      <c r="M561" s="495" t="s">
        <v>2835</v>
      </c>
      <c r="N561" s="495">
        <v>2150027338</v>
      </c>
      <c r="O561" s="888" t="s">
        <v>2811</v>
      </c>
      <c r="P561" s="495"/>
      <c r="Q561" s="888" t="s">
        <v>2807</v>
      </c>
      <c r="R561" s="499" t="s">
        <v>192</v>
      </c>
      <c r="S561" s="678"/>
      <c r="T561" s="678">
        <v>0</v>
      </c>
      <c r="U561" s="496">
        <v>45891</v>
      </c>
      <c r="V561" s="679" t="s">
        <v>310</v>
      </c>
      <c r="W561" s="678">
        <v>100</v>
      </c>
      <c r="X561" s="679" t="s">
        <v>32</v>
      </c>
      <c r="Y561" s="495" t="s">
        <v>193</v>
      </c>
      <c r="Z561" s="495"/>
      <c r="AA561" s="678" t="s">
        <v>532</v>
      </c>
      <c r="AB561" s="678" t="s">
        <v>16</v>
      </c>
      <c r="AC561" s="495" t="s">
        <v>2832</v>
      </c>
    </row>
    <row r="562" spans="1:29" s="639" customFormat="1" ht="15" hidden="1" customHeight="1">
      <c r="A562" s="677" t="s">
        <v>25</v>
      </c>
      <c r="B562" s="499" t="s">
        <v>25</v>
      </c>
      <c r="C562" s="888" t="s">
        <v>2820</v>
      </c>
      <c r="D562" s="888" t="s">
        <v>2821</v>
      </c>
      <c r="E562" s="888" t="s">
        <v>2274</v>
      </c>
      <c r="F562" s="888">
        <v>709492840</v>
      </c>
      <c r="G562" s="888">
        <v>709492840</v>
      </c>
      <c r="H562" s="495">
        <v>5.8364700000000003</v>
      </c>
      <c r="I562" s="495">
        <v>-5.3601000000000001</v>
      </c>
      <c r="J562" s="888" t="s">
        <v>36</v>
      </c>
      <c r="K562" s="495" t="s">
        <v>198</v>
      </c>
      <c r="L562" s="495" t="s">
        <v>581</v>
      </c>
      <c r="M562" s="495" t="s">
        <v>2834</v>
      </c>
      <c r="N562" s="495">
        <v>2150027336</v>
      </c>
      <c r="O562" s="888" t="s">
        <v>2817</v>
      </c>
      <c r="P562" s="495"/>
      <c r="Q562" s="888" t="s">
        <v>2807</v>
      </c>
      <c r="R562" s="499" t="s">
        <v>192</v>
      </c>
      <c r="S562" s="678"/>
      <c r="T562" s="678">
        <v>0</v>
      </c>
      <c r="U562" s="496">
        <v>45891</v>
      </c>
      <c r="V562" s="679" t="s">
        <v>310</v>
      </c>
      <c r="W562" s="678">
        <v>100</v>
      </c>
      <c r="X562" s="679" t="s">
        <v>32</v>
      </c>
      <c r="Y562" s="495" t="s">
        <v>533</v>
      </c>
      <c r="Z562" s="495"/>
      <c r="AA562" s="678" t="s">
        <v>532</v>
      </c>
      <c r="AB562" s="678" t="s">
        <v>16</v>
      </c>
      <c r="AC562" s="495" t="s">
        <v>2829</v>
      </c>
    </row>
    <row r="563" spans="1:29" s="639" customFormat="1" ht="15" hidden="1" customHeight="1">
      <c r="A563" s="677" t="s">
        <v>25</v>
      </c>
      <c r="B563" s="499" t="s">
        <v>25</v>
      </c>
      <c r="C563" s="888" t="s">
        <v>2822</v>
      </c>
      <c r="D563" s="888" t="s">
        <v>2823</v>
      </c>
      <c r="E563" s="888" t="s">
        <v>35</v>
      </c>
      <c r="F563" s="888">
        <v>758036305</v>
      </c>
      <c r="G563" s="888">
        <v>544369918</v>
      </c>
      <c r="H563" s="495">
        <v>5.8400800000000004</v>
      </c>
      <c r="I563" s="495">
        <v>-5.36043</v>
      </c>
      <c r="J563" s="888" t="s">
        <v>36</v>
      </c>
      <c r="K563" s="495" t="s">
        <v>190</v>
      </c>
      <c r="L563" s="495" t="s">
        <v>276</v>
      </c>
      <c r="M563" s="830" t="s">
        <v>2836</v>
      </c>
      <c r="N563" s="830">
        <v>2150027340</v>
      </c>
      <c r="O563" s="888" t="s">
        <v>2806</v>
      </c>
      <c r="P563" s="495"/>
      <c r="Q563" s="888" t="s">
        <v>2807</v>
      </c>
      <c r="R563" s="499" t="s">
        <v>192</v>
      </c>
      <c r="S563" s="678"/>
      <c r="T563" s="678">
        <v>1</v>
      </c>
      <c r="U563" s="496">
        <v>45892</v>
      </c>
      <c r="V563" s="679" t="s">
        <v>310</v>
      </c>
      <c r="W563" s="678">
        <v>200</v>
      </c>
      <c r="X563" s="679" t="s">
        <v>32</v>
      </c>
      <c r="Y563" s="495" t="s">
        <v>578</v>
      </c>
      <c r="Z563" s="419"/>
      <c r="AA563" s="241" t="s">
        <v>532</v>
      </c>
      <c r="AB563" s="241" t="s">
        <v>16</v>
      </c>
      <c r="AC563" s="419" t="s">
        <v>2847</v>
      </c>
    </row>
    <row r="564" spans="1:29" s="641" customFormat="1" ht="15" hidden="1" customHeight="1">
      <c r="A564" s="677" t="s">
        <v>25</v>
      </c>
      <c r="B564" s="499" t="s">
        <v>25</v>
      </c>
      <c r="C564" s="888" t="s">
        <v>2804</v>
      </c>
      <c r="D564" s="888" t="s">
        <v>2805</v>
      </c>
      <c r="E564" s="888" t="s">
        <v>35</v>
      </c>
      <c r="F564" s="888">
        <v>777613076</v>
      </c>
      <c r="G564" s="888">
        <v>777613076</v>
      </c>
      <c r="H564" s="495">
        <v>5.8427199999999999</v>
      </c>
      <c r="I564" s="495">
        <v>-5.3594400000000002</v>
      </c>
      <c r="J564" s="888" t="s">
        <v>36</v>
      </c>
      <c r="K564" s="495" t="s">
        <v>190</v>
      </c>
      <c r="L564" s="495" t="s">
        <v>276</v>
      </c>
      <c r="M564" s="830" t="s">
        <v>2837</v>
      </c>
      <c r="N564" s="830">
        <v>2150027341</v>
      </c>
      <c r="O564" s="888" t="s">
        <v>2806</v>
      </c>
      <c r="P564" s="495"/>
      <c r="Q564" s="888" t="s">
        <v>2807</v>
      </c>
      <c r="R564" s="499" t="s">
        <v>192</v>
      </c>
      <c r="S564" s="678"/>
      <c r="T564" s="678">
        <v>3</v>
      </c>
      <c r="U564" s="496">
        <v>45892</v>
      </c>
      <c r="V564" s="679" t="s">
        <v>310</v>
      </c>
      <c r="W564" s="678">
        <v>300</v>
      </c>
      <c r="X564" s="679" t="s">
        <v>32</v>
      </c>
      <c r="Y564" s="495" t="s">
        <v>627</v>
      </c>
      <c r="Z564" s="419"/>
      <c r="AA564" s="241" t="s">
        <v>532</v>
      </c>
      <c r="AB564" s="241" t="s">
        <v>16</v>
      </c>
      <c r="AC564" s="419" t="s">
        <v>2848</v>
      </c>
    </row>
    <row r="565" spans="1:29" s="641" customFormat="1" ht="15" hidden="1" customHeight="1">
      <c r="A565" s="677" t="s">
        <v>25</v>
      </c>
      <c r="B565" s="499" t="s">
        <v>25</v>
      </c>
      <c r="C565" s="888" t="s">
        <v>2812</v>
      </c>
      <c r="D565" s="888" t="s">
        <v>2813</v>
      </c>
      <c r="E565" s="888" t="s">
        <v>289</v>
      </c>
      <c r="F565" s="888">
        <v>702093462</v>
      </c>
      <c r="G565" s="888">
        <v>574092852</v>
      </c>
      <c r="H565" s="495">
        <v>5.8344800000000001</v>
      </c>
      <c r="I565" s="495">
        <v>-5.35243</v>
      </c>
      <c r="J565" s="888" t="s">
        <v>189</v>
      </c>
      <c r="K565" s="495" t="s">
        <v>190</v>
      </c>
      <c r="L565" s="495" t="s">
        <v>1353</v>
      </c>
      <c r="M565" s="830" t="s">
        <v>2839</v>
      </c>
      <c r="N565" s="830">
        <v>2150027337</v>
      </c>
      <c r="O565" s="888" t="s">
        <v>2811</v>
      </c>
      <c r="P565" s="495"/>
      <c r="Q565" s="888" t="s">
        <v>2807</v>
      </c>
      <c r="R565" s="499" t="s">
        <v>192</v>
      </c>
      <c r="S565" s="678"/>
      <c r="T565" s="678">
        <v>2</v>
      </c>
      <c r="U565" s="496">
        <v>45892</v>
      </c>
      <c r="V565" s="679" t="s">
        <v>310</v>
      </c>
      <c r="W565" s="678">
        <v>200</v>
      </c>
      <c r="X565" s="679" t="s">
        <v>32</v>
      </c>
      <c r="Y565" s="495" t="s">
        <v>578</v>
      </c>
      <c r="Z565" s="419"/>
      <c r="AA565" s="241" t="s">
        <v>532</v>
      </c>
      <c r="AB565" s="418" t="s">
        <v>16</v>
      </c>
      <c r="AC565" s="419" t="s">
        <v>2803</v>
      </c>
    </row>
    <row r="566" spans="1:29" s="639" customFormat="1" ht="15" hidden="1" customHeight="1">
      <c r="A566" s="677" t="s">
        <v>25</v>
      </c>
      <c r="B566" s="499" t="s">
        <v>25</v>
      </c>
      <c r="C566" s="888" t="s">
        <v>2814</v>
      </c>
      <c r="D566" s="888" t="s">
        <v>2815</v>
      </c>
      <c r="E566" s="888" t="s">
        <v>2816</v>
      </c>
      <c r="F566" s="888">
        <v>171318844</v>
      </c>
      <c r="G566" s="888">
        <v>171318844</v>
      </c>
      <c r="H566" s="495">
        <v>5.84938</v>
      </c>
      <c r="I566" s="495">
        <v>-5.3499600000000003</v>
      </c>
      <c r="J566" s="888" t="s">
        <v>189</v>
      </c>
      <c r="K566" s="495" t="s">
        <v>198</v>
      </c>
      <c r="L566" s="495" t="s">
        <v>712</v>
      </c>
      <c r="M566" s="830" t="s">
        <v>2838</v>
      </c>
      <c r="N566" s="830">
        <v>2150027342</v>
      </c>
      <c r="O566" s="888" t="s">
        <v>2817</v>
      </c>
      <c r="P566" s="495"/>
      <c r="Q566" s="888" t="s">
        <v>2807</v>
      </c>
      <c r="R566" s="499" t="s">
        <v>192</v>
      </c>
      <c r="S566" s="678"/>
      <c r="T566" s="678">
        <v>1</v>
      </c>
      <c r="U566" s="496">
        <v>45892</v>
      </c>
      <c r="V566" s="679" t="s">
        <v>310</v>
      </c>
      <c r="W566" s="678">
        <v>150</v>
      </c>
      <c r="X566" s="679" t="s">
        <v>32</v>
      </c>
      <c r="Y566" s="495" t="s">
        <v>245</v>
      </c>
      <c r="Z566" s="419"/>
      <c r="AA566" s="241" t="s">
        <v>532</v>
      </c>
      <c r="AB566" s="509" t="s">
        <v>16</v>
      </c>
      <c r="AC566" s="419" t="s">
        <v>2851</v>
      </c>
    </row>
    <row r="567" spans="1:29" s="641" customFormat="1" ht="15" hidden="1" customHeight="1">
      <c r="A567" s="680" t="s">
        <v>25</v>
      </c>
      <c r="B567" s="418" t="s">
        <v>25</v>
      </c>
      <c r="C567" s="681" t="s">
        <v>2841</v>
      </c>
      <c r="D567" s="681" t="s">
        <v>2842</v>
      </c>
      <c r="E567" s="681" t="s">
        <v>2843</v>
      </c>
      <c r="F567" s="681">
        <v>707452556</v>
      </c>
      <c r="G567" s="681">
        <v>101355786</v>
      </c>
      <c r="H567" s="419">
        <v>5.84131</v>
      </c>
      <c r="I567" s="419">
        <v>-5.3666499999999999</v>
      </c>
      <c r="J567" s="681" t="s">
        <v>36</v>
      </c>
      <c r="K567" s="419" t="s">
        <v>203</v>
      </c>
      <c r="L567" s="419" t="s">
        <v>1132</v>
      </c>
      <c r="M567" s="650" t="s">
        <v>2849</v>
      </c>
      <c r="N567" s="650">
        <v>2150027325</v>
      </c>
      <c r="O567" s="682">
        <v>45881</v>
      </c>
      <c r="P567" s="419"/>
      <c r="Q567" s="682">
        <v>45882</v>
      </c>
      <c r="R567" s="78" t="s">
        <v>192</v>
      </c>
      <c r="S567" s="419"/>
      <c r="T567" s="419">
        <v>0</v>
      </c>
      <c r="U567" s="424">
        <v>45894</v>
      </c>
      <c r="V567" s="575" t="s">
        <v>310</v>
      </c>
      <c r="W567" s="419">
        <v>350</v>
      </c>
      <c r="X567" s="575" t="s">
        <v>32</v>
      </c>
      <c r="Y567" s="419" t="s">
        <v>627</v>
      </c>
      <c r="Z567" s="438"/>
      <c r="AA567" s="438" t="s">
        <v>532</v>
      </c>
      <c r="AB567" s="438" t="s">
        <v>16</v>
      </c>
      <c r="AC567" s="438" t="s">
        <v>2855</v>
      </c>
    </row>
    <row r="568" spans="1:29" s="639" customFormat="1" ht="15" hidden="1" customHeight="1">
      <c r="A568" s="680" t="s">
        <v>25</v>
      </c>
      <c r="B568" s="418" t="s">
        <v>25</v>
      </c>
      <c r="C568" s="681" t="s">
        <v>2844</v>
      </c>
      <c r="D568" s="681" t="s">
        <v>2845</v>
      </c>
      <c r="E568" s="681" t="s">
        <v>2846</v>
      </c>
      <c r="F568" s="681">
        <v>788448293</v>
      </c>
      <c r="G568" s="681">
        <v>788448293</v>
      </c>
      <c r="H568" s="419">
        <v>5.83195</v>
      </c>
      <c r="I568" s="419">
        <v>-5.3605200000000002</v>
      </c>
      <c r="J568" s="681" t="s">
        <v>36</v>
      </c>
      <c r="K568" s="419" t="s">
        <v>198</v>
      </c>
      <c r="L568" s="419" t="s">
        <v>1479</v>
      </c>
      <c r="M568" s="419" t="s">
        <v>2850</v>
      </c>
      <c r="N568" s="419">
        <v>2150027334</v>
      </c>
      <c r="O568" s="682">
        <v>45883</v>
      </c>
      <c r="P568" s="419"/>
      <c r="Q568" s="682">
        <v>45884</v>
      </c>
      <c r="R568" s="78" t="s">
        <v>192</v>
      </c>
      <c r="S568" s="419"/>
      <c r="T568" s="419">
        <v>2</v>
      </c>
      <c r="U568" s="424">
        <v>45894</v>
      </c>
      <c r="V568" s="575" t="s">
        <v>310</v>
      </c>
      <c r="W568" s="419">
        <v>250</v>
      </c>
      <c r="X568" s="575" t="s">
        <v>32</v>
      </c>
      <c r="Y568" s="419" t="s">
        <v>533</v>
      </c>
      <c r="Z568" s="438"/>
      <c r="AA568" s="438" t="s">
        <v>532</v>
      </c>
      <c r="AB568" s="438" t="s">
        <v>16</v>
      </c>
      <c r="AC568" s="438" t="s">
        <v>2865</v>
      </c>
    </row>
    <row r="569" spans="1:29" s="639" customFormat="1" ht="15" hidden="1" customHeight="1">
      <c r="A569" s="1077" t="s">
        <v>25</v>
      </c>
      <c r="B569" s="778" t="s">
        <v>25</v>
      </c>
      <c r="C569" s="1103" t="s">
        <v>2778</v>
      </c>
      <c r="D569" s="1103" t="s">
        <v>902</v>
      </c>
      <c r="E569" s="1113" t="s">
        <v>2779</v>
      </c>
      <c r="F569" s="1103">
        <v>709320701</v>
      </c>
      <c r="G569" s="1103">
        <v>709320701</v>
      </c>
      <c r="H569" s="776">
        <v>5.83948</v>
      </c>
      <c r="I569" s="776">
        <v>-5.35684</v>
      </c>
      <c r="J569" s="776" t="s">
        <v>36</v>
      </c>
      <c r="K569" s="776" t="s">
        <v>190</v>
      </c>
      <c r="L569" s="776" t="s">
        <v>2802</v>
      </c>
      <c r="M569" s="776" t="s">
        <v>2854</v>
      </c>
      <c r="N569" s="776">
        <v>2150027330</v>
      </c>
      <c r="O569" s="1103" t="s">
        <v>2782</v>
      </c>
      <c r="P569" s="835">
        <f ca="1">TODAY()-Q569</f>
        <v>185</v>
      </c>
      <c r="Q569" s="1103" t="s">
        <v>2783</v>
      </c>
      <c r="R569" s="776" t="s">
        <v>2468</v>
      </c>
      <c r="S569" s="776"/>
      <c r="T569" s="776">
        <v>1</v>
      </c>
      <c r="U569" s="779">
        <v>45894</v>
      </c>
      <c r="V569" s="1226" t="s">
        <v>310</v>
      </c>
      <c r="W569" s="776">
        <v>250</v>
      </c>
      <c r="X569" s="776" t="s">
        <v>32</v>
      </c>
      <c r="Y569" s="776"/>
      <c r="Z569" s="775"/>
      <c r="AA569" s="782" t="s">
        <v>532</v>
      </c>
      <c r="AB569" s="782" t="s">
        <v>16</v>
      </c>
      <c r="AC569" s="775" t="s">
        <v>2866</v>
      </c>
    </row>
    <row r="570" spans="1:29" s="639" customFormat="1" ht="15" hidden="1" customHeight="1">
      <c r="A570" s="680" t="s">
        <v>25</v>
      </c>
      <c r="B570" s="418" t="s">
        <v>25</v>
      </c>
      <c r="C570" s="831" t="s">
        <v>2824</v>
      </c>
      <c r="D570" s="831" t="s">
        <v>2825</v>
      </c>
      <c r="E570" s="831" t="s">
        <v>2826</v>
      </c>
      <c r="F570" s="831">
        <v>171250798</v>
      </c>
      <c r="G570" s="831">
        <v>504702697</v>
      </c>
      <c r="H570" s="419">
        <v>5.85161</v>
      </c>
      <c r="I570" s="419">
        <v>-5.3568300000000004</v>
      </c>
      <c r="J570" s="831" t="s">
        <v>189</v>
      </c>
      <c r="K570" s="419" t="s">
        <v>198</v>
      </c>
      <c r="L570" s="419" t="s">
        <v>1307</v>
      </c>
      <c r="M570" s="419" t="s">
        <v>2852</v>
      </c>
      <c r="N570" s="419">
        <v>2150027332</v>
      </c>
      <c r="O570" s="831" t="s">
        <v>2806</v>
      </c>
      <c r="P570" s="419"/>
      <c r="Q570" s="831" t="s">
        <v>2807</v>
      </c>
      <c r="R570" s="418" t="s">
        <v>192</v>
      </c>
      <c r="S570" s="509"/>
      <c r="T570" s="509">
        <v>0</v>
      </c>
      <c r="U570" s="424">
        <v>45894</v>
      </c>
      <c r="V570" s="575" t="s">
        <v>310</v>
      </c>
      <c r="W570" s="509">
        <v>150</v>
      </c>
      <c r="X570" s="575" t="s">
        <v>32</v>
      </c>
      <c r="Y570" s="419" t="s">
        <v>533</v>
      </c>
      <c r="Z570" s="449"/>
      <c r="AA570" s="698" t="s">
        <v>532</v>
      </c>
      <c r="AB570" s="698" t="s">
        <v>16</v>
      </c>
      <c r="AC570" s="449" t="s">
        <v>2879</v>
      </c>
    </row>
    <row r="571" spans="1:29" s="639" customFormat="1" ht="15" hidden="1" customHeight="1">
      <c r="A571" s="438" t="s">
        <v>25</v>
      </c>
      <c r="B571" s="438" t="s">
        <v>25</v>
      </c>
      <c r="C571" s="438" t="s">
        <v>2778</v>
      </c>
      <c r="D571" s="438" t="s">
        <v>902</v>
      </c>
      <c r="E571" s="363" t="s">
        <v>2779</v>
      </c>
      <c r="F571" s="902">
        <v>709000000</v>
      </c>
      <c r="G571" s="438">
        <v>709320701</v>
      </c>
      <c r="H571" s="438">
        <v>5.8394599999999999</v>
      </c>
      <c r="I571" s="438">
        <v>-5.3568300000000004</v>
      </c>
      <c r="J571" s="438" t="s">
        <v>36</v>
      </c>
      <c r="K571" s="438" t="s">
        <v>190</v>
      </c>
      <c r="L571" s="438" t="s">
        <v>2853</v>
      </c>
      <c r="M571" s="438" t="s">
        <v>2854</v>
      </c>
      <c r="N571" s="438">
        <v>2150027330</v>
      </c>
      <c r="O571" s="441">
        <v>45882</v>
      </c>
      <c r="P571" s="438"/>
      <c r="Q571" s="441">
        <v>45884</v>
      </c>
      <c r="R571" s="438" t="s">
        <v>2641</v>
      </c>
      <c r="S571" s="438"/>
      <c r="T571" s="438">
        <v>0</v>
      </c>
      <c r="U571" s="441">
        <v>45895</v>
      </c>
      <c r="V571" s="438" t="s">
        <v>310</v>
      </c>
      <c r="W571" s="438"/>
      <c r="X571" s="438" t="s">
        <v>32</v>
      </c>
      <c r="Y571" s="438" t="s">
        <v>193</v>
      </c>
      <c r="Z571" s="449"/>
      <c r="AA571" s="698" t="s">
        <v>532</v>
      </c>
      <c r="AB571" s="698" t="s">
        <v>16</v>
      </c>
      <c r="AC571" s="449" t="s">
        <v>2878</v>
      </c>
    </row>
    <row r="572" spans="1:29" s="639" customFormat="1" ht="15" hidden="1" customHeight="1">
      <c r="A572" s="438" t="s">
        <v>25</v>
      </c>
      <c r="B572" s="438" t="s">
        <v>25</v>
      </c>
      <c r="C572" s="889" t="s">
        <v>2863</v>
      </c>
      <c r="D572" s="889" t="s">
        <v>2864</v>
      </c>
      <c r="E572" s="889" t="s">
        <v>363</v>
      </c>
      <c r="F572" s="889">
        <v>749176467</v>
      </c>
      <c r="G572" s="889">
        <v>545131056</v>
      </c>
      <c r="H572" s="438">
        <v>5.8385100000000003</v>
      </c>
      <c r="I572" s="438">
        <v>-5.3568100000000003</v>
      </c>
      <c r="J572" s="889" t="s">
        <v>36</v>
      </c>
      <c r="K572" s="438" t="s">
        <v>198</v>
      </c>
      <c r="L572" s="438" t="s">
        <v>581</v>
      </c>
      <c r="M572" s="438" t="s">
        <v>2868</v>
      </c>
      <c r="N572" s="438">
        <v>2150027328</v>
      </c>
      <c r="O572" s="889" t="s">
        <v>2856</v>
      </c>
      <c r="P572" s="438"/>
      <c r="Q572" s="889" t="s">
        <v>2857</v>
      </c>
      <c r="R572" s="443" t="s">
        <v>192</v>
      </c>
      <c r="S572" s="438"/>
      <c r="T572" s="438">
        <v>0</v>
      </c>
      <c r="U572" s="441">
        <v>45895</v>
      </c>
      <c r="V572" s="522" t="s">
        <v>310</v>
      </c>
      <c r="W572" s="438">
        <v>150</v>
      </c>
      <c r="X572" s="522" t="s">
        <v>32</v>
      </c>
      <c r="Y572" s="438" t="s">
        <v>578</v>
      </c>
      <c r="Z572" s="246"/>
      <c r="AA572" s="691" t="s">
        <v>532</v>
      </c>
      <c r="AB572" s="689" t="s">
        <v>16</v>
      </c>
      <c r="AC572" s="689" t="s">
        <v>2887</v>
      </c>
    </row>
    <row r="573" spans="1:29" ht="15" hidden="1" customHeight="1">
      <c r="A573" s="1076" t="s">
        <v>25</v>
      </c>
      <c r="B573" s="1076" t="s">
        <v>25</v>
      </c>
      <c r="C573" s="1102" t="s">
        <v>2871</v>
      </c>
      <c r="D573" s="1102" t="s">
        <v>2872</v>
      </c>
      <c r="E573" s="1102" t="s">
        <v>549</v>
      </c>
      <c r="F573" s="1102">
        <v>565172947</v>
      </c>
      <c r="G573" s="1102">
        <v>565172947</v>
      </c>
      <c r="H573" s="1076">
        <v>5.8509599999999997</v>
      </c>
      <c r="I573" s="1076">
        <v>-5.3568300000000004</v>
      </c>
      <c r="J573" s="1128" t="s">
        <v>189</v>
      </c>
      <c r="K573" s="1076" t="s">
        <v>198</v>
      </c>
      <c r="L573" s="1076" t="s">
        <v>2880</v>
      </c>
      <c r="M573" s="1076" t="s">
        <v>2881</v>
      </c>
      <c r="N573" s="1076">
        <v>2150027331</v>
      </c>
      <c r="O573" s="1178">
        <v>45895</v>
      </c>
      <c r="P573" s="1076"/>
      <c r="Q573" s="1178">
        <v>45896</v>
      </c>
      <c r="R573" s="1198" t="s">
        <v>192</v>
      </c>
      <c r="S573" s="1076"/>
      <c r="T573" s="1076">
        <v>0</v>
      </c>
      <c r="U573" s="1217">
        <v>45896</v>
      </c>
      <c r="V573" s="1225" t="s">
        <v>310</v>
      </c>
      <c r="W573" s="1076">
        <v>100</v>
      </c>
      <c r="X573" s="1225" t="s">
        <v>32</v>
      </c>
      <c r="Y573" s="646" t="s">
        <v>193</v>
      </c>
      <c r="AA573" s="697" t="s">
        <v>532</v>
      </c>
      <c r="AB573" s="696" t="s">
        <v>16</v>
      </c>
      <c r="AC573" s="696" t="s">
        <v>2888</v>
      </c>
    </row>
    <row r="574" spans="1:29" ht="15" hidden="1" customHeight="1">
      <c r="A574" s="449" t="s">
        <v>25</v>
      </c>
      <c r="B574" s="449" t="s">
        <v>25</v>
      </c>
      <c r="C574" s="684" t="s">
        <v>2873</v>
      </c>
      <c r="D574" s="684" t="s">
        <v>2874</v>
      </c>
      <c r="E574" s="684" t="s">
        <v>84</v>
      </c>
      <c r="F574" s="684">
        <v>708487007</v>
      </c>
      <c r="G574" s="684">
        <v>708487007</v>
      </c>
      <c r="H574" s="449">
        <v>5.8334999999999999</v>
      </c>
      <c r="I574" s="449">
        <v>-5.3617299999999997</v>
      </c>
      <c r="J574" s="832" t="s">
        <v>36</v>
      </c>
      <c r="K574" s="449" t="s">
        <v>190</v>
      </c>
      <c r="L574" s="449" t="s">
        <v>409</v>
      </c>
      <c r="M574" s="449" t="s">
        <v>2882</v>
      </c>
      <c r="N574" s="449">
        <v>2150027333</v>
      </c>
      <c r="O574" s="453">
        <v>45895</v>
      </c>
      <c r="P574" s="449"/>
      <c r="Q574" s="453">
        <v>45896</v>
      </c>
      <c r="R574" s="448" t="s">
        <v>192</v>
      </c>
      <c r="S574" s="449"/>
      <c r="T574" s="449">
        <v>0</v>
      </c>
      <c r="U574" s="454">
        <v>45896</v>
      </c>
      <c r="V574" s="685" t="s">
        <v>310</v>
      </c>
      <c r="W574" s="449">
        <v>150</v>
      </c>
      <c r="X574" s="685" t="s">
        <v>32</v>
      </c>
      <c r="Y574" s="646" t="s">
        <v>245</v>
      </c>
      <c r="AA574" s="691" t="s">
        <v>532</v>
      </c>
      <c r="AB574" s="689" t="s">
        <v>16</v>
      </c>
      <c r="AC574" s="689" t="s">
        <v>2897</v>
      </c>
    </row>
    <row r="575" spans="1:29" ht="15" hidden="1" customHeight="1">
      <c r="A575" s="449" t="s">
        <v>25</v>
      </c>
      <c r="B575" s="449" t="s">
        <v>25</v>
      </c>
      <c r="C575" s="832" t="s">
        <v>2861</v>
      </c>
      <c r="D575" s="832" t="s">
        <v>2862</v>
      </c>
      <c r="E575" s="832" t="s">
        <v>402</v>
      </c>
      <c r="F575" s="832">
        <v>501681954</v>
      </c>
      <c r="G575" s="832">
        <v>758924405</v>
      </c>
      <c r="H575" s="449">
        <v>5.8423600000000002</v>
      </c>
      <c r="I575" s="449">
        <v>-5.3627200000000004</v>
      </c>
      <c r="J575" s="832" t="s">
        <v>36</v>
      </c>
      <c r="K575" s="449" t="s">
        <v>190</v>
      </c>
      <c r="L575" s="449" t="s">
        <v>409</v>
      </c>
      <c r="M575" s="450" t="s">
        <v>2869</v>
      </c>
      <c r="N575" s="450">
        <v>2150027327</v>
      </c>
      <c r="O575" s="832" t="s">
        <v>2856</v>
      </c>
      <c r="P575" s="449"/>
      <c r="Q575" s="832" t="s">
        <v>2857</v>
      </c>
      <c r="R575" s="448" t="s">
        <v>192</v>
      </c>
      <c r="S575" s="449"/>
      <c r="T575" s="449">
        <v>1</v>
      </c>
      <c r="U575" s="454">
        <v>45896</v>
      </c>
      <c r="V575" s="685" t="s">
        <v>310</v>
      </c>
      <c r="W575" s="449">
        <v>200</v>
      </c>
      <c r="X575" s="685" t="s">
        <v>32</v>
      </c>
      <c r="Y575" s="646" t="s">
        <v>1521</v>
      </c>
      <c r="AA575" s="691" t="s">
        <v>532</v>
      </c>
      <c r="AB575" s="689" t="s">
        <v>16</v>
      </c>
      <c r="AC575" s="689" t="s">
        <v>2765</v>
      </c>
    </row>
    <row r="576" spans="1:29" ht="15" hidden="1" customHeight="1">
      <c r="A576" s="686" t="s">
        <v>25</v>
      </c>
      <c r="B576" s="687" t="s">
        <v>25</v>
      </c>
      <c r="C576" s="686" t="s">
        <v>2777</v>
      </c>
      <c r="D576" s="686" t="s">
        <v>1128</v>
      </c>
      <c r="E576" s="686" t="s">
        <v>375</v>
      </c>
      <c r="F576" s="688">
        <v>779852292</v>
      </c>
      <c r="G576" s="687">
        <v>141491824</v>
      </c>
      <c r="H576" s="689">
        <v>5.8396239999999997</v>
      </c>
      <c r="I576" s="689">
        <v>-5.3700479999999997</v>
      </c>
      <c r="J576" s="689" t="s">
        <v>36</v>
      </c>
      <c r="K576" s="689" t="s">
        <v>203</v>
      </c>
      <c r="L576" s="689" t="s">
        <v>2886</v>
      </c>
      <c r="M576" s="833" t="s">
        <v>2883</v>
      </c>
      <c r="N576" s="833">
        <v>2150027329</v>
      </c>
      <c r="O576" s="777">
        <v>45727</v>
      </c>
      <c r="P576" s="772">
        <f t="shared" ref="P576:P596" ca="1" si="18">TODAY()-Q576</f>
        <v>340</v>
      </c>
      <c r="Q576" s="777">
        <v>45729</v>
      </c>
      <c r="R576" s="689" t="s">
        <v>273</v>
      </c>
      <c r="S576" s="689"/>
      <c r="T576" s="689"/>
      <c r="U576" s="690">
        <v>45897</v>
      </c>
      <c r="V576" s="689" t="s">
        <v>310</v>
      </c>
      <c r="W576" s="689">
        <v>250</v>
      </c>
      <c r="X576" s="687" t="s">
        <v>32</v>
      </c>
      <c r="Y576" s="594" t="s">
        <v>228</v>
      </c>
      <c r="AA576" s="691" t="s">
        <v>532</v>
      </c>
      <c r="AB576" s="689" t="s">
        <v>16</v>
      </c>
      <c r="AC576" s="689" t="s">
        <v>2765</v>
      </c>
    </row>
    <row r="577" spans="1:29" ht="15" hidden="1" customHeight="1">
      <c r="A577" s="1075" t="s">
        <v>25</v>
      </c>
      <c r="B577" s="1075" t="s">
        <v>25</v>
      </c>
      <c r="C577" s="1075" t="s">
        <v>2884</v>
      </c>
      <c r="D577" s="1075" t="s">
        <v>1128</v>
      </c>
      <c r="E577" s="1075" t="s">
        <v>375</v>
      </c>
      <c r="F577" s="1075">
        <v>779852292</v>
      </c>
      <c r="G577" s="1075">
        <v>141491824</v>
      </c>
      <c r="H577" s="1075">
        <v>5.8397500000000004</v>
      </c>
      <c r="I577" s="1075">
        <v>-5.3698699999999997</v>
      </c>
      <c r="J577" s="1075" t="s">
        <v>36</v>
      </c>
      <c r="K577" s="1075" t="s">
        <v>203</v>
      </c>
      <c r="L577" s="1075" t="s">
        <v>2896</v>
      </c>
      <c r="M577" s="1139" t="s">
        <v>2885</v>
      </c>
      <c r="N577" s="1139">
        <v>2150027326</v>
      </c>
      <c r="O577" s="1177">
        <v>45727</v>
      </c>
      <c r="P577" s="1193">
        <f t="shared" ca="1" si="18"/>
        <v>340</v>
      </c>
      <c r="Q577" s="1177">
        <v>45729</v>
      </c>
      <c r="R577" s="1075" t="s">
        <v>192</v>
      </c>
      <c r="S577" s="1075"/>
      <c r="T577" s="1075">
        <v>0</v>
      </c>
      <c r="U577" s="1177">
        <v>45897</v>
      </c>
      <c r="V577" s="1075" t="s">
        <v>310</v>
      </c>
      <c r="W577" s="1075">
        <v>300</v>
      </c>
      <c r="X577" s="1231" t="s">
        <v>32</v>
      </c>
      <c r="Y577" s="594" t="s">
        <v>193</v>
      </c>
      <c r="Z577" s="644"/>
      <c r="AA577" s="783" t="s">
        <v>532</v>
      </c>
      <c r="AB577" s="783" t="s">
        <v>16</v>
      </c>
      <c r="AC577" s="776" t="s">
        <v>2899</v>
      </c>
    </row>
    <row r="578" spans="1:29" s="639" customFormat="1" ht="15" hidden="1" customHeight="1">
      <c r="A578" s="686" t="s">
        <v>25</v>
      </c>
      <c r="B578" s="687" t="s">
        <v>25</v>
      </c>
      <c r="C578" s="687" t="s">
        <v>1201</v>
      </c>
      <c r="D578" s="687" t="s">
        <v>1202</v>
      </c>
      <c r="E578" s="687" t="s">
        <v>375</v>
      </c>
      <c r="F578" s="688">
        <v>143994284</v>
      </c>
      <c r="G578" s="687">
        <v>712730293</v>
      </c>
      <c r="H578" s="689">
        <v>5.8403</v>
      </c>
      <c r="I578" s="689">
        <v>-5.3702500000000004</v>
      </c>
      <c r="J578" s="686" t="s">
        <v>36</v>
      </c>
      <c r="K578" s="689" t="s">
        <v>203</v>
      </c>
      <c r="L578" s="689" t="s">
        <v>2904</v>
      </c>
      <c r="M578" s="689" t="s">
        <v>2901</v>
      </c>
      <c r="N578" s="689">
        <v>2150031499</v>
      </c>
      <c r="O578" s="695">
        <v>45731</v>
      </c>
      <c r="P578" s="772">
        <f t="shared" ca="1" si="18"/>
        <v>337</v>
      </c>
      <c r="Q578" s="695">
        <v>45732</v>
      </c>
      <c r="R578" s="689" t="s">
        <v>273</v>
      </c>
      <c r="S578" s="689"/>
      <c r="T578" s="689"/>
      <c r="U578" s="690">
        <v>45897</v>
      </c>
      <c r="V578" s="689" t="s">
        <v>310</v>
      </c>
      <c r="W578" s="689">
        <v>250</v>
      </c>
      <c r="X578" s="687" t="s">
        <v>32</v>
      </c>
      <c r="Y578" s="246" t="s">
        <v>228</v>
      </c>
      <c r="Z578" s="419"/>
      <c r="AA578" s="509" t="s">
        <v>532</v>
      </c>
      <c r="AB578" s="509" t="s">
        <v>16</v>
      </c>
      <c r="AC578" s="419" t="s">
        <v>2898</v>
      </c>
    </row>
    <row r="579" spans="1:29" s="639" customFormat="1" ht="15.6" hidden="1" customHeight="1">
      <c r="A579" s="686" t="s">
        <v>25</v>
      </c>
      <c r="B579" s="687" t="s">
        <v>25</v>
      </c>
      <c r="C579" s="687" t="s">
        <v>1412</v>
      </c>
      <c r="D579" s="687" t="s">
        <v>1413</v>
      </c>
      <c r="E579" s="687" t="s">
        <v>1414</v>
      </c>
      <c r="F579" s="688">
        <v>170998188</v>
      </c>
      <c r="G579" s="687">
        <v>749910262</v>
      </c>
      <c r="H579" s="689">
        <v>5.8344300000000002</v>
      </c>
      <c r="I579" s="689">
        <v>-5.3679899999999998</v>
      </c>
      <c r="J579" s="687" t="s">
        <v>36</v>
      </c>
      <c r="K579" s="689" t="s">
        <v>203</v>
      </c>
      <c r="L579" s="689" t="s">
        <v>2903</v>
      </c>
      <c r="M579" s="689" t="s">
        <v>2900</v>
      </c>
      <c r="N579" s="689">
        <v>2150031499</v>
      </c>
      <c r="O579" s="695">
        <v>45741</v>
      </c>
      <c r="P579" s="772">
        <f t="shared" ca="1" si="18"/>
        <v>327</v>
      </c>
      <c r="Q579" s="695">
        <v>45742</v>
      </c>
      <c r="R579" s="689" t="s">
        <v>273</v>
      </c>
      <c r="S579" s="689"/>
      <c r="T579" s="689"/>
      <c r="U579" s="690">
        <v>45897</v>
      </c>
      <c r="V579" s="689" t="s">
        <v>310</v>
      </c>
      <c r="W579" s="689">
        <v>300</v>
      </c>
      <c r="X579" s="687" t="s">
        <v>32</v>
      </c>
      <c r="Y579" s="246" t="s">
        <v>193</v>
      </c>
      <c r="Z579" s="246"/>
      <c r="AA579" s="93" t="s">
        <v>532</v>
      </c>
      <c r="AB579" s="409" t="s">
        <v>16</v>
      </c>
      <c r="AC579" s="410" t="s">
        <v>2910</v>
      </c>
    </row>
    <row r="580" spans="1:29" ht="15" hidden="1" customHeight="1" thickBot="1">
      <c r="A580" s="689" t="s">
        <v>25</v>
      </c>
      <c r="B580" s="689" t="s">
        <v>25</v>
      </c>
      <c r="C580" s="692" t="s">
        <v>2891</v>
      </c>
      <c r="D580" s="692" t="s">
        <v>2892</v>
      </c>
      <c r="E580" s="692" t="s">
        <v>2826</v>
      </c>
      <c r="F580" s="692">
        <v>709185915</v>
      </c>
      <c r="G580" s="692">
        <v>709185915</v>
      </c>
      <c r="H580" s="689">
        <v>5.8532599999999997</v>
      </c>
      <c r="I580" s="689">
        <v>-5.3561699999999997</v>
      </c>
      <c r="J580" s="834" t="s">
        <v>189</v>
      </c>
      <c r="K580" s="689" t="s">
        <v>198</v>
      </c>
      <c r="L580" s="689" t="s">
        <v>1307</v>
      </c>
      <c r="M580" s="1136" t="s">
        <v>2902</v>
      </c>
      <c r="N580" s="1157">
        <v>2150031507</v>
      </c>
      <c r="O580" s="693">
        <v>45896</v>
      </c>
      <c r="P580" s="772">
        <f t="shared" ca="1" si="18"/>
        <v>172</v>
      </c>
      <c r="Q580" s="693">
        <v>45897</v>
      </c>
      <c r="R580" s="687" t="s">
        <v>192</v>
      </c>
      <c r="S580" s="689"/>
      <c r="T580" s="689">
        <v>1</v>
      </c>
      <c r="U580" s="690">
        <v>45897</v>
      </c>
      <c r="V580" s="694" t="s">
        <v>310</v>
      </c>
      <c r="W580" s="689">
        <v>250</v>
      </c>
      <c r="X580" s="694" t="s">
        <v>32</v>
      </c>
      <c r="Y580" s="594" t="s">
        <v>533</v>
      </c>
      <c r="Z580" s="704"/>
      <c r="AA580" s="402" t="s">
        <v>532</v>
      </c>
      <c r="AB580" s="402" t="s">
        <v>16</v>
      </c>
      <c r="AC580" s="402" t="s">
        <v>2931</v>
      </c>
    </row>
    <row r="581" spans="1:29" ht="15" hidden="1" customHeight="1">
      <c r="A581" s="419" t="s">
        <v>25</v>
      </c>
      <c r="B581" s="419" t="s">
        <v>25</v>
      </c>
      <c r="C581" s="507" t="s">
        <v>2889</v>
      </c>
      <c r="D581" s="507" t="s">
        <v>2890</v>
      </c>
      <c r="E581" s="507" t="s">
        <v>35</v>
      </c>
      <c r="F581" s="507">
        <v>707448485</v>
      </c>
      <c r="G581" s="507">
        <v>707448485</v>
      </c>
      <c r="H581" s="419">
        <v>5.83948</v>
      </c>
      <c r="I581" s="419">
        <v>-5.35684</v>
      </c>
      <c r="J581" s="831" t="s">
        <v>36</v>
      </c>
      <c r="K581" s="419" t="s">
        <v>190</v>
      </c>
      <c r="L581" s="419" t="s">
        <v>2853</v>
      </c>
      <c r="M581" s="650" t="s">
        <v>2905</v>
      </c>
      <c r="N581" s="650">
        <v>2150031497</v>
      </c>
      <c r="O581" s="510">
        <v>45895</v>
      </c>
      <c r="P581" s="422">
        <f t="shared" ca="1" si="18"/>
        <v>172</v>
      </c>
      <c r="Q581" s="510">
        <v>45897</v>
      </c>
      <c r="R581" s="418" t="s">
        <v>192</v>
      </c>
      <c r="S581" s="419"/>
      <c r="T581" s="419">
        <v>0</v>
      </c>
      <c r="U581" s="424">
        <v>45898</v>
      </c>
      <c r="V581" s="575" t="s">
        <v>310</v>
      </c>
      <c r="W581" s="419">
        <v>250</v>
      </c>
      <c r="X581" s="575" t="s">
        <v>32</v>
      </c>
      <c r="Y581" s="644" t="s">
        <v>228</v>
      </c>
      <c r="Z581" s="704"/>
      <c r="AA581" s="402" t="s">
        <v>532</v>
      </c>
      <c r="AB581" s="402" t="s">
        <v>16</v>
      </c>
      <c r="AC581" s="402" t="s">
        <v>2927</v>
      </c>
    </row>
    <row r="582" spans="1:29" ht="15" hidden="1" customHeight="1">
      <c r="A582" s="419" t="s">
        <v>25</v>
      </c>
      <c r="B582" s="419" t="s">
        <v>25</v>
      </c>
      <c r="C582" s="507" t="s">
        <v>2893</v>
      </c>
      <c r="D582" s="507" t="s">
        <v>2894</v>
      </c>
      <c r="E582" s="507" t="s">
        <v>2895</v>
      </c>
      <c r="F582" s="507">
        <v>759485956</v>
      </c>
      <c r="G582" s="507">
        <v>759485956</v>
      </c>
      <c r="H582" s="419">
        <v>5.8398599999999998</v>
      </c>
      <c r="I582" s="419">
        <v>-5.34931</v>
      </c>
      <c r="J582" s="831" t="s">
        <v>189</v>
      </c>
      <c r="K582" s="419" t="s">
        <v>190</v>
      </c>
      <c r="L582" s="419" t="s">
        <v>772</v>
      </c>
      <c r="M582" s="650" t="s">
        <v>2906</v>
      </c>
      <c r="N582" s="650">
        <v>2150031506</v>
      </c>
      <c r="O582" s="510">
        <v>45896</v>
      </c>
      <c r="P582" s="422">
        <f t="shared" ca="1" si="18"/>
        <v>172</v>
      </c>
      <c r="Q582" s="510">
        <v>45897</v>
      </c>
      <c r="R582" s="418" t="s">
        <v>192</v>
      </c>
      <c r="S582" s="419"/>
      <c r="T582" s="419">
        <v>1</v>
      </c>
      <c r="U582" s="424">
        <v>45898</v>
      </c>
      <c r="V582" s="575" t="s">
        <v>310</v>
      </c>
      <c r="W582" s="419">
        <v>200</v>
      </c>
      <c r="X582" s="575" t="s">
        <v>32</v>
      </c>
      <c r="Y582" s="644" t="s">
        <v>696</v>
      </c>
      <c r="Z582" s="704"/>
      <c r="AA582" s="402" t="s">
        <v>532</v>
      </c>
      <c r="AB582" s="402" t="s">
        <v>16</v>
      </c>
      <c r="AC582" s="402" t="s">
        <v>2929</v>
      </c>
    </row>
    <row r="583" spans="1:29" ht="15" hidden="1" customHeight="1">
      <c r="A583" s="672" t="s">
        <v>25</v>
      </c>
      <c r="B583" s="409" t="s">
        <v>25</v>
      </c>
      <c r="C583" s="672" t="s">
        <v>2489</v>
      </c>
      <c r="D583" s="672" t="s">
        <v>2490</v>
      </c>
      <c r="E583" s="672" t="s">
        <v>2491</v>
      </c>
      <c r="F583" s="699">
        <v>505098969</v>
      </c>
      <c r="G583" s="409">
        <v>102707794</v>
      </c>
      <c r="H583" s="410">
        <v>5.8403239999999998</v>
      </c>
      <c r="I583" s="410">
        <v>-5.3561189999999996</v>
      </c>
      <c r="J583" s="672" t="s">
        <v>36</v>
      </c>
      <c r="K583" s="410" t="s">
        <v>190</v>
      </c>
      <c r="L583" s="410" t="s">
        <v>2853</v>
      </c>
      <c r="M583" s="836" t="s">
        <v>2909</v>
      </c>
      <c r="N583" s="836">
        <v>2150031508</v>
      </c>
      <c r="O583" s="700">
        <v>45860</v>
      </c>
      <c r="P583" s="502">
        <f t="shared" ca="1" si="18"/>
        <v>208</v>
      </c>
      <c r="Q583" s="700">
        <v>45861</v>
      </c>
      <c r="R583" s="410" t="s">
        <v>273</v>
      </c>
      <c r="S583" s="409"/>
      <c r="T583" s="409"/>
      <c r="U583" s="412">
        <v>45899</v>
      </c>
      <c r="V583" s="409" t="s">
        <v>310</v>
      </c>
      <c r="W583" s="409">
        <v>300</v>
      </c>
      <c r="X583" s="409" t="s">
        <v>32</v>
      </c>
      <c r="Y583" s="594" t="s">
        <v>245</v>
      </c>
      <c r="Z583" s="704"/>
      <c r="AA583" s="402" t="s">
        <v>532</v>
      </c>
      <c r="AB583" s="402" t="s">
        <v>16</v>
      </c>
      <c r="AC583" s="402" t="s">
        <v>2928</v>
      </c>
    </row>
    <row r="584" spans="1:29" ht="15" hidden="1" customHeight="1">
      <c r="A584" s="702" t="s">
        <v>25</v>
      </c>
      <c r="B584" s="702" t="s">
        <v>25</v>
      </c>
      <c r="C584" s="894" t="s">
        <v>2915</v>
      </c>
      <c r="D584" s="894" t="s">
        <v>2916</v>
      </c>
      <c r="E584" s="894" t="s">
        <v>2917</v>
      </c>
      <c r="F584" s="894">
        <v>565652919</v>
      </c>
      <c r="G584" s="894">
        <v>777121189</v>
      </c>
      <c r="H584" s="402">
        <v>5.8403200000000002</v>
      </c>
      <c r="I584" s="402">
        <v>-5.3665200000000004</v>
      </c>
      <c r="J584" s="402" t="s">
        <v>36</v>
      </c>
      <c r="K584" s="402" t="s">
        <v>203</v>
      </c>
      <c r="L584" s="402" t="s">
        <v>1188</v>
      </c>
      <c r="M584" s="908" t="s">
        <v>2934</v>
      </c>
      <c r="N584" s="908">
        <v>2150031509</v>
      </c>
      <c r="O584" s="894" t="s">
        <v>2926</v>
      </c>
      <c r="P584" s="759">
        <f t="shared" ca="1" si="18"/>
        <v>170</v>
      </c>
      <c r="Q584" s="894" t="s">
        <v>2925</v>
      </c>
      <c r="R584" s="401" t="s">
        <v>192</v>
      </c>
      <c r="S584" s="402"/>
      <c r="T584" s="402">
        <v>0</v>
      </c>
      <c r="U584" s="406">
        <v>45901</v>
      </c>
      <c r="V584" s="703" t="s">
        <v>310</v>
      </c>
      <c r="W584" s="402">
        <v>200</v>
      </c>
      <c r="X584" s="703" t="s">
        <v>32</v>
      </c>
      <c r="Y584" s="704" t="s">
        <v>627</v>
      </c>
      <c r="Z584" s="701"/>
      <c r="AA584" s="83" t="s">
        <v>532</v>
      </c>
      <c r="AB584" s="83" t="s">
        <v>16</v>
      </c>
      <c r="AC584" s="80" t="s">
        <v>2946</v>
      </c>
    </row>
    <row r="585" spans="1:29" s="701" customFormat="1" ht="15" hidden="1" customHeight="1">
      <c r="A585" s="702" t="s">
        <v>25</v>
      </c>
      <c r="B585" s="702" t="s">
        <v>25</v>
      </c>
      <c r="C585" s="894" t="s">
        <v>2918</v>
      </c>
      <c r="D585" s="894" t="s">
        <v>2919</v>
      </c>
      <c r="E585" s="894" t="s">
        <v>2920</v>
      </c>
      <c r="F585" s="894">
        <v>101219556</v>
      </c>
      <c r="G585" s="894">
        <v>709920532</v>
      </c>
      <c r="H585" s="402">
        <v>5.8372299999999999</v>
      </c>
      <c r="I585" s="402">
        <v>-5.3712799999999996</v>
      </c>
      <c r="J585" s="402" t="s">
        <v>36</v>
      </c>
      <c r="K585" s="402" t="s">
        <v>203</v>
      </c>
      <c r="L585" s="402" t="s">
        <v>2903</v>
      </c>
      <c r="M585" s="908" t="s">
        <v>2932</v>
      </c>
      <c r="N585" s="908">
        <v>2150031496</v>
      </c>
      <c r="O585" s="894" t="s">
        <v>2926</v>
      </c>
      <c r="P585" s="759">
        <f t="shared" ca="1" si="18"/>
        <v>170</v>
      </c>
      <c r="Q585" s="894" t="s">
        <v>2925</v>
      </c>
      <c r="R585" s="401" t="s">
        <v>192</v>
      </c>
      <c r="S585" s="402"/>
      <c r="T585" s="402">
        <v>0</v>
      </c>
      <c r="U585" s="406">
        <v>45901</v>
      </c>
      <c r="V585" s="703" t="s">
        <v>310</v>
      </c>
      <c r="W585" s="402">
        <v>300</v>
      </c>
      <c r="X585" s="703" t="s">
        <v>32</v>
      </c>
      <c r="Y585" s="704" t="s">
        <v>245</v>
      </c>
      <c r="AA585" s="83" t="s">
        <v>532</v>
      </c>
      <c r="AB585" s="83" t="s">
        <v>16</v>
      </c>
      <c r="AC585" s="80" t="s">
        <v>2951</v>
      </c>
    </row>
    <row r="586" spans="1:29" s="701" customFormat="1" ht="15" hidden="1" customHeight="1">
      <c r="A586" s="702" t="s">
        <v>25</v>
      </c>
      <c r="B586" s="702" t="s">
        <v>25</v>
      </c>
      <c r="C586" s="894" t="s">
        <v>2911</v>
      </c>
      <c r="D586" s="894" t="s">
        <v>2912</v>
      </c>
      <c r="E586" s="894" t="s">
        <v>110</v>
      </c>
      <c r="F586" s="894">
        <v>748122787</v>
      </c>
      <c r="G586" s="894">
        <v>566926608</v>
      </c>
      <c r="H586" s="402">
        <v>5.8427699999999998</v>
      </c>
      <c r="I586" s="402">
        <v>-5.3452799999999998</v>
      </c>
      <c r="J586" s="402" t="s">
        <v>189</v>
      </c>
      <c r="K586" s="402" t="s">
        <v>274</v>
      </c>
      <c r="L586" s="402" t="s">
        <v>539</v>
      </c>
      <c r="M586" s="908" t="s">
        <v>2935</v>
      </c>
      <c r="N586" s="908">
        <v>2150031505</v>
      </c>
      <c r="O586" s="894" t="s">
        <v>2924</v>
      </c>
      <c r="P586" s="759">
        <f t="shared" ca="1" si="18"/>
        <v>170</v>
      </c>
      <c r="Q586" s="894" t="s">
        <v>2925</v>
      </c>
      <c r="R586" s="401" t="s">
        <v>192</v>
      </c>
      <c r="S586" s="402"/>
      <c r="T586" s="402">
        <v>2</v>
      </c>
      <c r="U586" s="406">
        <v>45901</v>
      </c>
      <c r="V586" s="703" t="s">
        <v>310</v>
      </c>
      <c r="W586" s="402">
        <v>400</v>
      </c>
      <c r="X586" s="703" t="s">
        <v>32</v>
      </c>
      <c r="Y586" s="704" t="s">
        <v>627</v>
      </c>
      <c r="Z586" s="712"/>
      <c r="AA586" s="523" t="s">
        <v>532</v>
      </c>
      <c r="AB586" s="523" t="s">
        <v>16</v>
      </c>
      <c r="AC586" s="438" t="s">
        <v>2952</v>
      </c>
    </row>
    <row r="587" spans="1:29" s="701" customFormat="1" ht="15" hidden="1" customHeight="1">
      <c r="A587" s="702" t="s">
        <v>25</v>
      </c>
      <c r="B587" s="702" t="s">
        <v>25</v>
      </c>
      <c r="C587" s="894" t="s">
        <v>2921</v>
      </c>
      <c r="D587" s="894" t="s">
        <v>2922</v>
      </c>
      <c r="E587" s="894" t="s">
        <v>2923</v>
      </c>
      <c r="F587" s="894">
        <v>151908131</v>
      </c>
      <c r="G587" s="894">
        <v>758994857</v>
      </c>
      <c r="H587" s="402">
        <v>5.8476600000000003</v>
      </c>
      <c r="I587" s="402">
        <v>-5.3529099999999996</v>
      </c>
      <c r="J587" s="402" t="s">
        <v>189</v>
      </c>
      <c r="K587" s="402" t="s">
        <v>198</v>
      </c>
      <c r="L587" s="402" t="s">
        <v>258</v>
      </c>
      <c r="M587" s="908" t="s">
        <v>2933</v>
      </c>
      <c r="N587" s="908">
        <v>2150031504</v>
      </c>
      <c r="O587" s="894" t="s">
        <v>2926</v>
      </c>
      <c r="P587" s="759">
        <f t="shared" ca="1" si="18"/>
        <v>170</v>
      </c>
      <c r="Q587" s="894" t="s">
        <v>2925</v>
      </c>
      <c r="R587" s="401" t="s">
        <v>192</v>
      </c>
      <c r="S587" s="402"/>
      <c r="T587" s="402">
        <v>3</v>
      </c>
      <c r="U587" s="406">
        <v>45901</v>
      </c>
      <c r="V587" s="703" t="s">
        <v>310</v>
      </c>
      <c r="W587" s="402">
        <v>400</v>
      </c>
      <c r="X587" s="703" t="s">
        <v>32</v>
      </c>
      <c r="Y587" s="704" t="s">
        <v>228</v>
      </c>
      <c r="Z587" s="639"/>
      <c r="AA587" s="300" t="s">
        <v>532</v>
      </c>
      <c r="AB587" s="300" t="s">
        <v>16</v>
      </c>
      <c r="AC587" s="438" t="s">
        <v>2962</v>
      </c>
    </row>
    <row r="588" spans="1:29" s="80" customFormat="1" ht="15" hidden="1" customHeight="1" thickBot="1">
      <c r="A588" s="675" t="s">
        <v>25</v>
      </c>
      <c r="B588" s="675" t="s">
        <v>25</v>
      </c>
      <c r="C588" s="707" t="s">
        <v>2938</v>
      </c>
      <c r="D588" s="541" t="s">
        <v>2939</v>
      </c>
      <c r="E588" s="707" t="s">
        <v>2940</v>
      </c>
      <c r="F588" s="707">
        <v>705210093</v>
      </c>
      <c r="G588" s="707">
        <v>705210093</v>
      </c>
      <c r="H588" s="80">
        <v>5.8441999999999998</v>
      </c>
      <c r="I588" s="80">
        <v>-5.3479000000000001</v>
      </c>
      <c r="J588" s="707" t="s">
        <v>189</v>
      </c>
      <c r="K588" s="80" t="s">
        <v>274</v>
      </c>
      <c r="L588" s="80" t="s">
        <v>2945</v>
      </c>
      <c r="M588" s="80" t="s">
        <v>2953</v>
      </c>
      <c r="N588" s="80">
        <v>2150031514</v>
      </c>
      <c r="O588" s="1170">
        <v>45902</v>
      </c>
      <c r="P588" s="81">
        <f t="shared" ca="1" si="18"/>
        <v>166</v>
      </c>
      <c r="Q588" s="708">
        <v>45903</v>
      </c>
      <c r="R588" s="83" t="s">
        <v>2641</v>
      </c>
      <c r="S588" s="83"/>
      <c r="T588" s="83">
        <v>3</v>
      </c>
      <c r="U588" s="492">
        <v>45903</v>
      </c>
      <c r="V588" s="674" t="s">
        <v>310</v>
      </c>
      <c r="W588" s="83">
        <v>300</v>
      </c>
      <c r="X588" s="674" t="s">
        <v>32</v>
      </c>
      <c r="Y588" s="85" t="s">
        <v>696</v>
      </c>
      <c r="AA588" s="300" t="s">
        <v>532</v>
      </c>
      <c r="AB588" s="300" t="s">
        <v>16</v>
      </c>
      <c r="AC588" s="438" t="s">
        <v>2963</v>
      </c>
    </row>
    <row r="589" spans="1:29" s="80" customFormat="1" ht="15" hidden="1" customHeight="1" thickBot="1">
      <c r="A589" s="675" t="s">
        <v>25</v>
      </c>
      <c r="B589" s="675" t="s">
        <v>25</v>
      </c>
      <c r="C589" s="705" t="s">
        <v>2947</v>
      </c>
      <c r="D589" s="589" t="s">
        <v>2948</v>
      </c>
      <c r="E589" s="705" t="s">
        <v>2236</v>
      </c>
      <c r="F589" s="705">
        <v>103958695</v>
      </c>
      <c r="G589" s="705">
        <v>709099953</v>
      </c>
      <c r="H589" s="80">
        <v>5.8441299999999998</v>
      </c>
      <c r="I589" s="80">
        <v>-5.3489800000000001</v>
      </c>
      <c r="J589" s="80" t="s">
        <v>189</v>
      </c>
      <c r="K589" s="80" t="s">
        <v>198</v>
      </c>
      <c r="L589" s="80" t="s">
        <v>412</v>
      </c>
      <c r="M589" s="80" t="s">
        <v>2955</v>
      </c>
      <c r="N589" s="80">
        <v>2150031511</v>
      </c>
      <c r="O589" s="1176">
        <v>45903</v>
      </c>
      <c r="P589" s="81">
        <f t="shared" ca="1" si="18"/>
        <v>166</v>
      </c>
      <c r="Q589" s="706">
        <v>45903</v>
      </c>
      <c r="R589" s="80" t="s">
        <v>2641</v>
      </c>
      <c r="U589" s="676">
        <v>45903</v>
      </c>
      <c r="V589" s="674" t="s">
        <v>310</v>
      </c>
      <c r="W589" s="80">
        <v>450</v>
      </c>
      <c r="X589" s="674" t="s">
        <v>32</v>
      </c>
      <c r="Y589" s="85" t="s">
        <v>245</v>
      </c>
      <c r="Z589" s="374"/>
      <c r="AA589" s="51" t="s">
        <v>532</v>
      </c>
      <c r="AB589" s="51" t="s">
        <v>16</v>
      </c>
      <c r="AC589" s="374" t="s">
        <v>2977</v>
      </c>
    </row>
    <row r="590" spans="1:29" s="641" customFormat="1" ht="15" hidden="1" customHeight="1" thickBot="1">
      <c r="A590" s="709" t="s">
        <v>25</v>
      </c>
      <c r="B590" s="709" t="s">
        <v>25</v>
      </c>
      <c r="C590" s="710" t="s">
        <v>2949</v>
      </c>
      <c r="D590" s="710" t="s">
        <v>2950</v>
      </c>
      <c r="E590" s="710" t="s">
        <v>110</v>
      </c>
      <c r="F590" s="710">
        <v>747762968</v>
      </c>
      <c r="G590" s="710">
        <v>153649913</v>
      </c>
      <c r="H590" s="438">
        <v>5.84483</v>
      </c>
      <c r="I590" s="438">
        <v>-5.3447300000000002</v>
      </c>
      <c r="J590" s="522" t="s">
        <v>189</v>
      </c>
      <c r="K590" s="438" t="s">
        <v>274</v>
      </c>
      <c r="L590" s="438" t="s">
        <v>539</v>
      </c>
      <c r="M590" s="1143" t="s">
        <v>2954</v>
      </c>
      <c r="N590" s="1143">
        <v>2150031512</v>
      </c>
      <c r="O590" s="711">
        <v>45903</v>
      </c>
      <c r="P590" s="440">
        <f t="shared" ca="1" si="18"/>
        <v>166</v>
      </c>
      <c r="Q590" s="711">
        <v>45903</v>
      </c>
      <c r="R590" s="438" t="s">
        <v>2641</v>
      </c>
      <c r="S590" s="438"/>
      <c r="T590" s="438">
        <v>2</v>
      </c>
      <c r="U590" s="441">
        <v>45905</v>
      </c>
      <c r="V590" s="522" t="s">
        <v>310</v>
      </c>
      <c r="W590" s="438">
        <v>250</v>
      </c>
      <c r="X590" s="522" t="s">
        <v>32</v>
      </c>
      <c r="Y590" s="712" t="s">
        <v>1521</v>
      </c>
      <c r="Z590" s="640"/>
      <c r="AA590" s="51" t="s">
        <v>532</v>
      </c>
      <c r="AB590" s="51" t="s">
        <v>16</v>
      </c>
      <c r="AC590" s="374" t="s">
        <v>2976</v>
      </c>
    </row>
    <row r="591" spans="1:29" s="641" customFormat="1" ht="15" hidden="1" customHeight="1" thickBot="1">
      <c r="A591" s="709" t="s">
        <v>25</v>
      </c>
      <c r="B591" s="709" t="s">
        <v>25</v>
      </c>
      <c r="C591" s="710" t="s">
        <v>2957</v>
      </c>
      <c r="D591" s="710" t="s">
        <v>2958</v>
      </c>
      <c r="E591" s="710" t="s">
        <v>2959</v>
      </c>
      <c r="F591" s="710">
        <v>711991893</v>
      </c>
      <c r="G591" s="710">
        <v>748786564</v>
      </c>
      <c r="H591" s="438">
        <v>5.8441299999999998</v>
      </c>
      <c r="I591" s="438">
        <v>-5.3489800000000001</v>
      </c>
      <c r="J591" s="709" t="s">
        <v>189</v>
      </c>
      <c r="K591" s="438" t="s">
        <v>198</v>
      </c>
      <c r="L591" s="438" t="s">
        <v>1210</v>
      </c>
      <c r="M591" s="1143" t="s">
        <v>2965</v>
      </c>
      <c r="N591" s="1143">
        <v>2150031513</v>
      </c>
      <c r="O591" s="711">
        <v>45903</v>
      </c>
      <c r="P591" s="440">
        <f t="shared" ca="1" si="18"/>
        <v>164</v>
      </c>
      <c r="Q591" s="441">
        <v>45905</v>
      </c>
      <c r="R591" s="300" t="s">
        <v>2641</v>
      </c>
      <c r="S591" s="300"/>
      <c r="T591" s="300">
        <v>0</v>
      </c>
      <c r="U591" s="441">
        <v>45905</v>
      </c>
      <c r="V591" s="662" t="s">
        <v>310</v>
      </c>
      <c r="W591" s="300">
        <v>200</v>
      </c>
      <c r="X591" s="662" t="s">
        <v>32</v>
      </c>
      <c r="Y591" s="639" t="s">
        <v>343</v>
      </c>
      <c r="Z591" s="780"/>
      <c r="AA591" s="719" t="s">
        <v>532</v>
      </c>
      <c r="AB591" s="719" t="s">
        <v>16</v>
      </c>
      <c r="AC591" s="717" t="s">
        <v>2988</v>
      </c>
    </row>
    <row r="592" spans="1:29" s="85" customFormat="1" ht="15.6" hidden="1" customHeight="1">
      <c r="A592" s="709" t="s">
        <v>25</v>
      </c>
      <c r="B592" s="709" t="s">
        <v>25</v>
      </c>
      <c r="C592" s="710" t="s">
        <v>2960</v>
      </c>
      <c r="D592" s="710" t="s">
        <v>2961</v>
      </c>
      <c r="E592" s="710" t="s">
        <v>125</v>
      </c>
      <c r="F592" s="710">
        <v>748603974</v>
      </c>
      <c r="G592" s="710">
        <v>748603974</v>
      </c>
      <c r="H592" s="438">
        <v>5.8441299999999998</v>
      </c>
      <c r="I592" s="438">
        <v>-5.3489800000000001</v>
      </c>
      <c r="J592" s="709" t="s">
        <v>189</v>
      </c>
      <c r="K592" s="438" t="s">
        <v>274</v>
      </c>
      <c r="L592" s="438" t="s">
        <v>1210</v>
      </c>
      <c r="M592" s="438" t="s">
        <v>2964</v>
      </c>
      <c r="N592" s="438">
        <v>2150031510</v>
      </c>
      <c r="O592" s="711">
        <v>45903</v>
      </c>
      <c r="P592" s="440">
        <f t="shared" ca="1" si="18"/>
        <v>164</v>
      </c>
      <c r="Q592" s="441">
        <v>45905</v>
      </c>
      <c r="R592" s="300" t="s">
        <v>2641</v>
      </c>
      <c r="S592" s="300"/>
      <c r="T592" s="300">
        <v>0</v>
      </c>
      <c r="U592" s="441">
        <v>45905</v>
      </c>
      <c r="V592" s="662" t="s">
        <v>310</v>
      </c>
      <c r="W592" s="300">
        <v>500</v>
      </c>
      <c r="X592" s="662" t="s">
        <v>32</v>
      </c>
      <c r="Y592" s="80" t="s">
        <v>533</v>
      </c>
      <c r="Z592" s="722"/>
      <c r="AA592" s="719" t="s">
        <v>532</v>
      </c>
      <c r="AB592" s="719" t="s">
        <v>16</v>
      </c>
      <c r="AC592" s="717" t="s">
        <v>2989</v>
      </c>
    </row>
    <row r="593" spans="1:29" s="85" customFormat="1" ht="15.6" hidden="1" customHeight="1">
      <c r="A593" s="713" t="s">
        <v>25</v>
      </c>
      <c r="B593" s="713" t="s">
        <v>25</v>
      </c>
      <c r="C593" s="545" t="s">
        <v>2966</v>
      </c>
      <c r="D593" s="545" t="s">
        <v>2967</v>
      </c>
      <c r="E593" s="545" t="s">
        <v>2968</v>
      </c>
      <c r="F593" s="545">
        <v>787813149</v>
      </c>
      <c r="G593" s="545">
        <v>506085621</v>
      </c>
      <c r="H593" s="374">
        <v>5.8387799999999999</v>
      </c>
      <c r="I593" s="374">
        <v>-5.3597700000000001</v>
      </c>
      <c r="J593" s="545" t="s">
        <v>36</v>
      </c>
      <c r="K593" s="374" t="s">
        <v>198</v>
      </c>
      <c r="L593" s="374" t="s">
        <v>1479</v>
      </c>
      <c r="M593" s="467" t="s">
        <v>2980</v>
      </c>
      <c r="N593" s="467">
        <v>2150031501</v>
      </c>
      <c r="O593" s="546">
        <v>45905</v>
      </c>
      <c r="P593" s="377">
        <f t="shared" ca="1" si="18"/>
        <v>163</v>
      </c>
      <c r="Q593" s="546">
        <v>45906</v>
      </c>
      <c r="R593" s="51" t="s">
        <v>2641</v>
      </c>
      <c r="S593" s="51"/>
      <c r="T593" s="51">
        <v>3</v>
      </c>
      <c r="U593" s="714">
        <v>45908</v>
      </c>
      <c r="V593" s="658" t="s">
        <v>310</v>
      </c>
      <c r="W593" s="51">
        <v>400</v>
      </c>
      <c r="X593" s="658" t="s">
        <v>32</v>
      </c>
      <c r="Y593" s="374" t="s">
        <v>578</v>
      </c>
      <c r="Z593" s="531"/>
      <c r="AA593" s="727" t="s">
        <v>532</v>
      </c>
      <c r="AB593" s="724" t="s">
        <v>16</v>
      </c>
      <c r="AC593" s="531" t="s">
        <v>3012</v>
      </c>
    </row>
    <row r="594" spans="1:29" s="80" customFormat="1" ht="15" hidden="1" customHeight="1">
      <c r="A594" s="713" t="s">
        <v>25</v>
      </c>
      <c r="B594" s="713" t="s">
        <v>25</v>
      </c>
      <c r="C594" s="545" t="s">
        <v>2969</v>
      </c>
      <c r="D594" s="545" t="s">
        <v>2970</v>
      </c>
      <c r="E594" s="545" t="s">
        <v>2923</v>
      </c>
      <c r="F594" s="545">
        <v>142126049</v>
      </c>
      <c r="G594" s="545">
        <v>707222519</v>
      </c>
      <c r="H594" s="374">
        <v>5.84802</v>
      </c>
      <c r="I594" s="374">
        <v>-5.3542100000000001</v>
      </c>
      <c r="J594" s="545" t="s">
        <v>189</v>
      </c>
      <c r="K594" s="374" t="s">
        <v>198</v>
      </c>
      <c r="L594" s="374" t="s">
        <v>258</v>
      </c>
      <c r="M594" s="467" t="s">
        <v>2979</v>
      </c>
      <c r="N594" s="467">
        <v>2150031502</v>
      </c>
      <c r="O594" s="546">
        <v>45902</v>
      </c>
      <c r="P594" s="377">
        <f t="shared" ca="1" si="18"/>
        <v>163</v>
      </c>
      <c r="Q594" s="546">
        <v>45906</v>
      </c>
      <c r="R594" s="51" t="s">
        <v>2641</v>
      </c>
      <c r="S594" s="51"/>
      <c r="T594" s="51">
        <v>0</v>
      </c>
      <c r="U594" s="714">
        <v>45908</v>
      </c>
      <c r="V594" s="658" t="s">
        <v>310</v>
      </c>
      <c r="W594" s="51">
        <v>200</v>
      </c>
      <c r="X594" s="658" t="s">
        <v>32</v>
      </c>
      <c r="Y594" s="374" t="s">
        <v>245</v>
      </c>
      <c r="Z594" s="409"/>
      <c r="AA594" s="93" t="s">
        <v>532</v>
      </c>
      <c r="AB594" s="93" t="s">
        <v>16</v>
      </c>
      <c r="AC594" s="410" t="s">
        <v>3013</v>
      </c>
    </row>
    <row r="595" spans="1:29" s="701" customFormat="1" ht="17.399999999999999" hidden="1" customHeight="1">
      <c r="A595" s="715" t="s">
        <v>25</v>
      </c>
      <c r="B595" s="715" t="s">
        <v>25</v>
      </c>
      <c r="C595" s="716" t="s">
        <v>2981</v>
      </c>
      <c r="D595" s="716" t="s">
        <v>2982</v>
      </c>
      <c r="E595" s="716" t="s">
        <v>46</v>
      </c>
      <c r="F595" s="716">
        <v>757959352</v>
      </c>
      <c r="G595" s="716">
        <v>504361614</v>
      </c>
      <c r="H595" s="717">
        <v>5.84802</v>
      </c>
      <c r="I595" s="717">
        <v>-5.3542100000000001</v>
      </c>
      <c r="J595" s="716" t="s">
        <v>189</v>
      </c>
      <c r="K595" s="717" t="s">
        <v>203</v>
      </c>
      <c r="L595" s="717" t="s">
        <v>2218</v>
      </c>
      <c r="M595" s="717" t="s">
        <v>3002</v>
      </c>
      <c r="N595" s="717">
        <v>2150031503</v>
      </c>
      <c r="O595" s="718">
        <v>45908</v>
      </c>
      <c r="P595" s="837">
        <f t="shared" ca="1" si="18"/>
        <v>160</v>
      </c>
      <c r="Q595" s="718">
        <v>45909</v>
      </c>
      <c r="R595" s="719" t="s">
        <v>2641</v>
      </c>
      <c r="S595" s="719"/>
      <c r="T595" s="719">
        <v>2</v>
      </c>
      <c r="U595" s="720">
        <v>45910</v>
      </c>
      <c r="V595" s="721" t="s">
        <v>310</v>
      </c>
      <c r="W595" s="719">
        <v>400</v>
      </c>
      <c r="X595" s="721" t="s">
        <v>32</v>
      </c>
      <c r="Y595" s="722"/>
      <c r="Z595" s="409"/>
      <c r="AA595" s="93" t="s">
        <v>532</v>
      </c>
      <c r="AB595" s="93" t="s">
        <v>16</v>
      </c>
      <c r="AC595" s="410" t="s">
        <v>3026</v>
      </c>
    </row>
    <row r="596" spans="1:29" s="701" customFormat="1" ht="16.2" hidden="1" customHeight="1">
      <c r="A596" s="715" t="s">
        <v>25</v>
      </c>
      <c r="B596" s="715" t="s">
        <v>25</v>
      </c>
      <c r="C596" s="716" t="s">
        <v>2985</v>
      </c>
      <c r="D596" s="716" t="s">
        <v>2986</v>
      </c>
      <c r="E596" s="716" t="s">
        <v>2987</v>
      </c>
      <c r="F596" s="716">
        <v>788435874</v>
      </c>
      <c r="G596" s="716">
        <v>788435874</v>
      </c>
      <c r="H596" s="717">
        <v>5.8357200000000002</v>
      </c>
      <c r="I596" s="717">
        <v>-5.3695899999999996</v>
      </c>
      <c r="J596" s="716" t="s">
        <v>36</v>
      </c>
      <c r="K596" s="717" t="s">
        <v>203</v>
      </c>
      <c r="L596" s="717" t="s">
        <v>2903</v>
      </c>
      <c r="M596" s="717" t="s">
        <v>3001</v>
      </c>
      <c r="N596" s="717">
        <v>2150031515</v>
      </c>
      <c r="O596" s="718">
        <v>45908</v>
      </c>
      <c r="P596" s="837">
        <f t="shared" ca="1" si="18"/>
        <v>160</v>
      </c>
      <c r="Q596" s="718">
        <v>45909</v>
      </c>
      <c r="R596" s="719" t="s">
        <v>2641</v>
      </c>
      <c r="S596" s="719"/>
      <c r="T596" s="719">
        <v>5</v>
      </c>
      <c r="U596" s="720">
        <v>45910</v>
      </c>
      <c r="V596" s="721" t="s">
        <v>310</v>
      </c>
      <c r="W596" s="719">
        <v>500</v>
      </c>
      <c r="X596" s="721" t="s">
        <v>32</v>
      </c>
      <c r="Y596" s="722" t="s">
        <v>245</v>
      </c>
      <c r="Z596" s="389"/>
      <c r="AA596" s="540" t="s">
        <v>532</v>
      </c>
      <c r="AB596" s="540" t="s">
        <v>16</v>
      </c>
      <c r="AC596" s="390" t="s">
        <v>3010</v>
      </c>
    </row>
    <row r="597" spans="1:29" s="701" customFormat="1" ht="12.6" hidden="1" customHeight="1">
      <c r="A597" s="723" t="s">
        <v>25</v>
      </c>
      <c r="B597" s="723" t="s">
        <v>25</v>
      </c>
      <c r="C597" s="552" t="s">
        <v>3003</v>
      </c>
      <c r="D597" s="552" t="s">
        <v>3004</v>
      </c>
      <c r="E597" s="552" t="s">
        <v>3005</v>
      </c>
      <c r="F597" s="552">
        <v>747913576</v>
      </c>
      <c r="G597" s="552">
        <v>747913576</v>
      </c>
      <c r="H597" s="531">
        <v>5.8449099999999996</v>
      </c>
      <c r="I597" s="531">
        <v>-5.3461299999999996</v>
      </c>
      <c r="J597" s="552" t="s">
        <v>189</v>
      </c>
      <c r="K597" s="531" t="s">
        <v>274</v>
      </c>
      <c r="L597" s="531" t="s">
        <v>613</v>
      </c>
      <c r="M597" s="531" t="s">
        <v>3014</v>
      </c>
      <c r="N597" s="531">
        <v>2150031602</v>
      </c>
      <c r="O597" s="554">
        <v>45910</v>
      </c>
      <c r="P597" s="531"/>
      <c r="Q597" s="554">
        <v>45911</v>
      </c>
      <c r="R597" s="724" t="s">
        <v>2641</v>
      </c>
      <c r="S597" s="724"/>
      <c r="T597" s="724">
        <v>0</v>
      </c>
      <c r="U597" s="725">
        <v>45911</v>
      </c>
      <c r="V597" s="726" t="s">
        <v>310</v>
      </c>
      <c r="W597" s="724">
        <v>100</v>
      </c>
      <c r="X597" s="726" t="s">
        <v>32</v>
      </c>
      <c r="Y597" s="531"/>
      <c r="Z597" s="389"/>
      <c r="AA597" s="540" t="s">
        <v>532</v>
      </c>
      <c r="AB597" s="540" t="s">
        <v>16</v>
      </c>
      <c r="AC597" s="390" t="s">
        <v>3009</v>
      </c>
    </row>
    <row r="598" spans="1:29" s="701" customFormat="1" ht="12.6" hidden="1" customHeight="1">
      <c r="A598" s="672" t="s">
        <v>25</v>
      </c>
      <c r="B598" s="672" t="s">
        <v>25</v>
      </c>
      <c r="C598" s="651" t="s">
        <v>3006</v>
      </c>
      <c r="D598" s="651" t="s">
        <v>3007</v>
      </c>
      <c r="E598" s="651" t="s">
        <v>3008</v>
      </c>
      <c r="F598" s="651">
        <v>767507411</v>
      </c>
      <c r="G598" s="651">
        <v>506357511</v>
      </c>
      <c r="H598" s="410">
        <v>5.8317500000000004</v>
      </c>
      <c r="I598" s="410">
        <v>-5.3614699999999997</v>
      </c>
      <c r="J598" s="651" t="s">
        <v>36</v>
      </c>
      <c r="K598" s="410" t="s">
        <v>198</v>
      </c>
      <c r="L598" s="410" t="s">
        <v>1479</v>
      </c>
      <c r="M598" s="653" t="s">
        <v>3018</v>
      </c>
      <c r="N598" s="653">
        <v>2150031598</v>
      </c>
      <c r="O598" s="673">
        <v>45910</v>
      </c>
      <c r="P598" s="502">
        <f t="shared" ref="P598:P603" ca="1" si="19">TODAY()-Q598</f>
        <v>158</v>
      </c>
      <c r="Q598" s="673">
        <v>45911</v>
      </c>
      <c r="R598" s="93" t="s">
        <v>2641</v>
      </c>
      <c r="S598" s="93"/>
      <c r="T598" s="93">
        <v>1</v>
      </c>
      <c r="U598" s="728">
        <v>45913</v>
      </c>
      <c r="V598" s="729" t="s">
        <v>310</v>
      </c>
      <c r="W598" s="93">
        <v>300</v>
      </c>
      <c r="X598" s="729" t="s">
        <v>32</v>
      </c>
      <c r="Y598" s="409" t="s">
        <v>627</v>
      </c>
      <c r="Z598" s="389"/>
      <c r="AA598" s="540" t="s">
        <v>532</v>
      </c>
      <c r="AB598" s="540" t="s">
        <v>16</v>
      </c>
      <c r="AC598" s="390" t="s">
        <v>3025</v>
      </c>
    </row>
    <row r="599" spans="1:29" s="701" customFormat="1" ht="12.6" hidden="1" customHeight="1">
      <c r="A599" s="672" t="s">
        <v>25</v>
      </c>
      <c r="B599" s="672" t="s">
        <v>25</v>
      </c>
      <c r="C599" s="651" t="s">
        <v>3022</v>
      </c>
      <c r="D599" s="651" t="s">
        <v>669</v>
      </c>
      <c r="E599" s="651" t="s">
        <v>402</v>
      </c>
      <c r="F599" s="651">
        <v>101084827</v>
      </c>
      <c r="G599" s="651">
        <v>778703043</v>
      </c>
      <c r="H599" s="410">
        <v>5.8438499999999998</v>
      </c>
      <c r="I599" s="410">
        <v>-5.3618499999999996</v>
      </c>
      <c r="J599" s="410" t="s">
        <v>36</v>
      </c>
      <c r="K599" s="410" t="s">
        <v>190</v>
      </c>
      <c r="L599" s="410" t="s">
        <v>1705</v>
      </c>
      <c r="M599" s="653" t="s">
        <v>3029</v>
      </c>
      <c r="N599" s="653">
        <v>2150031603</v>
      </c>
      <c r="O599" s="673">
        <v>45911</v>
      </c>
      <c r="P599" s="502">
        <f t="shared" ca="1" si="19"/>
        <v>157</v>
      </c>
      <c r="Q599" s="673">
        <v>45912</v>
      </c>
      <c r="R599" s="93" t="s">
        <v>2641</v>
      </c>
      <c r="S599" s="93"/>
      <c r="T599" s="93">
        <v>0</v>
      </c>
      <c r="U599" s="728">
        <v>45913</v>
      </c>
      <c r="V599" s="729" t="s">
        <v>310</v>
      </c>
      <c r="W599" s="93">
        <v>300</v>
      </c>
      <c r="X599" s="729" t="s">
        <v>32</v>
      </c>
      <c r="Y599" s="409" t="s">
        <v>343</v>
      </c>
      <c r="Z599" s="418"/>
      <c r="AA599" s="509" t="s">
        <v>532</v>
      </c>
      <c r="AB599" s="509" t="s">
        <v>16</v>
      </c>
      <c r="AC599" s="419" t="s">
        <v>3042</v>
      </c>
    </row>
    <row r="600" spans="1:29" s="701" customFormat="1" ht="15" hidden="1" customHeight="1">
      <c r="A600" s="731" t="s">
        <v>25</v>
      </c>
      <c r="B600" s="731" t="s">
        <v>25</v>
      </c>
      <c r="C600" s="730" t="s">
        <v>2993</v>
      </c>
      <c r="D600" s="730" t="s">
        <v>2994</v>
      </c>
      <c r="E600" s="730" t="s">
        <v>2995</v>
      </c>
      <c r="F600" s="730">
        <v>707540162</v>
      </c>
      <c r="G600" s="730">
        <v>769700030</v>
      </c>
      <c r="H600" s="390">
        <v>5.8420100000000001</v>
      </c>
      <c r="I600" s="390">
        <v>-5.3650000000000002</v>
      </c>
      <c r="J600" s="730" t="s">
        <v>36</v>
      </c>
      <c r="K600" s="390" t="s">
        <v>203</v>
      </c>
      <c r="L600" s="390" t="s">
        <v>1661</v>
      </c>
      <c r="M600" s="392" t="s">
        <v>3015</v>
      </c>
      <c r="N600" s="392">
        <v>2150031596</v>
      </c>
      <c r="O600" s="732">
        <v>45909</v>
      </c>
      <c r="P600" s="398">
        <f t="shared" ca="1" si="19"/>
        <v>159</v>
      </c>
      <c r="Q600" s="732">
        <v>45910</v>
      </c>
      <c r="R600" s="540" t="s">
        <v>2641</v>
      </c>
      <c r="S600" s="540"/>
      <c r="T600" s="540">
        <v>2</v>
      </c>
      <c r="U600" s="578">
        <v>45915</v>
      </c>
      <c r="V600" s="541" t="s">
        <v>310</v>
      </c>
      <c r="W600" s="540">
        <v>500</v>
      </c>
      <c r="X600" s="541" t="s">
        <v>32</v>
      </c>
      <c r="Y600" s="389" t="s">
        <v>343</v>
      </c>
      <c r="Z600" s="418"/>
      <c r="AA600" s="509" t="s">
        <v>532</v>
      </c>
      <c r="AB600" s="509" t="s">
        <v>16</v>
      </c>
      <c r="AC600" s="419" t="s">
        <v>3011</v>
      </c>
    </row>
    <row r="601" spans="1:29" s="701" customFormat="1" ht="15" hidden="1" customHeight="1" thickBot="1">
      <c r="A601" s="731" t="s">
        <v>25</v>
      </c>
      <c r="B601" s="731" t="s">
        <v>25</v>
      </c>
      <c r="C601" s="730" t="s">
        <v>2998</v>
      </c>
      <c r="D601" s="730" t="s">
        <v>2999</v>
      </c>
      <c r="E601" s="730" t="s">
        <v>3000</v>
      </c>
      <c r="F601" s="730">
        <v>769700030</v>
      </c>
      <c r="G601" s="730">
        <v>707540162</v>
      </c>
      <c r="H601" s="390">
        <v>5.8469100000000003</v>
      </c>
      <c r="I601" s="390">
        <v>-5.3672899999999997</v>
      </c>
      <c r="J601" s="730" t="s">
        <v>36</v>
      </c>
      <c r="K601" s="390" t="s">
        <v>203</v>
      </c>
      <c r="L601" s="390" t="s">
        <v>2896</v>
      </c>
      <c r="M601" s="392" t="s">
        <v>3017</v>
      </c>
      <c r="N601" s="392">
        <v>2150031599</v>
      </c>
      <c r="O601" s="732">
        <v>45909</v>
      </c>
      <c r="P601" s="398">
        <f t="shared" ca="1" si="19"/>
        <v>159</v>
      </c>
      <c r="Q601" s="732">
        <v>45910</v>
      </c>
      <c r="R601" s="540" t="s">
        <v>2641</v>
      </c>
      <c r="S601" s="540"/>
      <c r="T601" s="540">
        <v>3</v>
      </c>
      <c r="U601" s="578">
        <v>45915</v>
      </c>
      <c r="V601" s="541" t="s">
        <v>310</v>
      </c>
      <c r="W601" s="540">
        <v>300</v>
      </c>
      <c r="X601" s="541" t="s">
        <v>32</v>
      </c>
      <c r="Y601" s="389"/>
      <c r="Z601" s="418"/>
      <c r="AA601" s="509" t="s">
        <v>532</v>
      </c>
      <c r="AB601" s="509" t="s">
        <v>16</v>
      </c>
      <c r="AC601" s="419" t="s">
        <v>3027</v>
      </c>
    </row>
    <row r="602" spans="1:29" s="701" customFormat="1" ht="15" hidden="1" customHeight="1" thickBot="1">
      <c r="A602" s="1081" t="s">
        <v>25</v>
      </c>
      <c r="B602" s="1089" t="s">
        <v>25</v>
      </c>
      <c r="C602" s="1108" t="s">
        <v>3019</v>
      </c>
      <c r="D602" s="1108" t="s">
        <v>3020</v>
      </c>
      <c r="E602" s="1108" t="s">
        <v>3021</v>
      </c>
      <c r="F602" s="1108">
        <v>17328975</v>
      </c>
      <c r="G602" s="1108">
        <v>171507588</v>
      </c>
      <c r="H602" s="1125">
        <v>5.83718</v>
      </c>
      <c r="I602" s="1125">
        <v>-5.351</v>
      </c>
      <c r="J602" s="1125" t="s">
        <v>189</v>
      </c>
      <c r="K602" s="1125" t="s">
        <v>198</v>
      </c>
      <c r="L602" s="1125" t="s">
        <v>583</v>
      </c>
      <c r="M602" s="1142" t="s">
        <v>3028</v>
      </c>
      <c r="N602" s="1142">
        <v>2150031605</v>
      </c>
      <c r="O602" s="1185">
        <v>45911</v>
      </c>
      <c r="P602" s="1195">
        <f t="shared" ca="1" si="19"/>
        <v>157</v>
      </c>
      <c r="Q602" s="1185">
        <v>45912</v>
      </c>
      <c r="R602" s="1201" t="s">
        <v>2641</v>
      </c>
      <c r="S602" s="1201"/>
      <c r="T602" s="1201">
        <v>0</v>
      </c>
      <c r="U602" s="1221">
        <v>45915</v>
      </c>
      <c r="V602" s="1229" t="s">
        <v>310</v>
      </c>
      <c r="W602" s="1201">
        <v>300</v>
      </c>
      <c r="X602" s="1229" t="s">
        <v>32</v>
      </c>
      <c r="Y602" s="1244"/>
      <c r="Z602" s="869"/>
      <c r="AA602" s="868" t="s">
        <v>532</v>
      </c>
      <c r="AB602" s="867" t="s">
        <v>16</v>
      </c>
      <c r="AC602" s="867" t="s">
        <v>3900</v>
      </c>
    </row>
    <row r="603" spans="1:29" s="701" customFormat="1" ht="15" hidden="1" customHeight="1">
      <c r="A603" s="680" t="s">
        <v>25</v>
      </c>
      <c r="B603" s="418" t="s">
        <v>25</v>
      </c>
      <c r="C603" s="681" t="s">
        <v>2840</v>
      </c>
      <c r="D603" s="681" t="s">
        <v>997</v>
      </c>
      <c r="E603" s="681" t="s">
        <v>240</v>
      </c>
      <c r="F603" s="681">
        <v>749904022</v>
      </c>
      <c r="G603" s="681">
        <v>749904022</v>
      </c>
      <c r="H603" s="419">
        <v>5.8334999999999999</v>
      </c>
      <c r="I603" s="419">
        <v>-5.3617299999999997</v>
      </c>
      <c r="J603" s="681" t="s">
        <v>36</v>
      </c>
      <c r="K603" s="419" t="s">
        <v>203</v>
      </c>
      <c r="L603" s="419" t="s">
        <v>1573</v>
      </c>
      <c r="M603" s="419" t="s">
        <v>3045</v>
      </c>
      <c r="N603" s="419">
        <v>2150031600</v>
      </c>
      <c r="O603" s="682">
        <v>45722</v>
      </c>
      <c r="P603" s="422">
        <f t="shared" ca="1" si="19"/>
        <v>346</v>
      </c>
      <c r="Q603" s="682">
        <v>45723</v>
      </c>
      <c r="R603" s="418" t="s">
        <v>2641</v>
      </c>
      <c r="S603" s="419"/>
      <c r="T603" s="419">
        <v>2</v>
      </c>
      <c r="U603" s="508">
        <v>45916</v>
      </c>
      <c r="V603" s="575" t="s">
        <v>310</v>
      </c>
      <c r="W603" s="419">
        <v>250</v>
      </c>
      <c r="X603" s="575" t="s">
        <v>32</v>
      </c>
      <c r="Y603" s="418" t="s">
        <v>343</v>
      </c>
      <c r="Z603" s="418"/>
      <c r="AA603" s="509" t="s">
        <v>532</v>
      </c>
      <c r="AB603" s="509" t="s">
        <v>16</v>
      </c>
      <c r="AC603" s="419" t="s">
        <v>3044</v>
      </c>
    </row>
    <row r="604" spans="1:29" s="701" customFormat="1" ht="15" hidden="1" customHeight="1">
      <c r="A604" s="874" t="s">
        <v>25</v>
      </c>
      <c r="B604" s="874" t="s">
        <v>25</v>
      </c>
      <c r="C604" s="875" t="s">
        <v>3450</v>
      </c>
      <c r="D604" s="875" t="s">
        <v>3451</v>
      </c>
      <c r="E604" s="875" t="s">
        <v>240</v>
      </c>
      <c r="F604" s="875">
        <v>749904022</v>
      </c>
      <c r="G604" s="875">
        <v>749904022</v>
      </c>
      <c r="H604" s="876">
        <v>5.8334999999999999</v>
      </c>
      <c r="I604" s="876">
        <v>-5.3617299999999997</v>
      </c>
      <c r="J604" s="875" t="s">
        <v>36</v>
      </c>
      <c r="K604" s="876" t="s">
        <v>203</v>
      </c>
      <c r="L604" s="876" t="s">
        <v>1573</v>
      </c>
      <c r="M604" s="876" t="s">
        <v>3045</v>
      </c>
      <c r="N604" s="876">
        <v>2150031600</v>
      </c>
      <c r="O604" s="877">
        <v>45722</v>
      </c>
      <c r="P604" s="878">
        <v>194</v>
      </c>
      <c r="Q604" s="877">
        <v>45723</v>
      </c>
      <c r="R604" s="879" t="s">
        <v>2641</v>
      </c>
      <c r="S604" s="880"/>
      <c r="T604" s="876">
        <v>2</v>
      </c>
      <c r="U604" s="881">
        <v>45916</v>
      </c>
      <c r="V604" s="879" t="s">
        <v>310</v>
      </c>
      <c r="W604" s="879">
        <v>250</v>
      </c>
      <c r="X604" s="879" t="s">
        <v>32</v>
      </c>
      <c r="Y604" s="876" t="s">
        <v>343</v>
      </c>
      <c r="Z604" s="374"/>
      <c r="AA604" s="544" t="s">
        <v>532</v>
      </c>
      <c r="AB604" s="544" t="s">
        <v>16</v>
      </c>
      <c r="AC604" s="734" t="s">
        <v>3041</v>
      </c>
    </row>
    <row r="605" spans="1:29" s="639" customFormat="1" ht="15" hidden="1" customHeight="1">
      <c r="A605" s="680" t="s">
        <v>25</v>
      </c>
      <c r="B605" s="680" t="s">
        <v>25</v>
      </c>
      <c r="C605" s="681" t="s">
        <v>2996</v>
      </c>
      <c r="D605" s="681" t="s">
        <v>2997</v>
      </c>
      <c r="E605" s="681" t="s">
        <v>2323</v>
      </c>
      <c r="F605" s="681">
        <v>787328673</v>
      </c>
      <c r="G605" s="681">
        <v>787328673</v>
      </c>
      <c r="H605" s="419">
        <v>5.83779</v>
      </c>
      <c r="I605" s="419">
        <v>-5.3594400000000002</v>
      </c>
      <c r="J605" s="681" t="s">
        <v>36</v>
      </c>
      <c r="K605" s="419" t="s">
        <v>274</v>
      </c>
      <c r="L605" s="419" t="s">
        <v>1667</v>
      </c>
      <c r="M605" s="421" t="s">
        <v>3016</v>
      </c>
      <c r="N605" s="421">
        <v>2150031597</v>
      </c>
      <c r="O605" s="682">
        <v>45909</v>
      </c>
      <c r="P605" s="422">
        <f ca="1">TODAY()-Q605</f>
        <v>159</v>
      </c>
      <c r="Q605" s="682">
        <v>45910</v>
      </c>
      <c r="R605" s="509" t="s">
        <v>2641</v>
      </c>
      <c r="S605" s="509"/>
      <c r="T605" s="509">
        <v>2</v>
      </c>
      <c r="U605" s="508">
        <v>45916</v>
      </c>
      <c r="V605" s="575" t="s">
        <v>310</v>
      </c>
      <c r="W605" s="509">
        <v>300</v>
      </c>
      <c r="X605" s="575" t="s">
        <v>32</v>
      </c>
      <c r="Y605" s="418" t="s">
        <v>578</v>
      </c>
      <c r="Z605" s="418"/>
      <c r="AA605" s="241" t="s">
        <v>532</v>
      </c>
      <c r="AB605" s="418" t="s">
        <v>16</v>
      </c>
      <c r="AC605" s="419" t="s">
        <v>3049</v>
      </c>
    </row>
    <row r="606" spans="1:29" s="701" customFormat="1" ht="31.2" hidden="1">
      <c r="A606" s="680" t="s">
        <v>25</v>
      </c>
      <c r="B606" s="680" t="s">
        <v>25</v>
      </c>
      <c r="C606" s="507" t="s">
        <v>3023</v>
      </c>
      <c r="D606" s="507" t="s">
        <v>3024</v>
      </c>
      <c r="E606" s="507" t="s">
        <v>41</v>
      </c>
      <c r="F606" s="507">
        <v>141730200</v>
      </c>
      <c r="G606" s="507">
        <v>747976235</v>
      </c>
      <c r="H606" s="419">
        <v>5.8419299999999996</v>
      </c>
      <c r="I606" s="419">
        <v>-5.3520700000000003</v>
      </c>
      <c r="J606" s="419" t="s">
        <v>189</v>
      </c>
      <c r="K606" s="419" t="s">
        <v>203</v>
      </c>
      <c r="L606" s="419" t="s">
        <v>450</v>
      </c>
      <c r="M606" s="421" t="s">
        <v>3030</v>
      </c>
      <c r="N606" s="421">
        <v>2150031604</v>
      </c>
      <c r="O606" s="510">
        <v>45911</v>
      </c>
      <c r="P606" s="422">
        <f ca="1">TODAY()-Q606</f>
        <v>157</v>
      </c>
      <c r="Q606" s="510">
        <v>45912</v>
      </c>
      <c r="R606" s="509" t="s">
        <v>2641</v>
      </c>
      <c r="S606" s="509"/>
      <c r="T606" s="509">
        <v>2</v>
      </c>
      <c r="U606" s="508">
        <v>45916</v>
      </c>
      <c r="V606" s="575" t="s">
        <v>310</v>
      </c>
      <c r="W606" s="509">
        <v>300</v>
      </c>
      <c r="X606" s="575" t="s">
        <v>32</v>
      </c>
      <c r="Y606" s="418" t="s">
        <v>343</v>
      </c>
      <c r="Z606" s="389"/>
      <c r="AA606" s="665" t="s">
        <v>532</v>
      </c>
      <c r="AB606" s="665" t="s">
        <v>16</v>
      </c>
      <c r="AC606" s="390" t="s">
        <v>3089</v>
      </c>
    </row>
    <row r="607" spans="1:29" s="701" customFormat="1" ht="15" hidden="1" customHeight="1">
      <c r="A607" s="680" t="s">
        <v>25</v>
      </c>
      <c r="B607" s="680" t="s">
        <v>25</v>
      </c>
      <c r="C607" s="507" t="s">
        <v>3036</v>
      </c>
      <c r="D607" s="507" t="s">
        <v>3037</v>
      </c>
      <c r="E607" s="507" t="s">
        <v>3038</v>
      </c>
      <c r="F607" s="507">
        <v>586878274</v>
      </c>
      <c r="G607" s="507">
        <v>589900134</v>
      </c>
      <c r="H607" s="419">
        <v>5.8439399999999999</v>
      </c>
      <c r="I607" s="419">
        <v>-5.3513900000000003</v>
      </c>
      <c r="J607" s="831" t="s">
        <v>36</v>
      </c>
      <c r="K607" s="419" t="s">
        <v>203</v>
      </c>
      <c r="L607" s="419" t="s">
        <v>1661</v>
      </c>
      <c r="M607" s="419" t="s">
        <v>3046</v>
      </c>
      <c r="N607" s="419">
        <v>2150031601</v>
      </c>
      <c r="O607" s="510">
        <v>45912</v>
      </c>
      <c r="P607" s="419"/>
      <c r="Q607" s="510">
        <v>45913</v>
      </c>
      <c r="R607" s="509" t="s">
        <v>2641</v>
      </c>
      <c r="S607" s="509"/>
      <c r="T607" s="509">
        <v>0</v>
      </c>
      <c r="U607" s="508">
        <v>45916</v>
      </c>
      <c r="V607" s="575" t="s">
        <v>310</v>
      </c>
      <c r="W607" s="509">
        <v>100</v>
      </c>
      <c r="X607" s="575" t="s">
        <v>32</v>
      </c>
      <c r="Y607" s="418" t="s">
        <v>343</v>
      </c>
      <c r="Z607" s="389"/>
      <c r="AA607" s="665" t="s">
        <v>532</v>
      </c>
      <c r="AB607" s="665" t="s">
        <v>16</v>
      </c>
      <c r="AC607" s="390" t="s">
        <v>3090</v>
      </c>
    </row>
    <row r="608" spans="1:29" s="701" customFormat="1" ht="15" hidden="1" customHeight="1">
      <c r="A608" s="713" t="s">
        <v>25</v>
      </c>
      <c r="B608" s="713" t="s">
        <v>25</v>
      </c>
      <c r="C608" s="468" t="s">
        <v>3039</v>
      </c>
      <c r="D608" s="468" t="s">
        <v>3040</v>
      </c>
      <c r="E608" s="468" t="s">
        <v>292</v>
      </c>
      <c r="F608" s="468">
        <v>101505711</v>
      </c>
      <c r="G608" s="468">
        <v>707451157</v>
      </c>
      <c r="H608" s="374">
        <v>5.8307000000000002</v>
      </c>
      <c r="I608" s="374">
        <v>-5.3569199999999997</v>
      </c>
      <c r="J608" s="545" t="s">
        <v>36</v>
      </c>
      <c r="K608" s="374" t="s">
        <v>274</v>
      </c>
      <c r="L608" s="374" t="s">
        <v>1667</v>
      </c>
      <c r="M608" s="374" t="s">
        <v>3047</v>
      </c>
      <c r="N608" s="374">
        <v>2150031613</v>
      </c>
      <c r="O608" s="469">
        <v>45912</v>
      </c>
      <c r="P608" s="374"/>
      <c r="Q608" s="469">
        <v>45913</v>
      </c>
      <c r="R608" s="544" t="s">
        <v>2641</v>
      </c>
      <c r="S608" s="544"/>
      <c r="T608" s="544">
        <v>2</v>
      </c>
      <c r="U608" s="733">
        <v>45917</v>
      </c>
      <c r="V608" s="547" t="s">
        <v>310</v>
      </c>
      <c r="W608" s="544">
        <v>400</v>
      </c>
      <c r="X608" s="547" t="s">
        <v>32</v>
      </c>
      <c r="Y608" s="374" t="s">
        <v>3048</v>
      </c>
      <c r="Z608" s="534"/>
      <c r="AA608" s="531" t="s">
        <v>532</v>
      </c>
      <c r="AB608" s="534" t="s">
        <v>16</v>
      </c>
      <c r="AC608" s="531" t="s">
        <v>3129</v>
      </c>
    </row>
    <row r="609" spans="1:29" s="740" customFormat="1" ht="21" hidden="1" customHeight="1">
      <c r="A609" s="418" t="s">
        <v>25</v>
      </c>
      <c r="B609" s="418" t="s">
        <v>25</v>
      </c>
      <c r="C609" s="680" t="s">
        <v>1625</v>
      </c>
      <c r="D609" s="680" t="s">
        <v>1626</v>
      </c>
      <c r="E609" s="680" t="s">
        <v>84</v>
      </c>
      <c r="F609" s="735">
        <v>101447273</v>
      </c>
      <c r="G609" s="418">
        <v>707476501</v>
      </c>
      <c r="H609" s="680">
        <v>5.8354419999999996</v>
      </c>
      <c r="I609" s="419">
        <v>-5.3616809999999999</v>
      </c>
      <c r="J609" s="680" t="s">
        <v>36</v>
      </c>
      <c r="K609" s="419" t="s">
        <v>198</v>
      </c>
      <c r="L609" s="419" t="s">
        <v>1287</v>
      </c>
      <c r="M609" s="419" t="s">
        <v>3050</v>
      </c>
      <c r="N609" s="419">
        <v>215003161</v>
      </c>
      <c r="O609" s="736">
        <v>45756</v>
      </c>
      <c r="P609" s="422">
        <f t="shared" ref="P609:P640" ca="1" si="20">TODAY()-Q609</f>
        <v>312</v>
      </c>
      <c r="Q609" s="736">
        <v>45757</v>
      </c>
      <c r="R609" s="419" t="s">
        <v>273</v>
      </c>
      <c r="S609" s="419"/>
      <c r="T609" s="419">
        <v>0</v>
      </c>
      <c r="U609" s="424">
        <v>45918</v>
      </c>
      <c r="V609" s="419" t="s">
        <v>310</v>
      </c>
      <c r="W609" s="419">
        <v>100</v>
      </c>
      <c r="X609" s="418" t="s">
        <v>32</v>
      </c>
      <c r="Y609" s="418" t="s">
        <v>697</v>
      </c>
      <c r="Z609" s="534"/>
      <c r="AA609" s="531" t="s">
        <v>532</v>
      </c>
      <c r="AB609" s="534" t="s">
        <v>16</v>
      </c>
      <c r="AC609" s="531" t="s">
        <v>3134</v>
      </c>
    </row>
    <row r="610" spans="1:29" s="740" customFormat="1" ht="21" hidden="1" customHeight="1">
      <c r="A610" s="731" t="s">
        <v>25</v>
      </c>
      <c r="B610" s="731" t="s">
        <v>25</v>
      </c>
      <c r="C610" s="589" t="s">
        <v>3062</v>
      </c>
      <c r="D610" s="589" t="s">
        <v>3063</v>
      </c>
      <c r="E610" s="589" t="s">
        <v>434</v>
      </c>
      <c r="F610" s="589">
        <v>768445548</v>
      </c>
      <c r="G610" s="589">
        <v>767376896</v>
      </c>
      <c r="H610" s="390">
        <v>5.8464900000000002</v>
      </c>
      <c r="I610" s="390">
        <v>-5.3562399999999997</v>
      </c>
      <c r="J610" s="589" t="s">
        <v>189</v>
      </c>
      <c r="K610" s="390" t="s">
        <v>203</v>
      </c>
      <c r="L610" s="390" t="s">
        <v>525</v>
      </c>
      <c r="M610" s="462" t="s">
        <v>3102</v>
      </c>
      <c r="N610" s="462">
        <v>2150031606</v>
      </c>
      <c r="O610" s="590">
        <v>45917</v>
      </c>
      <c r="P610" s="398">
        <f t="shared" ca="1" si="20"/>
        <v>150</v>
      </c>
      <c r="Q610" s="590">
        <v>45919</v>
      </c>
      <c r="R610" s="665" t="s">
        <v>2641</v>
      </c>
      <c r="S610" s="665"/>
      <c r="T610" s="665">
        <v>0</v>
      </c>
      <c r="U610" s="742">
        <v>45920</v>
      </c>
      <c r="V610" s="666" t="s">
        <v>310</v>
      </c>
      <c r="W610" s="665">
        <v>150</v>
      </c>
      <c r="X610" s="666" t="s">
        <v>32</v>
      </c>
      <c r="Y610" s="389" t="s">
        <v>245</v>
      </c>
      <c r="Z610" s="534"/>
      <c r="AA610" s="531" t="s">
        <v>532</v>
      </c>
      <c r="AB610" s="724" t="s">
        <v>16</v>
      </c>
      <c r="AC610" s="531" t="s">
        <v>3124</v>
      </c>
    </row>
    <row r="611" spans="1:29" s="740" customFormat="1" ht="21" hidden="1" customHeight="1">
      <c r="A611" s="731" t="s">
        <v>25</v>
      </c>
      <c r="B611" s="731" t="s">
        <v>25</v>
      </c>
      <c r="C611" s="589" t="s">
        <v>3086</v>
      </c>
      <c r="D611" s="589" t="s">
        <v>3087</v>
      </c>
      <c r="E611" s="589" t="s">
        <v>3088</v>
      </c>
      <c r="F611" s="589">
        <v>769918897</v>
      </c>
      <c r="G611" s="589">
        <v>769918897</v>
      </c>
      <c r="H611" s="390"/>
      <c r="I611" s="390"/>
      <c r="J611" s="589" t="s">
        <v>36</v>
      </c>
      <c r="K611" s="390" t="s">
        <v>203</v>
      </c>
      <c r="L611" s="390" t="s">
        <v>382</v>
      </c>
      <c r="M611" s="462" t="s">
        <v>3103</v>
      </c>
      <c r="N611" s="462">
        <v>2150031607</v>
      </c>
      <c r="O611" s="590">
        <v>45918</v>
      </c>
      <c r="P611" s="398">
        <f t="shared" ca="1" si="20"/>
        <v>150</v>
      </c>
      <c r="Q611" s="590">
        <v>45919</v>
      </c>
      <c r="R611" s="665" t="s">
        <v>2641</v>
      </c>
      <c r="S611" s="665"/>
      <c r="T611" s="665">
        <v>0</v>
      </c>
      <c r="U611" s="742">
        <v>45920</v>
      </c>
      <c r="V611" s="666" t="s">
        <v>310</v>
      </c>
      <c r="W611" s="665">
        <v>100</v>
      </c>
      <c r="X611" s="666" t="s">
        <v>32</v>
      </c>
      <c r="Y611" s="389" t="s">
        <v>697</v>
      </c>
      <c r="Z611" s="380"/>
      <c r="AA611" s="380" t="s">
        <v>532</v>
      </c>
      <c r="AB611" s="51" t="s">
        <v>16</v>
      </c>
      <c r="AC611" s="374" t="s">
        <v>3130</v>
      </c>
    </row>
    <row r="612" spans="1:29" s="701" customFormat="1" ht="13.8" hidden="1" customHeight="1">
      <c r="A612" s="723" t="s">
        <v>25</v>
      </c>
      <c r="B612" s="723" t="s">
        <v>25</v>
      </c>
      <c r="C612" s="723" t="s">
        <v>2627</v>
      </c>
      <c r="D612" s="723" t="s">
        <v>2628</v>
      </c>
      <c r="E612" s="723" t="s">
        <v>2629</v>
      </c>
      <c r="F612" s="738">
        <v>749689003</v>
      </c>
      <c r="G612" s="534">
        <v>749689003</v>
      </c>
      <c r="H612" s="531">
        <v>5.8456400000000004</v>
      </c>
      <c r="I612" s="531">
        <v>-5.3580300000000003</v>
      </c>
      <c r="J612" s="723" t="s">
        <v>36</v>
      </c>
      <c r="K612" s="531" t="s">
        <v>190</v>
      </c>
      <c r="L612" s="531" t="s">
        <v>3128</v>
      </c>
      <c r="M612" s="531" t="s">
        <v>3132</v>
      </c>
      <c r="N612" s="531">
        <v>2150031587</v>
      </c>
      <c r="O612" s="739">
        <v>45870</v>
      </c>
      <c r="P612" s="533">
        <f t="shared" ca="1" si="20"/>
        <v>198</v>
      </c>
      <c r="Q612" s="739">
        <v>45871</v>
      </c>
      <c r="R612" s="531" t="s">
        <v>273</v>
      </c>
      <c r="S612" s="531"/>
      <c r="T612" s="531">
        <v>0</v>
      </c>
      <c r="U612" s="725">
        <v>45922</v>
      </c>
      <c r="V612" s="531" t="s">
        <v>310</v>
      </c>
      <c r="W612" s="531">
        <v>350</v>
      </c>
      <c r="X612" s="531" t="s">
        <v>32</v>
      </c>
      <c r="Y612" s="534" t="s">
        <v>193</v>
      </c>
      <c r="Z612" s="380"/>
      <c r="AA612" s="380" t="s">
        <v>532</v>
      </c>
      <c r="AB612" s="51" t="s">
        <v>16</v>
      </c>
      <c r="AC612" s="374" t="s">
        <v>3123</v>
      </c>
    </row>
    <row r="613" spans="1:29" s="701" customFormat="1" ht="15" hidden="1" customHeight="1">
      <c r="A613" s="723" t="s">
        <v>25</v>
      </c>
      <c r="B613" s="723" t="s">
        <v>25</v>
      </c>
      <c r="C613" s="552" t="s">
        <v>3064</v>
      </c>
      <c r="D613" s="552" t="s">
        <v>3065</v>
      </c>
      <c r="E613" s="552" t="s">
        <v>3066</v>
      </c>
      <c r="F613" s="552">
        <v>749953727</v>
      </c>
      <c r="G613" s="552">
        <v>555101433</v>
      </c>
      <c r="H613" s="531"/>
      <c r="I613" s="531"/>
      <c r="J613" s="552" t="s">
        <v>36</v>
      </c>
      <c r="K613" s="531" t="s">
        <v>203</v>
      </c>
      <c r="L613" s="531" t="s">
        <v>2597</v>
      </c>
      <c r="M613" s="531" t="s">
        <v>3133</v>
      </c>
      <c r="N613" s="531">
        <v>2150031586</v>
      </c>
      <c r="O613" s="554">
        <v>45917</v>
      </c>
      <c r="P613" s="533">
        <f t="shared" ca="1" si="20"/>
        <v>150</v>
      </c>
      <c r="Q613" s="554">
        <v>45919</v>
      </c>
      <c r="R613" s="724" t="s">
        <v>2907</v>
      </c>
      <c r="S613" s="724"/>
      <c r="T613" s="724"/>
      <c r="U613" s="725">
        <v>45922</v>
      </c>
      <c r="V613" s="726" t="s">
        <v>310</v>
      </c>
      <c r="W613" s="724"/>
      <c r="X613" s="726" t="s">
        <v>32</v>
      </c>
      <c r="Y613" s="534" t="s">
        <v>193</v>
      </c>
      <c r="Z613" s="744"/>
      <c r="AA613" s="744" t="s">
        <v>532</v>
      </c>
      <c r="AB613" s="752" t="s">
        <v>16</v>
      </c>
      <c r="AC613" s="746" t="s">
        <v>3131</v>
      </c>
    </row>
    <row r="614" spans="1:29" s="701" customFormat="1" ht="15" hidden="1" customHeight="1">
      <c r="A614" s="723" t="s">
        <v>25</v>
      </c>
      <c r="B614" s="723" t="s">
        <v>25</v>
      </c>
      <c r="C614" s="741" t="s">
        <v>3112</v>
      </c>
      <c r="D614" s="741" t="s">
        <v>3113</v>
      </c>
      <c r="E614" s="741" t="s">
        <v>3114</v>
      </c>
      <c r="F614" s="741">
        <v>103558024</v>
      </c>
      <c r="G614" s="741">
        <v>747446819</v>
      </c>
      <c r="H614" s="531">
        <v>5.8338099999999997</v>
      </c>
      <c r="I614" s="531">
        <v>-5.3605499999999999</v>
      </c>
      <c r="J614" s="741" t="s">
        <v>36</v>
      </c>
      <c r="K614" s="531" t="s">
        <v>198</v>
      </c>
      <c r="L614" s="531" t="s">
        <v>1978</v>
      </c>
      <c r="M614" s="585" t="s">
        <v>3127</v>
      </c>
      <c r="N614" s="585">
        <v>2150031589</v>
      </c>
      <c r="O614" s="741" t="s">
        <v>3119</v>
      </c>
      <c r="P614" s="533">
        <f t="shared" ca="1" si="20"/>
        <v>149</v>
      </c>
      <c r="Q614" s="741" t="s">
        <v>3118</v>
      </c>
      <c r="R614" s="724" t="s">
        <v>2641</v>
      </c>
      <c r="S614" s="724"/>
      <c r="T614" s="724">
        <v>0</v>
      </c>
      <c r="U614" s="725">
        <v>45922</v>
      </c>
      <c r="V614" s="726" t="s">
        <v>310</v>
      </c>
      <c r="W614" s="724">
        <v>200</v>
      </c>
      <c r="X614" s="726" t="s">
        <v>32</v>
      </c>
      <c r="Y614" s="740" t="s">
        <v>697</v>
      </c>
      <c r="Z614" s="751"/>
      <c r="AA614" s="744" t="s">
        <v>532</v>
      </c>
      <c r="AB614" s="755" t="s">
        <v>16</v>
      </c>
      <c r="AC614" s="746" t="s">
        <v>3091</v>
      </c>
    </row>
    <row r="615" spans="1:29" s="701" customFormat="1" ht="15" hidden="1" customHeight="1">
      <c r="A615" s="713" t="s">
        <v>25</v>
      </c>
      <c r="B615" s="713" t="s">
        <v>25</v>
      </c>
      <c r="C615" s="657" t="s">
        <v>3069</v>
      </c>
      <c r="D615" s="657" t="s">
        <v>3070</v>
      </c>
      <c r="E615" s="657" t="s">
        <v>375</v>
      </c>
      <c r="F615" s="657">
        <v>788090447</v>
      </c>
      <c r="G615" s="657">
        <v>151395147</v>
      </c>
      <c r="H615" s="374">
        <v>5.83535</v>
      </c>
      <c r="I615" s="374">
        <v>-5.3741599999999998</v>
      </c>
      <c r="J615" s="657" t="s">
        <v>36</v>
      </c>
      <c r="K615" s="374" t="s">
        <v>203</v>
      </c>
      <c r="L615" s="374" t="s">
        <v>2903</v>
      </c>
      <c r="M615" s="374" t="s">
        <v>3137</v>
      </c>
      <c r="N615" s="374">
        <v>2150031591</v>
      </c>
      <c r="O615" s="737">
        <v>45917</v>
      </c>
      <c r="P615" s="377">
        <f t="shared" ca="1" si="20"/>
        <v>150</v>
      </c>
      <c r="Q615" s="737">
        <v>45919</v>
      </c>
      <c r="R615" s="51" t="s">
        <v>2641</v>
      </c>
      <c r="S615" s="51"/>
      <c r="T615" s="51">
        <v>4</v>
      </c>
      <c r="U615" s="381">
        <v>45923</v>
      </c>
      <c r="V615" s="658" t="s">
        <v>310</v>
      </c>
      <c r="W615" s="51">
        <v>350</v>
      </c>
      <c r="X615" s="658" t="s">
        <v>32</v>
      </c>
      <c r="Y615" s="1242"/>
      <c r="Z615" s="751"/>
      <c r="AA615" s="755" t="s">
        <v>532</v>
      </c>
      <c r="AB615" s="755" t="s">
        <v>16</v>
      </c>
      <c r="AC615" s="746" t="s">
        <v>3120</v>
      </c>
    </row>
    <row r="616" spans="1:29" s="701" customFormat="1" ht="15" hidden="1" customHeight="1">
      <c r="A616" s="713" t="s">
        <v>25</v>
      </c>
      <c r="B616" s="713" t="s">
        <v>25</v>
      </c>
      <c r="C616" s="898" t="s">
        <v>3110</v>
      </c>
      <c r="D616" s="898" t="s">
        <v>3111</v>
      </c>
      <c r="E616" s="898" t="s">
        <v>375</v>
      </c>
      <c r="F616" s="898">
        <v>749167438</v>
      </c>
      <c r="G616" s="898">
        <v>797939955</v>
      </c>
      <c r="H616" s="374">
        <v>5.8413199999999996</v>
      </c>
      <c r="I616" s="374">
        <v>-5.3705400000000001</v>
      </c>
      <c r="J616" s="898" t="s">
        <v>36</v>
      </c>
      <c r="K616" s="374" t="s">
        <v>203</v>
      </c>
      <c r="L616" s="374" t="s">
        <v>2904</v>
      </c>
      <c r="M616" s="374" t="s">
        <v>3138</v>
      </c>
      <c r="N616" s="374">
        <v>2150031590</v>
      </c>
      <c r="O616" s="898" t="s">
        <v>3117</v>
      </c>
      <c r="P616" s="377">
        <f t="shared" ca="1" si="20"/>
        <v>149</v>
      </c>
      <c r="Q616" s="898" t="s">
        <v>3118</v>
      </c>
      <c r="R616" s="51" t="s">
        <v>2641</v>
      </c>
      <c r="S616" s="51"/>
      <c r="T616" s="51"/>
      <c r="U616" s="381">
        <v>45923</v>
      </c>
      <c r="V616" s="658" t="s">
        <v>310</v>
      </c>
      <c r="W616" s="51">
        <v>150</v>
      </c>
      <c r="X616" s="658" t="s">
        <v>32</v>
      </c>
      <c r="Y616" s="1242"/>
      <c r="Z616" s="756"/>
      <c r="AA616" s="390" t="s">
        <v>532</v>
      </c>
      <c r="AB616" s="665" t="s">
        <v>16</v>
      </c>
      <c r="AC616" s="390" t="s">
        <v>3121</v>
      </c>
    </row>
    <row r="617" spans="1:29" s="701" customFormat="1" ht="15" hidden="1" customHeight="1">
      <c r="A617" s="743" t="s">
        <v>25</v>
      </c>
      <c r="B617" s="744" t="s">
        <v>25</v>
      </c>
      <c r="C617" s="744" t="s">
        <v>2382</v>
      </c>
      <c r="D617" s="744" t="s">
        <v>2383</v>
      </c>
      <c r="E617" s="744" t="s">
        <v>2384</v>
      </c>
      <c r="F617" s="745">
        <v>759417315</v>
      </c>
      <c r="G617" s="744">
        <v>759417315</v>
      </c>
      <c r="H617" s="746">
        <v>5.8404400000000001</v>
      </c>
      <c r="I617" s="746">
        <v>-5.3574799999999998</v>
      </c>
      <c r="J617" s="744" t="s">
        <v>36</v>
      </c>
      <c r="K617" s="746" t="s">
        <v>190</v>
      </c>
      <c r="L617" s="746" t="s">
        <v>2597</v>
      </c>
      <c r="M617" s="838" t="s">
        <v>3136</v>
      </c>
      <c r="N617" s="838">
        <v>2150031614</v>
      </c>
      <c r="O617" s="747">
        <v>45848</v>
      </c>
      <c r="P617" s="748">
        <f t="shared" ca="1" si="20"/>
        <v>220</v>
      </c>
      <c r="Q617" s="747">
        <v>45849</v>
      </c>
      <c r="R617" s="746" t="s">
        <v>273</v>
      </c>
      <c r="S617" s="744"/>
      <c r="T617" s="744">
        <v>0</v>
      </c>
      <c r="U617" s="749">
        <v>45924</v>
      </c>
      <c r="V617" s="750" t="s">
        <v>310</v>
      </c>
      <c r="W617" s="744">
        <v>250</v>
      </c>
      <c r="X617" s="750" t="s">
        <v>32</v>
      </c>
      <c r="Y617" s="751" t="s">
        <v>228</v>
      </c>
      <c r="Z617" s="756"/>
      <c r="AA617" s="390" t="s">
        <v>532</v>
      </c>
      <c r="AB617" s="665" t="s">
        <v>16</v>
      </c>
      <c r="AC617" s="390" t="s">
        <v>3100</v>
      </c>
    </row>
    <row r="618" spans="1:29" s="701" customFormat="1" ht="15" hidden="1" customHeight="1" thickBot="1">
      <c r="A618" s="743" t="s">
        <v>25</v>
      </c>
      <c r="B618" s="743" t="s">
        <v>25</v>
      </c>
      <c r="C618" s="753" t="s">
        <v>3081</v>
      </c>
      <c r="D618" s="753" t="s">
        <v>3082</v>
      </c>
      <c r="E618" s="753" t="s">
        <v>295</v>
      </c>
      <c r="F618" s="753">
        <v>143654228</v>
      </c>
      <c r="G618" s="753">
        <v>708162400</v>
      </c>
      <c r="H618" s="746">
        <v>5.8318300000000001</v>
      </c>
      <c r="I618" s="746">
        <v>-5.35684</v>
      </c>
      <c r="J618" s="753" t="s">
        <v>36</v>
      </c>
      <c r="K618" s="746" t="s">
        <v>274</v>
      </c>
      <c r="L618" s="746" t="s">
        <v>1667</v>
      </c>
      <c r="M618" s="838" t="s">
        <v>3135</v>
      </c>
      <c r="N618" s="838">
        <v>2150031615</v>
      </c>
      <c r="O618" s="754">
        <v>45917</v>
      </c>
      <c r="P618" s="748">
        <f t="shared" ca="1" si="20"/>
        <v>150</v>
      </c>
      <c r="Q618" s="754">
        <v>45919</v>
      </c>
      <c r="R618" s="755" t="s">
        <v>2641</v>
      </c>
      <c r="S618" s="755"/>
      <c r="T618" s="755">
        <v>1</v>
      </c>
      <c r="U618" s="749">
        <v>45924</v>
      </c>
      <c r="V618" s="750" t="s">
        <v>310</v>
      </c>
      <c r="W618" s="755">
        <v>250</v>
      </c>
      <c r="X618" s="750" t="s">
        <v>32</v>
      </c>
      <c r="Y618" s="751" t="s">
        <v>1521</v>
      </c>
      <c r="Z618" s="756"/>
      <c r="AA618" s="390" t="s">
        <v>532</v>
      </c>
      <c r="AB618" s="665" t="s">
        <v>16</v>
      </c>
      <c r="AC618" s="390" t="s">
        <v>3098</v>
      </c>
    </row>
    <row r="619" spans="1:29" s="701" customFormat="1" ht="15" hidden="1" customHeight="1" thickBot="1">
      <c r="A619" s="743" t="s">
        <v>25</v>
      </c>
      <c r="B619" s="743" t="s">
        <v>25</v>
      </c>
      <c r="C619" s="893" t="s">
        <v>3107</v>
      </c>
      <c r="D619" s="893" t="s">
        <v>3108</v>
      </c>
      <c r="E619" s="893" t="s">
        <v>3109</v>
      </c>
      <c r="F619" s="893">
        <v>104854283</v>
      </c>
      <c r="G619" s="893">
        <v>787587968</v>
      </c>
      <c r="H619" s="746">
        <v>5.8441900000000002</v>
      </c>
      <c r="I619" s="746">
        <v>-5.3424399999999999</v>
      </c>
      <c r="J619" s="893" t="s">
        <v>189</v>
      </c>
      <c r="K619" s="746" t="s">
        <v>274</v>
      </c>
      <c r="L619" s="746" t="s">
        <v>263</v>
      </c>
      <c r="M619" s="1149" t="s">
        <v>3157</v>
      </c>
      <c r="N619" s="1149">
        <v>2150031594</v>
      </c>
      <c r="O619" s="893" t="s">
        <v>3117</v>
      </c>
      <c r="P619" s="748">
        <f t="shared" ca="1" si="20"/>
        <v>149</v>
      </c>
      <c r="Q619" s="893" t="s">
        <v>3118</v>
      </c>
      <c r="R619" s="755" t="s">
        <v>2641</v>
      </c>
      <c r="S619" s="755"/>
      <c r="T619" s="755">
        <v>1</v>
      </c>
      <c r="U619" s="747">
        <v>45924</v>
      </c>
      <c r="V619" s="928" t="s">
        <v>310</v>
      </c>
      <c r="W619" s="755">
        <v>200</v>
      </c>
      <c r="X619" s="928" t="s">
        <v>32</v>
      </c>
      <c r="Y619" s="751" t="s">
        <v>228</v>
      </c>
      <c r="Z619" s="642"/>
      <c r="AA619" s="390" t="s">
        <v>532</v>
      </c>
      <c r="AB619" s="665" t="s">
        <v>16</v>
      </c>
      <c r="AC619" s="390" t="s">
        <v>3158</v>
      </c>
    </row>
    <row r="620" spans="1:29" s="639" customFormat="1" ht="15" hidden="1" customHeight="1">
      <c r="A620" s="1395" t="s">
        <v>25</v>
      </c>
      <c r="B620" s="1395" t="s">
        <v>25</v>
      </c>
      <c r="C620" s="1396" t="s">
        <v>3031</v>
      </c>
      <c r="D620" s="1396" t="s">
        <v>3032</v>
      </c>
      <c r="E620" s="1396" t="s">
        <v>3033</v>
      </c>
      <c r="F620" s="1396">
        <v>153740965</v>
      </c>
      <c r="G620" s="1396">
        <v>504455982</v>
      </c>
      <c r="H620" s="769">
        <v>5.8384499999999999</v>
      </c>
      <c r="I620" s="769">
        <v>-5.3487799999999996</v>
      </c>
      <c r="J620" s="1397" t="s">
        <v>189</v>
      </c>
      <c r="K620" s="769" t="s">
        <v>190</v>
      </c>
      <c r="L620" s="769" t="s">
        <v>584</v>
      </c>
      <c r="M620" s="769" t="s">
        <v>3177</v>
      </c>
      <c r="N620" s="769">
        <v>2150031583</v>
      </c>
      <c r="O620" s="1398">
        <v>45912</v>
      </c>
      <c r="P620" s="1399">
        <f t="shared" ca="1" si="20"/>
        <v>156</v>
      </c>
      <c r="Q620" s="1398">
        <v>45913</v>
      </c>
      <c r="R620" s="770" t="s">
        <v>2641</v>
      </c>
      <c r="S620" s="770"/>
      <c r="T620" s="770"/>
      <c r="U620" s="1400">
        <v>45925</v>
      </c>
      <c r="V620" s="1401" t="s">
        <v>310</v>
      </c>
      <c r="W620" s="770">
        <v>300</v>
      </c>
      <c r="X620" s="1401" t="s">
        <v>32</v>
      </c>
      <c r="Y620" s="642" t="s">
        <v>193</v>
      </c>
      <c r="Z620" s="642"/>
      <c r="AA620" s="769" t="s">
        <v>532</v>
      </c>
      <c r="AB620" s="1327" t="s">
        <v>16</v>
      </c>
      <c r="AC620" s="769" t="s">
        <v>3097</v>
      </c>
    </row>
    <row r="621" spans="1:29" s="634" customFormat="1" ht="15" customHeight="1">
      <c r="A621" s="1311" t="s">
        <v>25</v>
      </c>
      <c r="B621" s="1311" t="s">
        <v>25</v>
      </c>
      <c r="C621" s="235" t="s">
        <v>3083</v>
      </c>
      <c r="D621" s="235" t="s">
        <v>3084</v>
      </c>
      <c r="E621" s="235" t="s">
        <v>3085</v>
      </c>
      <c r="F621" s="235">
        <v>788934271</v>
      </c>
      <c r="G621" s="235">
        <v>546114181</v>
      </c>
      <c r="H621" s="236">
        <v>5.8158700000000003</v>
      </c>
      <c r="I621" s="236">
        <v>-5.3633800000000003</v>
      </c>
      <c r="J621" s="235" t="s">
        <v>2612</v>
      </c>
      <c r="K621" s="236" t="s">
        <v>190</v>
      </c>
      <c r="L621" s="236" t="s">
        <v>3096</v>
      </c>
      <c r="M621" s="236" t="s">
        <v>3179</v>
      </c>
      <c r="N621" s="236">
        <v>2150031585</v>
      </c>
      <c r="O621" s="238">
        <v>45917</v>
      </c>
      <c r="P621" s="1312">
        <f t="shared" ca="1" si="20"/>
        <v>150</v>
      </c>
      <c r="Q621" s="238">
        <v>45919</v>
      </c>
      <c r="R621" s="665" t="s">
        <v>273</v>
      </c>
      <c r="S621" s="665"/>
      <c r="T621" s="665">
        <v>1</v>
      </c>
      <c r="U621" s="742">
        <v>45925</v>
      </c>
      <c r="V621" s="666" t="s">
        <v>310</v>
      </c>
      <c r="W621" s="665">
        <v>200</v>
      </c>
      <c r="X621" s="666" t="s">
        <v>32</v>
      </c>
      <c r="Y621" s="664" t="s">
        <v>343</v>
      </c>
      <c r="Z621" s="236"/>
      <c r="AA621" s="236" t="s">
        <v>532</v>
      </c>
      <c r="AB621" s="665" t="s">
        <v>16</v>
      </c>
      <c r="AC621" s="236" t="s">
        <v>3160</v>
      </c>
    </row>
    <row r="622" spans="1:29" s="634" customFormat="1" ht="15" customHeight="1">
      <c r="A622" s="1311" t="s">
        <v>25</v>
      </c>
      <c r="B622" s="1311" t="s">
        <v>25</v>
      </c>
      <c r="C622" s="235" t="s">
        <v>3079</v>
      </c>
      <c r="D622" s="235" t="s">
        <v>3080</v>
      </c>
      <c r="E622" s="235" t="s">
        <v>3053</v>
      </c>
      <c r="F622" s="235">
        <v>788920936</v>
      </c>
      <c r="G622" s="235">
        <v>788920936</v>
      </c>
      <c r="H622" s="236">
        <v>5.81602</v>
      </c>
      <c r="I622" s="236">
        <v>-5.3636999999999997</v>
      </c>
      <c r="J622" s="235" t="s">
        <v>2612</v>
      </c>
      <c r="K622" s="236" t="s">
        <v>190</v>
      </c>
      <c r="L622" s="236" t="s">
        <v>3096</v>
      </c>
      <c r="M622" s="237" t="s">
        <v>3104</v>
      </c>
      <c r="N622" s="237">
        <v>2150031611</v>
      </c>
      <c r="O622" s="238">
        <v>45917</v>
      </c>
      <c r="P622" s="1312">
        <f t="shared" ca="1" si="20"/>
        <v>150</v>
      </c>
      <c r="Q622" s="238">
        <v>45919</v>
      </c>
      <c r="R622" s="665" t="s">
        <v>273</v>
      </c>
      <c r="S622" s="665"/>
      <c r="T622" s="665">
        <v>0</v>
      </c>
      <c r="U622" s="742">
        <v>45925</v>
      </c>
      <c r="V622" s="666" t="s">
        <v>310</v>
      </c>
      <c r="W622" s="665">
        <v>200</v>
      </c>
      <c r="X622" s="666" t="s">
        <v>32</v>
      </c>
      <c r="Y622" s="664" t="s">
        <v>245</v>
      </c>
      <c r="Z622" s="168"/>
      <c r="AA622" s="168" t="s">
        <v>1427</v>
      </c>
      <c r="AB622" s="300" t="s">
        <v>16</v>
      </c>
      <c r="AC622" s="168" t="s">
        <v>3095</v>
      </c>
    </row>
    <row r="623" spans="1:29" s="634" customFormat="1" ht="15" customHeight="1">
      <c r="A623" s="1311" t="s">
        <v>25</v>
      </c>
      <c r="B623" s="1311" t="s">
        <v>25</v>
      </c>
      <c r="C623" s="235" t="s">
        <v>3077</v>
      </c>
      <c r="D623" s="235" t="s">
        <v>3078</v>
      </c>
      <c r="E623" s="235" t="s">
        <v>3053</v>
      </c>
      <c r="F623" s="235">
        <v>151316970</v>
      </c>
      <c r="G623" s="235">
        <v>545134264</v>
      </c>
      <c r="H623" s="236">
        <v>5.8159000000000001</v>
      </c>
      <c r="I623" s="236">
        <v>-5.3643999999999998</v>
      </c>
      <c r="J623" s="235" t="s">
        <v>2612</v>
      </c>
      <c r="K623" s="236" t="s">
        <v>190</v>
      </c>
      <c r="L623" s="236" t="s">
        <v>3096</v>
      </c>
      <c r="M623" s="236" t="s">
        <v>3176</v>
      </c>
      <c r="N623" s="236">
        <v>2150031595</v>
      </c>
      <c r="O623" s="238">
        <v>45917</v>
      </c>
      <c r="P623" s="1312">
        <f t="shared" ca="1" si="20"/>
        <v>150</v>
      </c>
      <c r="Q623" s="238">
        <v>45919</v>
      </c>
      <c r="R623" s="665" t="s">
        <v>273</v>
      </c>
      <c r="S623" s="665"/>
      <c r="T623" s="665">
        <v>1</v>
      </c>
      <c r="U623" s="742">
        <v>45925</v>
      </c>
      <c r="V623" s="666" t="s">
        <v>310</v>
      </c>
      <c r="W623" s="665">
        <v>250</v>
      </c>
      <c r="X623" s="666" t="s">
        <v>32</v>
      </c>
      <c r="Y623" s="664" t="s">
        <v>228</v>
      </c>
      <c r="Z623" s="168"/>
      <c r="AA623" s="168" t="s">
        <v>1427</v>
      </c>
      <c r="AB623" s="300" t="s">
        <v>16</v>
      </c>
      <c r="AC623" s="168" t="s">
        <v>3093</v>
      </c>
    </row>
    <row r="624" spans="1:29" s="634" customFormat="1" ht="15" customHeight="1">
      <c r="A624" s="1311" t="s">
        <v>25</v>
      </c>
      <c r="B624" s="1311" t="s">
        <v>25</v>
      </c>
      <c r="C624" s="235" t="s">
        <v>3067</v>
      </c>
      <c r="D624" s="235" t="s">
        <v>3068</v>
      </c>
      <c r="E624" s="235" t="s">
        <v>3053</v>
      </c>
      <c r="F624" s="235">
        <v>787352453</v>
      </c>
      <c r="G624" s="235">
        <v>787352453</v>
      </c>
      <c r="H624" s="236">
        <v>5.8159099999999997</v>
      </c>
      <c r="I624" s="236">
        <v>-5.3643900000000002</v>
      </c>
      <c r="J624" s="235" t="s">
        <v>2612</v>
      </c>
      <c r="K624" s="236" t="s">
        <v>190</v>
      </c>
      <c r="L624" s="236" t="s">
        <v>3096</v>
      </c>
      <c r="M624" s="237" t="s">
        <v>3105</v>
      </c>
      <c r="N624" s="237">
        <v>2150031608</v>
      </c>
      <c r="O624" s="238">
        <v>45917</v>
      </c>
      <c r="P624" s="1312">
        <f t="shared" ca="1" si="20"/>
        <v>150</v>
      </c>
      <c r="Q624" s="238">
        <v>45919</v>
      </c>
      <c r="R624" s="665" t="s">
        <v>273</v>
      </c>
      <c r="S624" s="665"/>
      <c r="T624" s="665">
        <v>0</v>
      </c>
      <c r="U624" s="742">
        <v>45925</v>
      </c>
      <c r="V624" s="666" t="s">
        <v>310</v>
      </c>
      <c r="W624" s="665">
        <v>100</v>
      </c>
      <c r="X624" s="666" t="s">
        <v>32</v>
      </c>
      <c r="Y624" s="236" t="s">
        <v>193</v>
      </c>
      <c r="Z624" s="168"/>
      <c r="AA624" s="168" t="s">
        <v>1427</v>
      </c>
      <c r="AB624" s="300" t="s">
        <v>16</v>
      </c>
      <c r="AC624" s="168" t="s">
        <v>3126</v>
      </c>
    </row>
    <row r="625" spans="1:29" s="639" customFormat="1" ht="15" hidden="1" customHeight="1">
      <c r="A625" s="1663" t="s">
        <v>25</v>
      </c>
      <c r="B625" s="1663" t="s">
        <v>25</v>
      </c>
      <c r="C625" s="1664" t="s">
        <v>3149</v>
      </c>
      <c r="D625" s="1664" t="s">
        <v>3150</v>
      </c>
      <c r="E625" s="1664" t="s">
        <v>3151</v>
      </c>
      <c r="F625" s="1664">
        <v>789262275</v>
      </c>
      <c r="G625" s="1664">
        <v>789262275</v>
      </c>
      <c r="H625" s="1665">
        <v>5.8400889999999999</v>
      </c>
      <c r="I625" s="1665">
        <v>-5.3720270000000001</v>
      </c>
      <c r="J625" s="1664" t="s">
        <v>36</v>
      </c>
      <c r="K625" s="1665" t="s">
        <v>203</v>
      </c>
      <c r="L625" s="1665" t="s">
        <v>2904</v>
      </c>
      <c r="M625" s="1665" t="s">
        <v>3178</v>
      </c>
      <c r="N625" s="1665">
        <v>2150031584</v>
      </c>
      <c r="O625" s="1666">
        <v>45923</v>
      </c>
      <c r="P625" s="1667">
        <f t="shared" ca="1" si="20"/>
        <v>145</v>
      </c>
      <c r="Q625" s="1666">
        <v>45924</v>
      </c>
      <c r="R625" s="1668" t="s">
        <v>2641</v>
      </c>
      <c r="S625" s="1668"/>
      <c r="T625" s="1668">
        <v>5</v>
      </c>
      <c r="U625" s="1669">
        <v>45925</v>
      </c>
      <c r="V625" s="1670" t="s">
        <v>310</v>
      </c>
      <c r="W625" s="1668">
        <v>350</v>
      </c>
      <c r="X625" s="1670" t="s">
        <v>32</v>
      </c>
      <c r="Y625" s="642" t="s">
        <v>245</v>
      </c>
      <c r="Z625" s="663"/>
      <c r="AA625" s="1671" t="s">
        <v>1427</v>
      </c>
      <c r="AB625" s="1672" t="s">
        <v>16</v>
      </c>
      <c r="AC625" s="1671" t="s">
        <v>3170</v>
      </c>
    </row>
    <row r="626" spans="1:29" s="634" customFormat="1" ht="15" customHeight="1">
      <c r="A626" s="1313" t="s">
        <v>25</v>
      </c>
      <c r="B626" s="1313" t="s">
        <v>25</v>
      </c>
      <c r="C626" s="166" t="s">
        <v>3056</v>
      </c>
      <c r="D626" s="166" t="s">
        <v>3057</v>
      </c>
      <c r="E626" s="166" t="s">
        <v>3058</v>
      </c>
      <c r="F626" s="166">
        <v>757501030</v>
      </c>
      <c r="G626" s="166">
        <v>759624410</v>
      </c>
      <c r="H626" s="168">
        <v>5.8160699999999999</v>
      </c>
      <c r="I626" s="168">
        <v>-5.3651400000000002</v>
      </c>
      <c r="J626" s="166" t="s">
        <v>2612</v>
      </c>
      <c r="K626" s="168" t="s">
        <v>190</v>
      </c>
      <c r="L626" s="168" t="s">
        <v>3094</v>
      </c>
      <c r="M626" s="169" t="s">
        <v>3127</v>
      </c>
      <c r="N626" s="169">
        <v>2150031589</v>
      </c>
      <c r="O626" s="170">
        <v>45916</v>
      </c>
      <c r="P626" s="171">
        <f t="shared" ca="1" si="20"/>
        <v>150</v>
      </c>
      <c r="Q626" s="170">
        <v>45919</v>
      </c>
      <c r="R626" s="300" t="s">
        <v>273</v>
      </c>
      <c r="S626" s="300"/>
      <c r="T626" s="300">
        <v>0</v>
      </c>
      <c r="U626" s="758">
        <v>45926</v>
      </c>
      <c r="V626" s="662" t="s">
        <v>310</v>
      </c>
      <c r="W626" s="300">
        <v>250</v>
      </c>
      <c r="X626" s="662" t="s">
        <v>32</v>
      </c>
      <c r="Y626" s="168" t="s">
        <v>193</v>
      </c>
      <c r="Z626" s="168"/>
      <c r="AA626" s="168" t="s">
        <v>1427</v>
      </c>
      <c r="AB626" s="300" t="s">
        <v>16</v>
      </c>
      <c r="AC626" s="168" t="s">
        <v>3171</v>
      </c>
    </row>
    <row r="627" spans="1:29" s="634" customFormat="1" ht="15" customHeight="1">
      <c r="A627" s="1313" t="s">
        <v>25</v>
      </c>
      <c r="B627" s="1313" t="s">
        <v>25</v>
      </c>
      <c r="C627" s="166" t="s">
        <v>3051</v>
      </c>
      <c r="D627" s="166" t="s">
        <v>3052</v>
      </c>
      <c r="E627" s="166" t="s">
        <v>3053</v>
      </c>
      <c r="F627" s="166">
        <v>161457405</v>
      </c>
      <c r="G627" s="166">
        <v>706680528</v>
      </c>
      <c r="H627" s="168">
        <v>5.8134499999999996</v>
      </c>
      <c r="I627" s="168">
        <v>-5.3646799999999999</v>
      </c>
      <c r="J627" s="166" t="s">
        <v>2612</v>
      </c>
      <c r="K627" s="168" t="s">
        <v>190</v>
      </c>
      <c r="L627" s="168" t="s">
        <v>3092</v>
      </c>
      <c r="M627" s="169" t="s">
        <v>3106</v>
      </c>
      <c r="N627" s="169">
        <v>2150031610</v>
      </c>
      <c r="O627" s="170">
        <v>45916</v>
      </c>
      <c r="P627" s="171">
        <f t="shared" ca="1" si="20"/>
        <v>150</v>
      </c>
      <c r="Q627" s="170">
        <v>45919</v>
      </c>
      <c r="R627" s="300" t="s">
        <v>273</v>
      </c>
      <c r="S627" s="300"/>
      <c r="T627" s="300">
        <v>0</v>
      </c>
      <c r="U627" s="758">
        <v>45926</v>
      </c>
      <c r="V627" s="662" t="s">
        <v>310</v>
      </c>
      <c r="W627" s="300">
        <v>250</v>
      </c>
      <c r="X627" s="662" t="s">
        <v>32</v>
      </c>
      <c r="Y627" s="168" t="s">
        <v>193</v>
      </c>
      <c r="Z627" s="168"/>
      <c r="AA627" s="168" t="s">
        <v>1427</v>
      </c>
      <c r="AB627" s="174" t="s">
        <v>16</v>
      </c>
      <c r="AC627" s="168" t="s">
        <v>3174</v>
      </c>
    </row>
    <row r="628" spans="1:29" s="639" customFormat="1" ht="15" hidden="1" customHeight="1">
      <c r="A628" s="1673" t="s">
        <v>25</v>
      </c>
      <c r="B628" s="1673" t="s">
        <v>25</v>
      </c>
      <c r="C628" s="1674" t="s">
        <v>3059</v>
      </c>
      <c r="D628" s="1674" t="s">
        <v>3060</v>
      </c>
      <c r="E628" s="1674" t="s">
        <v>3061</v>
      </c>
      <c r="F628" s="1674">
        <v>778503889</v>
      </c>
      <c r="G628" s="1674">
        <v>778503889</v>
      </c>
      <c r="H628" s="1675">
        <v>5.8347100000000003</v>
      </c>
      <c r="I628" s="1675">
        <v>-5.3587100000000003</v>
      </c>
      <c r="J628" s="1674" t="s">
        <v>36</v>
      </c>
      <c r="K628" s="1675" t="s">
        <v>198</v>
      </c>
      <c r="L628" s="1675" t="s">
        <v>3125</v>
      </c>
      <c r="M628" s="1675" t="s">
        <v>3161</v>
      </c>
      <c r="N628" s="1675">
        <v>2150031593</v>
      </c>
      <c r="O628" s="1676">
        <v>45916</v>
      </c>
      <c r="P628" s="1677">
        <f t="shared" ca="1" si="20"/>
        <v>150</v>
      </c>
      <c r="Q628" s="1676">
        <v>45919</v>
      </c>
      <c r="R628" s="1678" t="s">
        <v>2641</v>
      </c>
      <c r="S628" s="1678"/>
      <c r="T628" s="1678">
        <v>1</v>
      </c>
      <c r="U628" s="1679">
        <v>45926</v>
      </c>
      <c r="V628" s="1680" t="s">
        <v>310</v>
      </c>
      <c r="W628" s="1678">
        <v>150</v>
      </c>
      <c r="X628" s="1680" t="s">
        <v>32</v>
      </c>
      <c r="Y628" s="663" t="s">
        <v>193</v>
      </c>
      <c r="Z628" s="663"/>
      <c r="AA628" s="1675" t="s">
        <v>1427</v>
      </c>
      <c r="AB628" s="1681" t="s">
        <v>16</v>
      </c>
      <c r="AC628" s="1675" t="s">
        <v>3175</v>
      </c>
    </row>
    <row r="629" spans="1:29" s="639" customFormat="1" ht="15" hidden="1" customHeight="1">
      <c r="A629" s="1403" t="s">
        <v>25</v>
      </c>
      <c r="B629" s="1403" t="s">
        <v>25</v>
      </c>
      <c r="C629" s="1404" t="s">
        <v>3144</v>
      </c>
      <c r="D629" s="1404" t="s">
        <v>3145</v>
      </c>
      <c r="E629" s="1404" t="s">
        <v>3146</v>
      </c>
      <c r="F629" s="1404">
        <v>104770273</v>
      </c>
      <c r="G629" s="1404">
        <v>505090254</v>
      </c>
      <c r="H629" s="1122">
        <v>5.8314599999999999</v>
      </c>
      <c r="I629" s="1122">
        <v>-5.3550389999999997</v>
      </c>
      <c r="J629" s="1404" t="s">
        <v>36</v>
      </c>
      <c r="K629" s="1122" t="s">
        <v>274</v>
      </c>
      <c r="L629" s="1122" t="s">
        <v>3169</v>
      </c>
      <c r="M629" s="1405" t="s">
        <v>3180</v>
      </c>
      <c r="N629" s="1405">
        <v>2150031582</v>
      </c>
      <c r="O629" s="1406">
        <v>45923</v>
      </c>
      <c r="P629" s="1194">
        <f t="shared" ca="1" si="20"/>
        <v>145</v>
      </c>
      <c r="Q629" s="1406">
        <v>45924</v>
      </c>
      <c r="R629" s="1204" t="s">
        <v>2641</v>
      </c>
      <c r="S629" s="1204"/>
      <c r="T629" s="1204">
        <v>0</v>
      </c>
      <c r="U629" s="1407">
        <v>45926</v>
      </c>
      <c r="V629" s="1227" t="s">
        <v>310</v>
      </c>
      <c r="W629" s="1204">
        <v>250</v>
      </c>
      <c r="X629" s="1227" t="s">
        <v>32</v>
      </c>
      <c r="Y629" s="663" t="s">
        <v>193</v>
      </c>
      <c r="Z629" s="760"/>
      <c r="AA629" s="1197" t="s">
        <v>532</v>
      </c>
      <c r="AB629" s="1197" t="s">
        <v>16</v>
      </c>
      <c r="AC629" s="1121" t="s">
        <v>3197</v>
      </c>
    </row>
    <row r="630" spans="1:29" s="634" customFormat="1" ht="17.399999999999999" customHeight="1">
      <c r="A630" s="1313" t="s">
        <v>25</v>
      </c>
      <c r="B630" s="1313" t="s">
        <v>25</v>
      </c>
      <c r="C630" s="983" t="s">
        <v>3152</v>
      </c>
      <c r="D630" s="983" t="s">
        <v>3153</v>
      </c>
      <c r="E630" s="983" t="s">
        <v>3154</v>
      </c>
      <c r="F630" s="983">
        <v>778303092</v>
      </c>
      <c r="G630" s="983">
        <v>778303092</v>
      </c>
      <c r="H630" s="168">
        <v>5.8161300000000002</v>
      </c>
      <c r="I630" s="168">
        <v>-5.3637300000000003</v>
      </c>
      <c r="J630" s="166" t="s">
        <v>2612</v>
      </c>
      <c r="K630" s="168" t="s">
        <v>190</v>
      </c>
      <c r="L630" s="168" t="s">
        <v>3096</v>
      </c>
      <c r="M630" s="169" t="s">
        <v>3183</v>
      </c>
      <c r="N630" s="169">
        <v>2150031578</v>
      </c>
      <c r="O630" s="1344">
        <v>45923</v>
      </c>
      <c r="P630" s="171">
        <f t="shared" ca="1" si="20"/>
        <v>145</v>
      </c>
      <c r="Q630" s="1344">
        <v>45924</v>
      </c>
      <c r="R630" s="300" t="s">
        <v>2641</v>
      </c>
      <c r="S630" s="300"/>
      <c r="T630" s="300">
        <v>1</v>
      </c>
      <c r="U630" s="758">
        <v>45926</v>
      </c>
      <c r="V630" s="662" t="s">
        <v>310</v>
      </c>
      <c r="W630" s="300">
        <v>100</v>
      </c>
      <c r="X630" s="662" t="s">
        <v>32</v>
      </c>
      <c r="Y630" s="168" t="s">
        <v>533</v>
      </c>
      <c r="Z630" s="1315"/>
      <c r="AA630" s="1314" t="s">
        <v>532</v>
      </c>
      <c r="AB630" s="1314" t="s">
        <v>16</v>
      </c>
      <c r="AC630" s="1315" t="s">
        <v>3195</v>
      </c>
    </row>
    <row r="631" spans="1:29" s="639" customFormat="1" ht="15" hidden="1" customHeight="1">
      <c r="A631" s="1682" t="s">
        <v>25</v>
      </c>
      <c r="B631" s="1682" t="s">
        <v>25</v>
      </c>
      <c r="C631" s="1683" t="s">
        <v>3167</v>
      </c>
      <c r="D631" s="1683" t="s">
        <v>3168</v>
      </c>
      <c r="E631" s="1683" t="s">
        <v>84</v>
      </c>
      <c r="F631" s="1683">
        <v>173920009</v>
      </c>
      <c r="G631" s="1683">
        <v>749226455</v>
      </c>
      <c r="H631" s="1671">
        <v>5.8332139999999999</v>
      </c>
      <c r="I631" s="1671">
        <v>-5.3614730000000002</v>
      </c>
      <c r="J631" s="1683" t="s">
        <v>36</v>
      </c>
      <c r="K631" s="1671" t="s">
        <v>198</v>
      </c>
      <c r="L631" s="1671" t="s">
        <v>1479</v>
      </c>
      <c r="M631" s="1684" t="s">
        <v>3181</v>
      </c>
      <c r="N631" s="1684">
        <v>2150031581</v>
      </c>
      <c r="O631" s="1685">
        <v>45924</v>
      </c>
      <c r="P631" s="1686">
        <f t="shared" ca="1" si="20"/>
        <v>144</v>
      </c>
      <c r="Q631" s="1685">
        <v>45925</v>
      </c>
      <c r="R631" s="1672" t="s">
        <v>2641</v>
      </c>
      <c r="S631" s="1672"/>
      <c r="T631" s="1672">
        <v>0</v>
      </c>
      <c r="U631" s="1687">
        <v>45926</v>
      </c>
      <c r="V631" s="1688" t="s">
        <v>310</v>
      </c>
      <c r="W631" s="1672">
        <v>300</v>
      </c>
      <c r="X631" s="1688" t="s">
        <v>32</v>
      </c>
      <c r="Y631" s="663" t="s">
        <v>1521</v>
      </c>
      <c r="Z631" s="760"/>
      <c r="AA631" s="1689" t="s">
        <v>532</v>
      </c>
      <c r="AB631" s="1689" t="s">
        <v>16</v>
      </c>
      <c r="AC631" s="1690" t="s">
        <v>3184</v>
      </c>
    </row>
    <row r="632" spans="1:29" s="634" customFormat="1" ht="15" customHeight="1">
      <c r="A632" s="1313" t="s">
        <v>25</v>
      </c>
      <c r="B632" s="1313" t="s">
        <v>25</v>
      </c>
      <c r="C632" s="166" t="s">
        <v>3164</v>
      </c>
      <c r="D632" s="166" t="s">
        <v>3165</v>
      </c>
      <c r="E632" s="166" t="s">
        <v>3166</v>
      </c>
      <c r="F632" s="166">
        <v>505313861</v>
      </c>
      <c r="G632" s="166">
        <v>585904402</v>
      </c>
      <c r="H632" s="168">
        <v>5.8160350000000003</v>
      </c>
      <c r="I632" s="168">
        <v>-5.3637309999999996</v>
      </c>
      <c r="J632" s="166" t="s">
        <v>3172</v>
      </c>
      <c r="K632" s="168" t="s">
        <v>190</v>
      </c>
      <c r="L632" s="168" t="s">
        <v>3173</v>
      </c>
      <c r="M632" s="169" t="s">
        <v>3182</v>
      </c>
      <c r="N632" s="169">
        <v>2150031579</v>
      </c>
      <c r="O632" s="170">
        <v>45923</v>
      </c>
      <c r="P632" s="171">
        <f t="shared" ca="1" si="20"/>
        <v>144</v>
      </c>
      <c r="Q632" s="170">
        <v>45925</v>
      </c>
      <c r="R632" s="300" t="s">
        <v>2641</v>
      </c>
      <c r="S632" s="300"/>
      <c r="T632" s="300">
        <v>0</v>
      </c>
      <c r="U632" s="758">
        <v>45926</v>
      </c>
      <c r="V632" s="662" t="s">
        <v>310</v>
      </c>
      <c r="W632" s="300">
        <v>100</v>
      </c>
      <c r="X632" s="662" t="s">
        <v>32</v>
      </c>
      <c r="Y632" s="168" t="s">
        <v>3048</v>
      </c>
      <c r="Z632" s="1315"/>
      <c r="AA632" s="1314" t="s">
        <v>532</v>
      </c>
      <c r="AB632" s="1314" t="s">
        <v>16</v>
      </c>
      <c r="AC632" s="1315" t="s">
        <v>3159</v>
      </c>
    </row>
    <row r="633" spans="1:29" s="634" customFormat="1" ht="15" customHeight="1">
      <c r="A633" s="1316" t="s">
        <v>25</v>
      </c>
      <c r="B633" s="1316" t="s">
        <v>25</v>
      </c>
      <c r="C633" s="1317" t="s">
        <v>3071</v>
      </c>
      <c r="D633" s="1317" t="s">
        <v>3072</v>
      </c>
      <c r="E633" s="1317" t="s">
        <v>3073</v>
      </c>
      <c r="F633" s="1317">
        <v>172148712</v>
      </c>
      <c r="G633" s="1317">
        <v>768513609</v>
      </c>
      <c r="H633" s="1315">
        <v>5.8135859999999999</v>
      </c>
      <c r="I633" s="1315">
        <v>-5.3642849999999997</v>
      </c>
      <c r="J633" s="1317" t="s">
        <v>2612</v>
      </c>
      <c r="K633" s="1315" t="s">
        <v>190</v>
      </c>
      <c r="L633" s="1315" t="s">
        <v>3196</v>
      </c>
      <c r="M633" s="1318" t="s">
        <v>3101</v>
      </c>
      <c r="N633" s="1318">
        <v>2150031609</v>
      </c>
      <c r="O633" s="1319">
        <v>45917</v>
      </c>
      <c r="P633" s="1320">
        <f t="shared" ca="1" si="20"/>
        <v>150</v>
      </c>
      <c r="Q633" s="1319">
        <v>45919</v>
      </c>
      <c r="R633" s="1314" t="s">
        <v>2641</v>
      </c>
      <c r="S633" s="1314"/>
      <c r="T633" s="1314">
        <v>0</v>
      </c>
      <c r="U633" s="1321">
        <v>45927</v>
      </c>
      <c r="V633" s="1322" t="s">
        <v>310</v>
      </c>
      <c r="W633" s="1314">
        <v>100</v>
      </c>
      <c r="X633" s="1322" t="s">
        <v>32</v>
      </c>
      <c r="Y633" s="1315" t="s">
        <v>533</v>
      </c>
      <c r="Z633" s="1315"/>
      <c r="AA633" s="1314" t="s">
        <v>532</v>
      </c>
      <c r="AB633" s="1314" t="s">
        <v>16</v>
      </c>
      <c r="AC633" s="1315" t="s">
        <v>3193</v>
      </c>
    </row>
    <row r="634" spans="1:29" s="634" customFormat="1" ht="15" customHeight="1">
      <c r="A634" s="1316" t="s">
        <v>25</v>
      </c>
      <c r="B634" s="1316" t="s">
        <v>25</v>
      </c>
      <c r="C634" s="1323" t="s">
        <v>3155</v>
      </c>
      <c r="D634" s="1323" t="s">
        <v>3156</v>
      </c>
      <c r="E634" s="1323" t="s">
        <v>3053</v>
      </c>
      <c r="F634" s="1323">
        <v>710918857</v>
      </c>
      <c r="G634" s="1323">
        <v>777141438</v>
      </c>
      <c r="H634" s="1315">
        <v>5.8138100000000001</v>
      </c>
      <c r="I634" s="1315">
        <v>-5.3651600000000004</v>
      </c>
      <c r="J634" s="1323" t="s">
        <v>2612</v>
      </c>
      <c r="K634" s="1315" t="s">
        <v>190</v>
      </c>
      <c r="L634" s="1315" t="s">
        <v>3194</v>
      </c>
      <c r="M634" s="1315" t="s">
        <v>3216</v>
      </c>
      <c r="N634" s="1315">
        <v>2150031577</v>
      </c>
      <c r="O634" s="1324">
        <v>45922</v>
      </c>
      <c r="P634" s="1320">
        <f t="shared" ca="1" si="20"/>
        <v>145</v>
      </c>
      <c r="Q634" s="1324">
        <v>45924</v>
      </c>
      <c r="R634" s="1314" t="s">
        <v>2641</v>
      </c>
      <c r="S634" s="1314"/>
      <c r="T634" s="1314">
        <v>0</v>
      </c>
      <c r="U634" s="1321">
        <v>45927</v>
      </c>
      <c r="V634" s="1322" t="s">
        <v>310</v>
      </c>
      <c r="W634" s="1314">
        <v>150</v>
      </c>
      <c r="X634" s="1322" t="s">
        <v>32</v>
      </c>
      <c r="Y634" s="1315" t="s">
        <v>193</v>
      </c>
      <c r="Z634" s="179"/>
      <c r="AA634" s="179" t="s">
        <v>532</v>
      </c>
      <c r="AB634" s="724" t="s">
        <v>16</v>
      </c>
      <c r="AC634" s="179" t="s">
        <v>3237</v>
      </c>
    </row>
    <row r="635" spans="1:29" s="80" customFormat="1" ht="15" hidden="1" customHeight="1">
      <c r="A635" s="1691" t="s">
        <v>25</v>
      </c>
      <c r="B635" s="1691" t="s">
        <v>25</v>
      </c>
      <c r="C635" s="1692" t="s">
        <v>3141</v>
      </c>
      <c r="D635" s="1692" t="s">
        <v>3142</v>
      </c>
      <c r="E635" s="1692" t="s">
        <v>3143</v>
      </c>
      <c r="F635" s="1692">
        <v>747561616</v>
      </c>
      <c r="G635" s="1692">
        <v>556712202</v>
      </c>
      <c r="H635" s="1693">
        <v>5.8396379999999999</v>
      </c>
      <c r="I635" s="1693">
        <v>-5.3536619999999999</v>
      </c>
      <c r="J635" s="1692" t="s">
        <v>36</v>
      </c>
      <c r="K635" s="1693" t="s">
        <v>190</v>
      </c>
      <c r="L635" s="1693" t="s">
        <v>601</v>
      </c>
      <c r="M635" s="1693" t="s">
        <v>3219</v>
      </c>
      <c r="N635" s="1693">
        <v>2150031572</v>
      </c>
      <c r="O635" s="1694">
        <v>45920</v>
      </c>
      <c r="P635" s="1695">
        <f t="shared" ca="1" si="20"/>
        <v>145</v>
      </c>
      <c r="Q635" s="1694">
        <v>45924</v>
      </c>
      <c r="R635" s="1696" t="s">
        <v>2641</v>
      </c>
      <c r="S635" s="1696"/>
      <c r="T635" s="1696">
        <v>1</v>
      </c>
      <c r="U635" s="1697">
        <v>45927</v>
      </c>
      <c r="V635" s="1698" t="s">
        <v>310</v>
      </c>
      <c r="W635" s="1696">
        <v>200</v>
      </c>
      <c r="X635" s="1698" t="s">
        <v>32</v>
      </c>
      <c r="Y635" s="1693" t="s">
        <v>245</v>
      </c>
      <c r="Z635" s="1699"/>
      <c r="AA635" s="1699" t="s">
        <v>532</v>
      </c>
      <c r="AB635" s="1700" t="s">
        <v>16</v>
      </c>
      <c r="AC635" s="1699" t="s">
        <v>3236</v>
      </c>
    </row>
    <row r="636" spans="1:29" s="639" customFormat="1" ht="15" hidden="1" customHeight="1">
      <c r="A636" s="1074" t="s">
        <v>25</v>
      </c>
      <c r="B636" s="1074" t="s">
        <v>25</v>
      </c>
      <c r="C636" s="1101" t="s">
        <v>3162</v>
      </c>
      <c r="D636" s="1101" t="s">
        <v>3163</v>
      </c>
      <c r="E636" s="1101" t="s">
        <v>402</v>
      </c>
      <c r="F636" s="1101">
        <v>767674175</v>
      </c>
      <c r="G636" s="1101">
        <v>545162420</v>
      </c>
      <c r="H636" s="1121">
        <v>5.8448399999999996</v>
      </c>
      <c r="I636" s="1121">
        <v>-5.3623799999999999</v>
      </c>
      <c r="J636" s="1101" t="s">
        <v>36</v>
      </c>
      <c r="K636" s="1121" t="s">
        <v>190</v>
      </c>
      <c r="L636" s="1121" t="s">
        <v>1705</v>
      </c>
      <c r="M636" s="1121" t="s">
        <v>3217</v>
      </c>
      <c r="N636" s="1121">
        <v>2150031576</v>
      </c>
      <c r="O636" s="1175">
        <v>45923</v>
      </c>
      <c r="P636" s="1192">
        <f t="shared" ca="1" si="20"/>
        <v>144</v>
      </c>
      <c r="Q636" s="1175">
        <v>45925</v>
      </c>
      <c r="R636" s="1197" t="s">
        <v>2641</v>
      </c>
      <c r="S636" s="1197"/>
      <c r="T636" s="1197">
        <v>3</v>
      </c>
      <c r="U636" s="1216">
        <v>45927</v>
      </c>
      <c r="V636" s="1224" t="s">
        <v>310</v>
      </c>
      <c r="W636" s="1197">
        <v>500</v>
      </c>
      <c r="X636" s="1224" t="s">
        <v>32</v>
      </c>
      <c r="Y636" s="760" t="s">
        <v>533</v>
      </c>
      <c r="Z636" s="642"/>
      <c r="AA636" s="769" t="s">
        <v>532</v>
      </c>
      <c r="AB636" s="770" t="s">
        <v>16</v>
      </c>
      <c r="AC636" s="769" t="s">
        <v>3235</v>
      </c>
    </row>
    <row r="637" spans="1:29" s="638" customFormat="1" ht="15" customHeight="1">
      <c r="A637" s="1316" t="s">
        <v>25</v>
      </c>
      <c r="B637" s="1316" t="s">
        <v>25</v>
      </c>
      <c r="C637" s="1317" t="s">
        <v>3188</v>
      </c>
      <c r="D637" s="1317" t="s">
        <v>3189</v>
      </c>
      <c r="E637" s="1317" t="s">
        <v>3053</v>
      </c>
      <c r="F637" s="1317">
        <v>789016128</v>
      </c>
      <c r="G637" s="1317">
        <v>749975651</v>
      </c>
      <c r="H637" s="1315">
        <v>5.8184199999999997</v>
      </c>
      <c r="I637" s="1315">
        <v>-5.3631799999999998</v>
      </c>
      <c r="J637" s="1317" t="s">
        <v>2612</v>
      </c>
      <c r="K637" s="1315" t="s">
        <v>190</v>
      </c>
      <c r="L637" s="1315" t="s">
        <v>3192</v>
      </c>
      <c r="M637" s="1315" t="s">
        <v>3218</v>
      </c>
      <c r="N637" s="1315">
        <v>2150031571</v>
      </c>
      <c r="O637" s="1319">
        <v>45925</v>
      </c>
      <c r="P637" s="1320">
        <f t="shared" ca="1" si="20"/>
        <v>143</v>
      </c>
      <c r="Q637" s="1319">
        <v>45926</v>
      </c>
      <c r="R637" s="1314" t="s">
        <v>2641</v>
      </c>
      <c r="S637" s="1314"/>
      <c r="T637" s="1314">
        <v>0</v>
      </c>
      <c r="U637" s="1321">
        <v>45927</v>
      </c>
      <c r="V637" s="1322" t="s">
        <v>310</v>
      </c>
      <c r="W637" s="1314">
        <v>100</v>
      </c>
      <c r="X637" s="1322" t="s">
        <v>32</v>
      </c>
      <c r="Y637" s="1315" t="s">
        <v>193</v>
      </c>
      <c r="Z637" s="978"/>
      <c r="AA637" s="236" t="s">
        <v>532</v>
      </c>
      <c r="AB637" s="665" t="s">
        <v>16</v>
      </c>
      <c r="AC637" s="236" t="s">
        <v>3229</v>
      </c>
    </row>
    <row r="638" spans="1:29" s="639" customFormat="1" ht="15" hidden="1" customHeight="1">
      <c r="A638" s="1701" t="s">
        <v>25</v>
      </c>
      <c r="B638" s="1701" t="s">
        <v>25</v>
      </c>
      <c r="C638" s="1702" t="s">
        <v>3214</v>
      </c>
      <c r="D638" s="1702" t="s">
        <v>3215</v>
      </c>
      <c r="E638" s="1702" t="s">
        <v>46</v>
      </c>
      <c r="F638" s="1702">
        <v>70885854094</v>
      </c>
      <c r="G638" s="1702">
        <v>545769596</v>
      </c>
      <c r="H638" s="1703"/>
      <c r="I638" s="1703"/>
      <c r="J638" s="1702" t="s">
        <v>36</v>
      </c>
      <c r="K638" s="1703" t="s">
        <v>190</v>
      </c>
      <c r="L638" s="1703" t="s">
        <v>2597</v>
      </c>
      <c r="M638" s="1703" t="s">
        <v>3238</v>
      </c>
      <c r="N638" s="1703">
        <v>2150031557</v>
      </c>
      <c r="O638" s="1704">
        <v>45924</v>
      </c>
      <c r="P638" s="1705">
        <f t="shared" ca="1" si="20"/>
        <v>142</v>
      </c>
      <c r="Q638" s="1704">
        <v>45927</v>
      </c>
      <c r="R638" s="1706" t="s">
        <v>2641</v>
      </c>
      <c r="S638" s="1706"/>
      <c r="T638" s="1706">
        <v>0</v>
      </c>
      <c r="U638" s="1707">
        <v>45929</v>
      </c>
      <c r="V638" s="1708" t="s">
        <v>310</v>
      </c>
      <c r="W638" s="1706">
        <v>300</v>
      </c>
      <c r="X638" s="1708" t="s">
        <v>32</v>
      </c>
      <c r="Y638" s="781" t="s">
        <v>245</v>
      </c>
      <c r="Z638" s="784"/>
      <c r="AA638" s="1709" t="s">
        <v>532</v>
      </c>
      <c r="AB638" s="1710" t="s">
        <v>16</v>
      </c>
      <c r="AC638" s="1709" t="s">
        <v>3231</v>
      </c>
    </row>
    <row r="639" spans="1:29" s="634" customFormat="1" ht="15" customHeight="1">
      <c r="A639" s="1311" t="s">
        <v>25</v>
      </c>
      <c r="B639" s="1311" t="s">
        <v>25</v>
      </c>
      <c r="C639" s="235" t="s">
        <v>3210</v>
      </c>
      <c r="D639" s="235" t="s">
        <v>3211</v>
      </c>
      <c r="E639" s="235" t="s">
        <v>3053</v>
      </c>
      <c r="F639" s="235">
        <v>160643560</v>
      </c>
      <c r="G639" s="235">
        <v>504437378</v>
      </c>
      <c r="H639" s="236">
        <v>5.8152100000000004</v>
      </c>
      <c r="I639" s="236">
        <v>-5.3647299999999998</v>
      </c>
      <c r="J639" s="235" t="s">
        <v>2612</v>
      </c>
      <c r="K639" s="236" t="s">
        <v>190</v>
      </c>
      <c r="L639" s="236" t="s">
        <v>3234</v>
      </c>
      <c r="M639" s="236" t="s">
        <v>3240</v>
      </c>
      <c r="N639" s="236">
        <v>2150031562</v>
      </c>
      <c r="O639" s="238">
        <v>45926</v>
      </c>
      <c r="P639" s="1312">
        <f t="shared" ca="1" si="20"/>
        <v>142</v>
      </c>
      <c r="Q639" s="238">
        <v>45927</v>
      </c>
      <c r="R639" s="665" t="s">
        <v>2641</v>
      </c>
      <c r="S639" s="665"/>
      <c r="T639" s="665">
        <v>0</v>
      </c>
      <c r="U639" s="742">
        <v>45930</v>
      </c>
      <c r="V639" s="666" t="s">
        <v>310</v>
      </c>
      <c r="W639" s="665">
        <v>100</v>
      </c>
      <c r="X639" s="666" t="s">
        <v>32</v>
      </c>
      <c r="Y639" s="236" t="s">
        <v>228</v>
      </c>
      <c r="Z639" s="246"/>
      <c r="AA639" s="986" t="s">
        <v>532</v>
      </c>
      <c r="AB639" s="1328" t="s">
        <v>16</v>
      </c>
      <c r="AC639" s="986" t="s">
        <v>3230</v>
      </c>
    </row>
    <row r="640" spans="1:29" ht="15" customHeight="1">
      <c r="A640" s="1311" t="s">
        <v>25</v>
      </c>
      <c r="B640" s="1311" t="s">
        <v>25</v>
      </c>
      <c r="C640" s="235" t="s">
        <v>3208</v>
      </c>
      <c r="D640" s="235" t="s">
        <v>3209</v>
      </c>
      <c r="E640" s="235" t="s">
        <v>3053</v>
      </c>
      <c r="F640" s="235">
        <v>103394845</v>
      </c>
      <c r="G640" s="235">
        <v>758159809</v>
      </c>
      <c r="H640" s="236">
        <v>5.8148900000000001</v>
      </c>
      <c r="I640" s="236">
        <v>-5.3643599999999996</v>
      </c>
      <c r="J640" s="235" t="s">
        <v>2612</v>
      </c>
      <c r="K640" s="236" t="s">
        <v>190</v>
      </c>
      <c r="L640" s="236" t="s">
        <v>3234</v>
      </c>
      <c r="M640" s="236" t="s">
        <v>3239</v>
      </c>
      <c r="N640" s="236">
        <v>2150031568</v>
      </c>
      <c r="O640" s="238">
        <v>45926</v>
      </c>
      <c r="P640" s="1312">
        <f t="shared" ca="1" si="20"/>
        <v>142</v>
      </c>
      <c r="Q640" s="238">
        <v>45927</v>
      </c>
      <c r="R640" s="665" t="s">
        <v>2641</v>
      </c>
      <c r="S640" s="665"/>
      <c r="T640" s="665">
        <v>0</v>
      </c>
      <c r="U640" s="742">
        <v>45930</v>
      </c>
      <c r="V640" s="666" t="s">
        <v>310</v>
      </c>
      <c r="W640" s="665">
        <v>100</v>
      </c>
      <c r="X640" s="666" t="s">
        <v>32</v>
      </c>
      <c r="Y640" s="236" t="s">
        <v>193</v>
      </c>
      <c r="Z640" s="232"/>
      <c r="AA640" s="302" t="s">
        <v>532</v>
      </c>
      <c r="AB640" s="302" t="s">
        <v>16</v>
      </c>
      <c r="AC640" s="232" t="s">
        <v>3298</v>
      </c>
    </row>
    <row r="641" spans="1:30" s="639" customFormat="1" ht="15" hidden="1" customHeight="1">
      <c r="A641" s="1711" t="s">
        <v>25</v>
      </c>
      <c r="B641" s="1711" t="s">
        <v>25</v>
      </c>
      <c r="C641" s="1712" t="s">
        <v>3198</v>
      </c>
      <c r="D641" s="1712" t="s">
        <v>3199</v>
      </c>
      <c r="E641" s="1712" t="s">
        <v>2393</v>
      </c>
      <c r="F641" s="1712">
        <v>748574679</v>
      </c>
      <c r="G641" s="1712">
        <v>748574679</v>
      </c>
      <c r="H641" s="1699">
        <v>5.82904</v>
      </c>
      <c r="I641" s="1699">
        <v>-5.3578599999999996</v>
      </c>
      <c r="J641" s="1712" t="s">
        <v>36</v>
      </c>
      <c r="K641" s="1699" t="s">
        <v>203</v>
      </c>
      <c r="L641" s="1699" t="s">
        <v>2181</v>
      </c>
      <c r="M641" s="1699" t="s">
        <v>3253</v>
      </c>
      <c r="N641" s="1699">
        <v>2150031556</v>
      </c>
      <c r="O641" s="1713">
        <v>45925</v>
      </c>
      <c r="P641" s="1714">
        <f t="shared" ref="P641:P672" ca="1" si="21">TODAY()-Q641</f>
        <v>142</v>
      </c>
      <c r="Q641" s="1713">
        <v>45927</v>
      </c>
      <c r="R641" s="1700" t="s">
        <v>2641</v>
      </c>
      <c r="S641" s="1700"/>
      <c r="T641" s="1700">
        <v>0</v>
      </c>
      <c r="U641" s="1715">
        <v>45930</v>
      </c>
      <c r="V641" s="1716" t="s">
        <v>310</v>
      </c>
      <c r="W641" s="1700">
        <v>150</v>
      </c>
      <c r="X641" s="1716" t="s">
        <v>32</v>
      </c>
      <c r="Z641" s="647"/>
      <c r="AA641" s="1717" t="s">
        <v>532</v>
      </c>
      <c r="AB641" s="1717" t="s">
        <v>16</v>
      </c>
      <c r="AC641" s="1718" t="s">
        <v>3297</v>
      </c>
    </row>
    <row r="642" spans="1:30" s="639" customFormat="1" ht="15" hidden="1" customHeight="1">
      <c r="A642" s="761" t="s">
        <v>25</v>
      </c>
      <c r="B642" s="761" t="s">
        <v>25</v>
      </c>
      <c r="C642" s="762" t="s">
        <v>3203</v>
      </c>
      <c r="D642" s="762" t="s">
        <v>3204</v>
      </c>
      <c r="E642" s="762" t="s">
        <v>3205</v>
      </c>
      <c r="F642" s="762">
        <v>709642211</v>
      </c>
      <c r="G642" s="762">
        <v>574456379</v>
      </c>
      <c r="H642" s="763">
        <v>5.8380799999999997</v>
      </c>
      <c r="I642" s="763">
        <v>-5.3717300000000003</v>
      </c>
      <c r="J642" s="762" t="s">
        <v>36</v>
      </c>
      <c r="K642" s="763" t="s">
        <v>203</v>
      </c>
      <c r="L642" s="763" t="s">
        <v>2903</v>
      </c>
      <c r="M642" s="763" t="s">
        <v>3254</v>
      </c>
      <c r="N642" s="763">
        <v>2150031565</v>
      </c>
      <c r="O642" s="764">
        <v>45926</v>
      </c>
      <c r="P642" s="765">
        <f t="shared" ca="1" si="21"/>
        <v>142</v>
      </c>
      <c r="Q642" s="764">
        <v>45927</v>
      </c>
      <c r="R642" s="766" t="s">
        <v>2641</v>
      </c>
      <c r="S642" s="766"/>
      <c r="T642" s="766">
        <v>0</v>
      </c>
      <c r="U642" s="767">
        <v>45931</v>
      </c>
      <c r="V642" s="768" t="s">
        <v>310</v>
      </c>
      <c r="W642" s="766">
        <v>300</v>
      </c>
      <c r="X642" s="768" t="s">
        <v>32</v>
      </c>
      <c r="Y642" s="594" t="s">
        <v>533</v>
      </c>
      <c r="Z642" s="663"/>
      <c r="AA642" s="523" t="s">
        <v>532</v>
      </c>
      <c r="AB642" s="523" t="s">
        <v>16</v>
      </c>
      <c r="AC642" s="438" t="s">
        <v>3233</v>
      </c>
    </row>
    <row r="643" spans="1:30" s="639" customFormat="1" ht="18" hidden="1" customHeight="1">
      <c r="A643" s="761" t="s">
        <v>25</v>
      </c>
      <c r="B643" s="761" t="s">
        <v>25</v>
      </c>
      <c r="C643" s="762" t="s">
        <v>3227</v>
      </c>
      <c r="D643" s="762" t="s">
        <v>3228</v>
      </c>
      <c r="E643" s="762" t="s">
        <v>157</v>
      </c>
      <c r="F643" s="762">
        <v>505568441</v>
      </c>
      <c r="G643" s="762">
        <v>768146725</v>
      </c>
      <c r="H643" s="763">
        <v>5.8406599999999997</v>
      </c>
      <c r="I643" s="763">
        <v>-5.3604399999999996</v>
      </c>
      <c r="J643" s="762" t="s">
        <v>36</v>
      </c>
      <c r="K643" s="763" t="s">
        <v>190</v>
      </c>
      <c r="L643" s="763" t="s">
        <v>276</v>
      </c>
      <c r="M643" s="763" t="s">
        <v>3256</v>
      </c>
      <c r="N643" s="763">
        <v>2150031566</v>
      </c>
      <c r="O643" s="764">
        <v>45927</v>
      </c>
      <c r="P643" s="765">
        <f t="shared" ca="1" si="21"/>
        <v>138</v>
      </c>
      <c r="Q643" s="764">
        <v>45931</v>
      </c>
      <c r="R643" s="766" t="s">
        <v>2641</v>
      </c>
      <c r="S643" s="766"/>
      <c r="T643" s="766">
        <v>0</v>
      </c>
      <c r="U643" s="767">
        <v>45931</v>
      </c>
      <c r="V643" s="768" t="s">
        <v>310</v>
      </c>
      <c r="W643" s="766">
        <v>250</v>
      </c>
      <c r="X643" s="768" t="s">
        <v>32</v>
      </c>
      <c r="Y643" s="784" t="s">
        <v>1521</v>
      </c>
      <c r="Z643" s="663"/>
      <c r="AA643" s="438" t="s">
        <v>532</v>
      </c>
      <c r="AB643" s="523" t="s">
        <v>16</v>
      </c>
      <c r="AC643" s="438" t="s">
        <v>3296</v>
      </c>
    </row>
    <row r="644" spans="1:30" s="639" customFormat="1" ht="15" hidden="1" customHeight="1">
      <c r="A644" s="709" t="s">
        <v>25</v>
      </c>
      <c r="B644" s="677" t="s">
        <v>25</v>
      </c>
      <c r="C644" s="493" t="s">
        <v>3185</v>
      </c>
      <c r="D644" s="493" t="s">
        <v>3186</v>
      </c>
      <c r="E644" s="493" t="s">
        <v>3187</v>
      </c>
      <c r="F644" s="493">
        <v>596281441</v>
      </c>
      <c r="G644" s="493">
        <v>596281441</v>
      </c>
      <c r="H644" s="495">
        <v>5.8436599999999999</v>
      </c>
      <c r="I644" s="495">
        <v>-5.35114</v>
      </c>
      <c r="J644" s="493" t="s">
        <v>189</v>
      </c>
      <c r="K644" s="495" t="s">
        <v>203</v>
      </c>
      <c r="L644" s="495" t="s">
        <v>344</v>
      </c>
      <c r="M644" s="495" t="s">
        <v>3304</v>
      </c>
      <c r="N644" s="495">
        <v>2150031580</v>
      </c>
      <c r="O644" s="496">
        <v>45924</v>
      </c>
      <c r="P644" s="501">
        <f t="shared" ca="1" si="21"/>
        <v>143</v>
      </c>
      <c r="Q644" s="496">
        <v>45926</v>
      </c>
      <c r="R644" s="678" t="s">
        <v>2641</v>
      </c>
      <c r="S644" s="678"/>
      <c r="T644" s="678">
        <v>0</v>
      </c>
      <c r="U644" s="771">
        <v>45932</v>
      </c>
      <c r="V644" s="679" t="s">
        <v>310</v>
      </c>
      <c r="W644" s="678">
        <v>150</v>
      </c>
      <c r="X644" s="679" t="s">
        <v>32</v>
      </c>
      <c r="Y644" s="647" t="s">
        <v>578</v>
      </c>
      <c r="Z644" s="774"/>
      <c r="AA644" s="689" t="s">
        <v>532</v>
      </c>
      <c r="AB644" s="773" t="s">
        <v>16</v>
      </c>
      <c r="AC644" s="689" t="s">
        <v>3306</v>
      </c>
    </row>
    <row r="645" spans="1:30" s="639" customFormat="1" ht="15" hidden="1" customHeight="1">
      <c r="A645" s="1403" t="s">
        <v>25</v>
      </c>
      <c r="B645" s="1410" t="s">
        <v>25</v>
      </c>
      <c r="C645" s="1411" t="s">
        <v>3260</v>
      </c>
      <c r="D645" s="1411" t="s">
        <v>3261</v>
      </c>
      <c r="E645" s="1411" t="s">
        <v>3262</v>
      </c>
      <c r="F645" s="1411">
        <v>779755055</v>
      </c>
      <c r="G645" s="1411">
        <v>779755055</v>
      </c>
      <c r="H645" s="1412">
        <v>5.8460200000000002</v>
      </c>
      <c r="I645" s="1412">
        <v>-5.3532999999999999</v>
      </c>
      <c r="J645" s="1411" t="s">
        <v>189</v>
      </c>
      <c r="K645" s="1412" t="s">
        <v>203</v>
      </c>
      <c r="L645" s="1412" t="s">
        <v>2143</v>
      </c>
      <c r="M645" s="1412" t="s">
        <v>3303</v>
      </c>
      <c r="N645" s="1412">
        <v>2150031558</v>
      </c>
      <c r="O645" s="1413">
        <v>45930</v>
      </c>
      <c r="P645" s="1414">
        <f t="shared" ca="1" si="21"/>
        <v>138</v>
      </c>
      <c r="Q645" s="1413">
        <v>45931</v>
      </c>
      <c r="R645" s="1415" t="s">
        <v>2641</v>
      </c>
      <c r="S645" s="1415"/>
      <c r="T645" s="1415">
        <v>0</v>
      </c>
      <c r="U645" s="1416">
        <v>45932</v>
      </c>
      <c r="V645" s="1417" t="s">
        <v>310</v>
      </c>
      <c r="W645" s="1415">
        <v>200</v>
      </c>
      <c r="X645" s="1417" t="s">
        <v>32</v>
      </c>
      <c r="Y645" s="647" t="s">
        <v>533</v>
      </c>
      <c r="Z645" s="774"/>
      <c r="AA645" s="1075" t="s">
        <v>532</v>
      </c>
      <c r="AB645" s="1418" t="s">
        <v>16</v>
      </c>
      <c r="AC645" s="1075" t="s">
        <v>3301</v>
      </c>
    </row>
    <row r="646" spans="1:30" s="634" customFormat="1" ht="15" customHeight="1">
      <c r="A646" s="1313" t="s">
        <v>25</v>
      </c>
      <c r="B646" s="1313" t="s">
        <v>25</v>
      </c>
      <c r="C646" s="166" t="s">
        <v>3222</v>
      </c>
      <c r="D646" s="166" t="s">
        <v>3223</v>
      </c>
      <c r="E646" s="166" t="s">
        <v>3224</v>
      </c>
      <c r="F646" s="166">
        <v>778740725</v>
      </c>
      <c r="G646" s="166">
        <v>777140792</v>
      </c>
      <c r="H646" s="168">
        <v>5.8149899999999999</v>
      </c>
      <c r="I646" s="168">
        <v>-5.3649300000000002</v>
      </c>
      <c r="J646" s="166" t="s">
        <v>2612</v>
      </c>
      <c r="K646" s="168" t="s">
        <v>190</v>
      </c>
      <c r="L646" s="168" t="s">
        <v>3232</v>
      </c>
      <c r="M646" s="168" t="s">
        <v>3255</v>
      </c>
      <c r="N646" s="168">
        <v>2150031567</v>
      </c>
      <c r="O646" s="170">
        <v>45927</v>
      </c>
      <c r="P646" s="171">
        <f t="shared" ca="1" si="21"/>
        <v>140</v>
      </c>
      <c r="Q646" s="170">
        <v>45929</v>
      </c>
      <c r="R646" s="300" t="s">
        <v>2641</v>
      </c>
      <c r="S646" s="300"/>
      <c r="T646" s="300">
        <v>1</v>
      </c>
      <c r="U646" s="758">
        <v>45933</v>
      </c>
      <c r="V646" s="662" t="s">
        <v>310</v>
      </c>
      <c r="W646" s="300">
        <v>150</v>
      </c>
      <c r="X646" s="662" t="s">
        <v>32</v>
      </c>
      <c r="Y646" s="168" t="s">
        <v>193</v>
      </c>
      <c r="Z646" s="26"/>
      <c r="AA646" s="26" t="s">
        <v>532</v>
      </c>
      <c r="AB646" s="51" t="s">
        <v>16</v>
      </c>
      <c r="AC646" s="26" t="s">
        <v>3320</v>
      </c>
    </row>
    <row r="647" spans="1:30" s="639" customFormat="1" ht="15" hidden="1" customHeight="1">
      <c r="A647" s="1682" t="s">
        <v>25</v>
      </c>
      <c r="B647" s="1682" t="s">
        <v>25</v>
      </c>
      <c r="C647" s="1683" t="s">
        <v>3263</v>
      </c>
      <c r="D647" s="1683" t="s">
        <v>40</v>
      </c>
      <c r="E647" s="1683" t="s">
        <v>3264</v>
      </c>
      <c r="F647" s="1683">
        <v>749344799</v>
      </c>
      <c r="G647" s="1683">
        <v>749344799</v>
      </c>
      <c r="H647" s="1671">
        <v>5.8452200000000003</v>
      </c>
      <c r="I647" s="1671">
        <v>-5.3524900000000004</v>
      </c>
      <c r="J647" s="1683" t="s">
        <v>189</v>
      </c>
      <c r="K647" s="1671" t="s">
        <v>203</v>
      </c>
      <c r="L647" s="1671" t="s">
        <v>280</v>
      </c>
      <c r="M647" s="1671" t="s">
        <v>3309</v>
      </c>
      <c r="N647" s="1671">
        <v>2150031563</v>
      </c>
      <c r="O647" s="1685">
        <v>45930</v>
      </c>
      <c r="P647" s="1686">
        <f t="shared" ca="1" si="21"/>
        <v>138</v>
      </c>
      <c r="Q647" s="1685">
        <v>45931</v>
      </c>
      <c r="R647" s="1719" t="s">
        <v>2641</v>
      </c>
      <c r="S647" s="1719"/>
      <c r="T647" s="1719">
        <v>0</v>
      </c>
      <c r="U647" s="1720">
        <v>45933</v>
      </c>
      <c r="V647" s="1721" t="s">
        <v>310</v>
      </c>
      <c r="W647" s="1719">
        <v>200</v>
      </c>
      <c r="X647" s="1721" t="s">
        <v>32</v>
      </c>
      <c r="Y647" s="663" t="s">
        <v>533</v>
      </c>
      <c r="Z647" s="640"/>
      <c r="AA647" s="1722" t="s">
        <v>532</v>
      </c>
      <c r="AB647" s="1723" t="s">
        <v>16</v>
      </c>
      <c r="AC647" s="1722" t="s">
        <v>3331</v>
      </c>
    </row>
    <row r="648" spans="1:30" s="634" customFormat="1" ht="15" customHeight="1">
      <c r="A648" s="1329" t="s">
        <v>25</v>
      </c>
      <c r="B648" s="1329" t="s">
        <v>25</v>
      </c>
      <c r="C648" s="272" t="s">
        <v>3206</v>
      </c>
      <c r="D648" s="272" t="s">
        <v>3207</v>
      </c>
      <c r="E648" s="272" t="s">
        <v>3053</v>
      </c>
      <c r="F648" s="272">
        <v>769590488</v>
      </c>
      <c r="G648" s="272">
        <v>769590488</v>
      </c>
      <c r="H648" s="352">
        <v>5.8143500000000001</v>
      </c>
      <c r="I648" s="352">
        <v>-5.3647549999999997</v>
      </c>
      <c r="J648" s="272" t="s">
        <v>2612</v>
      </c>
      <c r="K648" s="352" t="s">
        <v>203</v>
      </c>
      <c r="L648" s="352" t="s">
        <v>3305</v>
      </c>
      <c r="M648" s="352" t="s">
        <v>3323</v>
      </c>
      <c r="N648" s="352">
        <v>2150031561</v>
      </c>
      <c r="O648" s="355">
        <v>45926</v>
      </c>
      <c r="P648" s="354">
        <f t="shared" ca="1" si="21"/>
        <v>142</v>
      </c>
      <c r="Q648" s="355">
        <v>45927</v>
      </c>
      <c r="R648" s="271" t="s">
        <v>2641</v>
      </c>
      <c r="S648" s="271"/>
      <c r="T648" s="271">
        <v>0</v>
      </c>
      <c r="U648" s="1330">
        <v>45934</v>
      </c>
      <c r="V648" s="1331" t="s">
        <v>310</v>
      </c>
      <c r="W648" s="271">
        <v>100</v>
      </c>
      <c r="X648" s="1331" t="s">
        <v>32</v>
      </c>
      <c r="Y648" s="352" t="s">
        <v>193</v>
      </c>
      <c r="Z648" s="26"/>
      <c r="AA648" s="26" t="s">
        <v>532</v>
      </c>
      <c r="AB648" s="51" t="s">
        <v>16</v>
      </c>
      <c r="AC648" s="1038" t="s">
        <v>3330</v>
      </c>
    </row>
    <row r="649" spans="1:30" s="634" customFormat="1" ht="15" customHeight="1">
      <c r="A649" s="1329" t="s">
        <v>25</v>
      </c>
      <c r="B649" s="1329" t="s">
        <v>25</v>
      </c>
      <c r="C649" s="272" t="s">
        <v>3271</v>
      </c>
      <c r="D649" s="272" t="s">
        <v>3272</v>
      </c>
      <c r="E649" s="272" t="s">
        <v>3273</v>
      </c>
      <c r="F649" s="272">
        <v>716825919</v>
      </c>
      <c r="G649" s="272">
        <v>554262714</v>
      </c>
      <c r="H649" s="352">
        <v>5.8177500000000002</v>
      </c>
      <c r="I649" s="352">
        <v>-5.36172</v>
      </c>
      <c r="J649" s="272" t="s">
        <v>2612</v>
      </c>
      <c r="K649" s="352" t="s">
        <v>190</v>
      </c>
      <c r="L649" s="352" t="s">
        <v>3300</v>
      </c>
      <c r="M649" s="352" t="s">
        <v>3308</v>
      </c>
      <c r="N649" s="352">
        <v>2150031573</v>
      </c>
      <c r="O649" s="355">
        <v>45930</v>
      </c>
      <c r="P649" s="354">
        <f t="shared" ca="1" si="21"/>
        <v>138</v>
      </c>
      <c r="Q649" s="355">
        <v>45931</v>
      </c>
      <c r="R649" s="271" t="s">
        <v>2641</v>
      </c>
      <c r="S649" s="271"/>
      <c r="T649" s="271">
        <v>0</v>
      </c>
      <c r="U649" s="1330">
        <v>45934</v>
      </c>
      <c r="V649" s="1331" t="s">
        <v>310</v>
      </c>
      <c r="W649" s="271">
        <v>300</v>
      </c>
      <c r="X649" s="1331" t="s">
        <v>32</v>
      </c>
      <c r="Y649" s="352" t="s">
        <v>193</v>
      </c>
      <c r="Z649" s="352"/>
      <c r="AA649" s="271" t="s">
        <v>532</v>
      </c>
      <c r="AB649" s="271" t="s">
        <v>16</v>
      </c>
      <c r="AC649" s="352" t="s">
        <v>3339</v>
      </c>
    </row>
    <row r="650" spans="1:30" s="978" customFormat="1" ht="15" customHeight="1">
      <c r="A650" s="1332" t="s">
        <v>25</v>
      </c>
      <c r="B650" s="1332" t="s">
        <v>25</v>
      </c>
      <c r="C650" s="25" t="s">
        <v>3288</v>
      </c>
      <c r="D650" s="25" t="s">
        <v>3289</v>
      </c>
      <c r="E650" s="25" t="s">
        <v>3053</v>
      </c>
      <c r="F650" s="25">
        <v>797498896</v>
      </c>
      <c r="G650" s="25">
        <v>758548305</v>
      </c>
      <c r="H650" s="26"/>
      <c r="I650" s="26"/>
      <c r="J650" s="25" t="s">
        <v>2612</v>
      </c>
      <c r="K650" s="26" t="s">
        <v>190</v>
      </c>
      <c r="L650" s="26" t="s">
        <v>3196</v>
      </c>
      <c r="M650" s="26" t="s">
        <v>3333</v>
      </c>
      <c r="N650" s="26">
        <v>2150031559</v>
      </c>
      <c r="O650" s="43">
        <v>45930</v>
      </c>
      <c r="P650" s="44">
        <f t="shared" ca="1" si="21"/>
        <v>138</v>
      </c>
      <c r="Q650" s="43">
        <v>45931</v>
      </c>
      <c r="R650" s="51" t="s">
        <v>273</v>
      </c>
      <c r="S650" s="51"/>
      <c r="T650" s="51">
        <v>0</v>
      </c>
      <c r="U650" s="714">
        <v>45936</v>
      </c>
      <c r="V650" s="658" t="s">
        <v>310</v>
      </c>
      <c r="W650" s="51">
        <v>300</v>
      </c>
      <c r="X650" s="658" t="s">
        <v>32</v>
      </c>
      <c r="Y650" s="26" t="s">
        <v>245</v>
      </c>
      <c r="Z650" s="352"/>
      <c r="AA650" s="271" t="s">
        <v>532</v>
      </c>
      <c r="AB650" s="271" t="s">
        <v>16</v>
      </c>
      <c r="AC650" s="352" t="s">
        <v>3337</v>
      </c>
      <c r="AD650" s="1032"/>
    </row>
    <row r="651" spans="1:30" s="978" customFormat="1" ht="15" customHeight="1">
      <c r="A651" s="1332" t="s">
        <v>25</v>
      </c>
      <c r="B651" s="1332" t="s">
        <v>25</v>
      </c>
      <c r="C651" s="25" t="s">
        <v>3310</v>
      </c>
      <c r="D651" s="25" t="s">
        <v>3311</v>
      </c>
      <c r="E651" s="25" t="s">
        <v>3053</v>
      </c>
      <c r="F651" s="25">
        <v>787172484</v>
      </c>
      <c r="G651" s="25">
        <v>153495143</v>
      </c>
      <c r="H651" s="26">
        <v>5.8132099999999998</v>
      </c>
      <c r="I651" s="26">
        <v>-5.3645399999999999</v>
      </c>
      <c r="J651" s="25" t="s">
        <v>2612</v>
      </c>
      <c r="K651" s="26" t="s">
        <v>190</v>
      </c>
      <c r="L651" s="26" t="s">
        <v>3196</v>
      </c>
      <c r="M651" s="26" t="s">
        <v>3334</v>
      </c>
      <c r="N651" s="26">
        <v>2150031575</v>
      </c>
      <c r="O651" s="43">
        <v>45933</v>
      </c>
      <c r="P651" s="44">
        <f t="shared" ca="1" si="21"/>
        <v>135</v>
      </c>
      <c r="Q651" s="43">
        <v>45934</v>
      </c>
      <c r="R651" s="51" t="s">
        <v>2641</v>
      </c>
      <c r="S651" s="51"/>
      <c r="T651" s="51">
        <v>0</v>
      </c>
      <c r="U651" s="714">
        <v>45936</v>
      </c>
      <c r="V651" s="658" t="s">
        <v>310</v>
      </c>
      <c r="W651" s="51">
        <v>150</v>
      </c>
      <c r="X651" s="658" t="s">
        <v>32</v>
      </c>
      <c r="Y651" s="26" t="s">
        <v>193</v>
      </c>
      <c r="Z651" s="352"/>
      <c r="AA651" s="352" t="s">
        <v>532</v>
      </c>
      <c r="AB651" s="271" t="s">
        <v>16</v>
      </c>
      <c r="AC651" s="352" t="s">
        <v>3335</v>
      </c>
      <c r="AD651" s="1032"/>
    </row>
    <row r="652" spans="1:30" s="634" customFormat="1" ht="15" customHeight="1">
      <c r="A652" s="1332" t="s">
        <v>25</v>
      </c>
      <c r="B652" s="1332" t="s">
        <v>25</v>
      </c>
      <c r="C652" s="25" t="s">
        <v>3312</v>
      </c>
      <c r="D652" s="25" t="s">
        <v>3313</v>
      </c>
      <c r="E652" s="25" t="s">
        <v>3314</v>
      </c>
      <c r="F652" s="25">
        <v>103809186</v>
      </c>
      <c r="G652" s="25">
        <v>707575487</v>
      </c>
      <c r="H652" s="26">
        <v>5.8119399999999999</v>
      </c>
      <c r="I652" s="26">
        <v>-5.3652899999999999</v>
      </c>
      <c r="J652" s="25" t="s">
        <v>2612</v>
      </c>
      <c r="K652" s="26" t="s">
        <v>190</v>
      </c>
      <c r="L652" s="26" t="s">
        <v>3196</v>
      </c>
      <c r="M652" s="26" t="s">
        <v>3332</v>
      </c>
      <c r="N652" s="26">
        <v>2150031569</v>
      </c>
      <c r="O652" s="43">
        <v>45933</v>
      </c>
      <c r="P652" s="44">
        <f t="shared" ca="1" si="21"/>
        <v>135</v>
      </c>
      <c r="Q652" s="43">
        <v>45934</v>
      </c>
      <c r="R652" s="51" t="s">
        <v>273</v>
      </c>
      <c r="S652" s="51"/>
      <c r="T652" s="51">
        <v>0</v>
      </c>
      <c r="U652" s="714">
        <v>45936</v>
      </c>
      <c r="V652" s="658" t="s">
        <v>310</v>
      </c>
      <c r="W652" s="51">
        <v>400</v>
      </c>
      <c r="X652" s="658" t="s">
        <v>32</v>
      </c>
      <c r="Y652" s="26" t="s">
        <v>228</v>
      </c>
      <c r="Z652" s="352"/>
      <c r="AA652" s="271" t="s">
        <v>532</v>
      </c>
      <c r="AB652" s="271" t="s">
        <v>16</v>
      </c>
      <c r="AC652" s="352" t="s">
        <v>3338</v>
      </c>
    </row>
    <row r="653" spans="1:30" s="80" customFormat="1" ht="15" hidden="1" customHeight="1">
      <c r="A653" s="1724" t="s">
        <v>25</v>
      </c>
      <c r="B653" s="1724" t="s">
        <v>25</v>
      </c>
      <c r="C653" s="1725" t="s">
        <v>3054</v>
      </c>
      <c r="D653" s="1725" t="s">
        <v>3055</v>
      </c>
      <c r="E653" s="1725" t="s">
        <v>35</v>
      </c>
      <c r="F653" s="1725">
        <v>141466648</v>
      </c>
      <c r="G653" s="1725">
        <v>706606270</v>
      </c>
      <c r="H653" s="1726"/>
      <c r="I653" s="1726"/>
      <c r="J653" s="1725" t="s">
        <v>36</v>
      </c>
      <c r="K653" s="1726" t="s">
        <v>190</v>
      </c>
      <c r="L653" s="1726" t="s">
        <v>1350</v>
      </c>
      <c r="M653" s="1726" t="s">
        <v>3353</v>
      </c>
      <c r="N653" s="1726">
        <v>215003872</v>
      </c>
      <c r="O653" s="1727">
        <v>45916</v>
      </c>
      <c r="P653" s="1728">
        <f t="shared" ca="1" si="21"/>
        <v>150</v>
      </c>
      <c r="Q653" s="1727">
        <v>45919</v>
      </c>
      <c r="R653" s="1729" t="s">
        <v>2641</v>
      </c>
      <c r="S653" s="1729"/>
      <c r="T653" s="1729">
        <v>0</v>
      </c>
      <c r="U653" s="1730">
        <v>45937</v>
      </c>
      <c r="V653" s="1731" t="s">
        <v>310</v>
      </c>
      <c r="W653" s="1729">
        <v>400</v>
      </c>
      <c r="X653" s="1731" t="s">
        <v>32</v>
      </c>
      <c r="Y653" s="1726" t="s">
        <v>343</v>
      </c>
      <c r="Z653" s="1671"/>
      <c r="AA653" s="1671" t="s">
        <v>532</v>
      </c>
      <c r="AB653" s="1732" t="s">
        <v>16</v>
      </c>
      <c r="AC653" s="1671" t="s">
        <v>3367</v>
      </c>
    </row>
    <row r="654" spans="1:30" s="634" customFormat="1" ht="15" customHeight="1">
      <c r="A654" s="1329" t="s">
        <v>25</v>
      </c>
      <c r="B654" s="1329" t="s">
        <v>25</v>
      </c>
      <c r="C654" s="1333" t="s">
        <v>3139</v>
      </c>
      <c r="D654" s="1333" t="s">
        <v>3140</v>
      </c>
      <c r="E654" s="1333" t="s">
        <v>3140</v>
      </c>
      <c r="F654" s="1333">
        <v>103199810</v>
      </c>
      <c r="G654" s="1333">
        <v>555851958</v>
      </c>
      <c r="H654" s="352">
        <v>5.8189399999999996</v>
      </c>
      <c r="I654" s="352">
        <v>-5.3639099999999997</v>
      </c>
      <c r="J654" s="1333" t="s">
        <v>2612</v>
      </c>
      <c r="K654" s="352" t="s">
        <v>190</v>
      </c>
      <c r="L654" s="352" t="s">
        <v>3336</v>
      </c>
      <c r="M654" s="353" t="s">
        <v>3341</v>
      </c>
      <c r="N654" s="353">
        <v>2150031560</v>
      </c>
      <c r="O654" s="1334">
        <v>45922</v>
      </c>
      <c r="P654" s="354">
        <f t="shared" ca="1" si="21"/>
        <v>145</v>
      </c>
      <c r="Q654" s="1334">
        <v>45924</v>
      </c>
      <c r="R654" s="271" t="s">
        <v>2641</v>
      </c>
      <c r="S654" s="271"/>
      <c r="T654" s="271">
        <v>1</v>
      </c>
      <c r="U654" s="1330">
        <v>45937</v>
      </c>
      <c r="V654" s="1331" t="s">
        <v>310</v>
      </c>
      <c r="W654" s="271">
        <v>300</v>
      </c>
      <c r="X654" s="1331" t="s">
        <v>32</v>
      </c>
      <c r="Y654" s="352" t="s">
        <v>245</v>
      </c>
      <c r="Z654" s="168"/>
      <c r="AA654" s="168" t="s">
        <v>532</v>
      </c>
      <c r="AB654" s="174" t="s">
        <v>16</v>
      </c>
      <c r="AC654" s="168" t="s">
        <v>3221</v>
      </c>
    </row>
    <row r="655" spans="1:30" s="624" customFormat="1" ht="15" customHeight="1">
      <c r="A655" s="1329" t="s">
        <v>25</v>
      </c>
      <c r="B655" s="1329" t="s">
        <v>25</v>
      </c>
      <c r="C655" s="1333" t="s">
        <v>3147</v>
      </c>
      <c r="D655" s="1333" t="s">
        <v>3148</v>
      </c>
      <c r="E655" s="1333" t="s">
        <v>3053</v>
      </c>
      <c r="F655" s="1333">
        <v>142618483</v>
      </c>
      <c r="G655" s="1333">
        <v>505790942</v>
      </c>
      <c r="H655" s="352">
        <v>5.8188399999999998</v>
      </c>
      <c r="I655" s="352">
        <v>-5.3636400000000002</v>
      </c>
      <c r="J655" s="1333" t="s">
        <v>3172</v>
      </c>
      <c r="K655" s="352" t="s">
        <v>190</v>
      </c>
      <c r="L655" s="352" t="s">
        <v>3192</v>
      </c>
      <c r="M655" s="352" t="s">
        <v>3354</v>
      </c>
      <c r="N655" s="352">
        <v>2150038725</v>
      </c>
      <c r="O655" s="1334">
        <v>45922</v>
      </c>
      <c r="P655" s="354">
        <f t="shared" ca="1" si="21"/>
        <v>145</v>
      </c>
      <c r="Q655" s="1334">
        <v>45924</v>
      </c>
      <c r="R655" s="271" t="s">
        <v>2641</v>
      </c>
      <c r="S655" s="271"/>
      <c r="T655" s="271">
        <v>2</v>
      </c>
      <c r="U655" s="1330">
        <v>45937</v>
      </c>
      <c r="V655" s="1331" t="s">
        <v>310</v>
      </c>
      <c r="W655" s="271">
        <v>250</v>
      </c>
      <c r="X655" s="1331" t="s">
        <v>32</v>
      </c>
      <c r="Y655" s="352" t="s">
        <v>228</v>
      </c>
      <c r="Z655" s="855"/>
      <c r="AA655" s="855" t="s">
        <v>532</v>
      </c>
      <c r="AB655" s="855" t="s">
        <v>16</v>
      </c>
      <c r="AC655" s="855" t="s">
        <v>3358</v>
      </c>
    </row>
    <row r="656" spans="1:30" s="624" customFormat="1" ht="15" customHeight="1">
      <c r="A656" s="1329" t="s">
        <v>25</v>
      </c>
      <c r="B656" s="1329" t="s">
        <v>25</v>
      </c>
      <c r="C656" s="272" t="s">
        <v>3241</v>
      </c>
      <c r="D656" s="272" t="s">
        <v>3242</v>
      </c>
      <c r="E656" s="272" t="s">
        <v>3053</v>
      </c>
      <c r="F656" s="272">
        <v>708412789</v>
      </c>
      <c r="G656" s="272">
        <v>506291030</v>
      </c>
      <c r="H656" s="352">
        <v>5.8193700000000002</v>
      </c>
      <c r="I656" s="352">
        <v>-5.3638700000000004</v>
      </c>
      <c r="J656" s="352" t="s">
        <v>2612</v>
      </c>
      <c r="K656" s="352" t="s">
        <v>190</v>
      </c>
      <c r="L656" s="352" t="s">
        <v>3192</v>
      </c>
      <c r="M656" s="353" t="s">
        <v>3340</v>
      </c>
      <c r="N656" s="353">
        <v>2150031564</v>
      </c>
      <c r="O656" s="355">
        <v>45929</v>
      </c>
      <c r="P656" s="354">
        <f t="shared" ca="1" si="21"/>
        <v>139</v>
      </c>
      <c r="Q656" s="355">
        <v>45930</v>
      </c>
      <c r="R656" s="271" t="s">
        <v>273</v>
      </c>
      <c r="S656" s="271"/>
      <c r="T656" s="271">
        <v>2</v>
      </c>
      <c r="U656" s="1330">
        <v>45937</v>
      </c>
      <c r="V656" s="1331" t="s">
        <v>310</v>
      </c>
      <c r="W656" s="271">
        <v>400</v>
      </c>
      <c r="X656" s="1331" t="s">
        <v>32</v>
      </c>
      <c r="Y656" s="352" t="s">
        <v>343</v>
      </c>
      <c r="Z656" s="855"/>
      <c r="AA656" s="855" t="s">
        <v>532</v>
      </c>
      <c r="AB656" s="855" t="s">
        <v>16</v>
      </c>
      <c r="AC656" s="855" t="s">
        <v>3362</v>
      </c>
    </row>
    <row r="657" spans="1:29" s="641" customFormat="1" ht="15" hidden="1" customHeight="1">
      <c r="A657" s="1673" t="s">
        <v>25</v>
      </c>
      <c r="B657" s="1673" t="s">
        <v>25</v>
      </c>
      <c r="C657" s="1673" t="s">
        <v>2599</v>
      </c>
      <c r="D657" s="1673" t="s">
        <v>2600</v>
      </c>
      <c r="E657" s="1673" t="s">
        <v>621</v>
      </c>
      <c r="F657" s="1733">
        <v>102391956</v>
      </c>
      <c r="G657" s="1681">
        <v>707730646</v>
      </c>
      <c r="H657" s="1675">
        <v>5.85616</v>
      </c>
      <c r="I657" s="1675">
        <v>-5.3472900000000001</v>
      </c>
      <c r="J657" s="1673" t="s">
        <v>189</v>
      </c>
      <c r="K657" s="1675" t="s">
        <v>198</v>
      </c>
      <c r="L657" s="1675" t="s">
        <v>3365</v>
      </c>
      <c r="M657" s="1734" t="s">
        <v>3363</v>
      </c>
      <c r="N657" s="1734">
        <v>2150038714</v>
      </c>
      <c r="O657" s="1735">
        <v>45866</v>
      </c>
      <c r="P657" s="1677">
        <f t="shared" ca="1" si="21"/>
        <v>199</v>
      </c>
      <c r="Q657" s="1735">
        <v>45870</v>
      </c>
      <c r="R657" s="1675" t="s">
        <v>273</v>
      </c>
      <c r="S657" s="1675"/>
      <c r="T657" s="1675">
        <v>1</v>
      </c>
      <c r="U657" s="1736">
        <v>45938</v>
      </c>
      <c r="V657" s="1675" t="s">
        <v>310</v>
      </c>
      <c r="W657" s="1675">
        <v>150</v>
      </c>
      <c r="X657" s="1675" t="s">
        <v>32</v>
      </c>
      <c r="Y657" s="663" t="s">
        <v>193</v>
      </c>
      <c r="AA657" s="1737" t="s">
        <v>532</v>
      </c>
      <c r="AB657" s="1738" t="s">
        <v>16</v>
      </c>
      <c r="AC657" s="1737" t="s">
        <v>3252</v>
      </c>
    </row>
    <row r="658" spans="1:29" s="641" customFormat="1" ht="15" hidden="1" customHeight="1">
      <c r="A658" s="1403" t="s">
        <v>25</v>
      </c>
      <c r="B658" s="1403" t="s">
        <v>25</v>
      </c>
      <c r="C658" s="1122" t="s">
        <v>2818</v>
      </c>
      <c r="D658" s="1122" t="s">
        <v>2819</v>
      </c>
      <c r="E658" s="1122" t="s">
        <v>621</v>
      </c>
      <c r="F658" s="1122">
        <v>779081071</v>
      </c>
      <c r="G658" s="1122">
        <v>545221513</v>
      </c>
      <c r="H658" s="1122">
        <v>5.8416600000000001</v>
      </c>
      <c r="I658" s="1122">
        <v>-5.36599</v>
      </c>
      <c r="J658" s="1122" t="s">
        <v>36</v>
      </c>
      <c r="K658" s="1122" t="s">
        <v>203</v>
      </c>
      <c r="L658" s="1122" t="s">
        <v>1132</v>
      </c>
      <c r="M658" s="1122" t="s">
        <v>3364</v>
      </c>
      <c r="N658" s="1122">
        <v>2150038715</v>
      </c>
      <c r="O658" s="1218">
        <v>45887</v>
      </c>
      <c r="P658" s="1194">
        <f t="shared" ca="1" si="21"/>
        <v>178</v>
      </c>
      <c r="Q658" s="1218">
        <v>45891</v>
      </c>
      <c r="R658" s="1422" t="s">
        <v>273</v>
      </c>
      <c r="S658" s="1122"/>
      <c r="T658" s="1122"/>
      <c r="U658" s="1218">
        <v>45938</v>
      </c>
      <c r="V658" s="1419" t="s">
        <v>310</v>
      </c>
      <c r="W658" s="1122"/>
      <c r="X658" s="1419" t="s">
        <v>32</v>
      </c>
      <c r="Y658" s="663" t="s">
        <v>228</v>
      </c>
      <c r="AA658" s="1423" t="s">
        <v>532</v>
      </c>
      <c r="AB658" s="1424" t="s">
        <v>16</v>
      </c>
      <c r="AC658" s="1423" t="s">
        <v>3366</v>
      </c>
    </row>
    <row r="659" spans="1:29" s="624" customFormat="1" ht="15" customHeight="1">
      <c r="A659" s="1335" t="s">
        <v>25</v>
      </c>
      <c r="B659" s="1335" t="s">
        <v>25</v>
      </c>
      <c r="C659" s="248" t="s">
        <v>3346</v>
      </c>
      <c r="D659" s="248" t="s">
        <v>3347</v>
      </c>
      <c r="E659" s="248" t="s">
        <v>3053</v>
      </c>
      <c r="F659" s="248">
        <v>707383616</v>
      </c>
      <c r="G659" s="248">
        <v>707383616</v>
      </c>
      <c r="H659" s="855">
        <v>5.8270099999999996</v>
      </c>
      <c r="I659" s="855">
        <v>-5.35954</v>
      </c>
      <c r="J659" s="248" t="s">
        <v>2612</v>
      </c>
      <c r="K659" s="855" t="s">
        <v>274</v>
      </c>
      <c r="L659" s="855" t="s">
        <v>3357</v>
      </c>
      <c r="M659" s="490" t="s">
        <v>3355</v>
      </c>
      <c r="N659" s="490">
        <v>2150038727</v>
      </c>
      <c r="O659" s="1275">
        <v>45936</v>
      </c>
      <c r="P659" s="1336">
        <f t="shared" ca="1" si="21"/>
        <v>132</v>
      </c>
      <c r="Q659" s="1275">
        <v>45937</v>
      </c>
      <c r="R659" s="1337" t="s">
        <v>2641</v>
      </c>
      <c r="S659" s="855"/>
      <c r="T659" s="855">
        <v>0</v>
      </c>
      <c r="U659" s="1338">
        <v>45938</v>
      </c>
      <c r="V659" s="1267" t="s">
        <v>310</v>
      </c>
      <c r="W659" s="855">
        <v>115</v>
      </c>
      <c r="X659" s="1267" t="s">
        <v>32</v>
      </c>
      <c r="Y659" s="855" t="s">
        <v>228</v>
      </c>
      <c r="Z659" s="855"/>
      <c r="AA659" s="855" t="s">
        <v>532</v>
      </c>
      <c r="AB659" s="1337" t="s">
        <v>16</v>
      </c>
      <c r="AC659" s="855" t="s">
        <v>3291</v>
      </c>
    </row>
    <row r="660" spans="1:29" s="624" customFormat="1" ht="15" customHeight="1">
      <c r="A660" s="1335" t="s">
        <v>25</v>
      </c>
      <c r="B660" s="1335" t="s">
        <v>25</v>
      </c>
      <c r="C660" s="248" t="s">
        <v>3351</v>
      </c>
      <c r="D660" s="248" t="s">
        <v>3352</v>
      </c>
      <c r="E660" s="248" t="s">
        <v>3058</v>
      </c>
      <c r="F660" s="248">
        <v>153868802</v>
      </c>
      <c r="G660" s="248">
        <v>546606568</v>
      </c>
      <c r="H660" s="855">
        <v>5.82714</v>
      </c>
      <c r="I660" s="855">
        <v>-5.3600099999999999</v>
      </c>
      <c r="J660" s="248" t="s">
        <v>2612</v>
      </c>
      <c r="K660" s="855" t="s">
        <v>274</v>
      </c>
      <c r="L660" s="855" t="s">
        <v>3357</v>
      </c>
      <c r="M660" s="855" t="s">
        <v>3361</v>
      </c>
      <c r="N660" s="855">
        <v>2150038726</v>
      </c>
      <c r="O660" s="1275">
        <v>45936</v>
      </c>
      <c r="P660" s="1336">
        <f t="shared" ca="1" si="21"/>
        <v>132</v>
      </c>
      <c r="Q660" s="1275">
        <v>45937</v>
      </c>
      <c r="R660" s="1337" t="s">
        <v>2641</v>
      </c>
      <c r="S660" s="855"/>
      <c r="T660" s="855">
        <v>0</v>
      </c>
      <c r="U660" s="1338">
        <v>45938</v>
      </c>
      <c r="V660" s="1267" t="s">
        <v>310</v>
      </c>
      <c r="W660" s="855">
        <v>150</v>
      </c>
      <c r="X660" s="1267" t="s">
        <v>32</v>
      </c>
      <c r="Y660" s="855" t="s">
        <v>193</v>
      </c>
      <c r="Z660" s="855"/>
      <c r="AA660" s="855" t="s">
        <v>532</v>
      </c>
      <c r="AB660" s="855" t="s">
        <v>16</v>
      </c>
      <c r="AC660" s="855" t="s">
        <v>3360</v>
      </c>
    </row>
    <row r="661" spans="1:29" s="641" customFormat="1" ht="15" hidden="1" customHeight="1" thickBot="1">
      <c r="A661" s="1739" t="s">
        <v>25</v>
      </c>
      <c r="B661" s="1739" t="s">
        <v>25</v>
      </c>
      <c r="C661" s="1740" t="s">
        <v>3243</v>
      </c>
      <c r="D661" s="1740" t="s">
        <v>3244</v>
      </c>
      <c r="E661" s="1740" t="s">
        <v>3245</v>
      </c>
      <c r="F661" s="1740">
        <v>759660691</v>
      </c>
      <c r="G661" s="1740">
        <v>759660691</v>
      </c>
      <c r="H661" s="1737">
        <v>5.8395200000000003</v>
      </c>
      <c r="I661" s="1737">
        <v>-5.3654700000000002</v>
      </c>
      <c r="J661" s="1737" t="s">
        <v>36</v>
      </c>
      <c r="K661" s="1737" t="s">
        <v>203</v>
      </c>
      <c r="L661" s="1737" t="s">
        <v>1481</v>
      </c>
      <c r="M661" s="1741" t="s">
        <v>3372</v>
      </c>
      <c r="N661" s="1742">
        <v>2150038717</v>
      </c>
      <c r="O661" s="1743">
        <v>45929</v>
      </c>
      <c r="P661" s="1744">
        <f t="shared" ca="1" si="21"/>
        <v>139</v>
      </c>
      <c r="Q661" s="1743">
        <v>45930</v>
      </c>
      <c r="R661" s="1738" t="s">
        <v>2641</v>
      </c>
      <c r="S661" s="1738"/>
      <c r="T661" s="1738">
        <v>1</v>
      </c>
      <c r="U661" s="1745">
        <v>45939</v>
      </c>
      <c r="V661" s="1746" t="s">
        <v>310</v>
      </c>
      <c r="W661" s="1738">
        <v>300</v>
      </c>
      <c r="X661" s="1746" t="s">
        <v>32</v>
      </c>
      <c r="Y661" s="1737" t="s">
        <v>245</v>
      </c>
      <c r="Z661" s="1737"/>
      <c r="AA661" s="1738" t="s">
        <v>532</v>
      </c>
      <c r="AB661" s="1747" t="s">
        <v>16</v>
      </c>
      <c r="AC661" s="1737" t="s">
        <v>3377</v>
      </c>
    </row>
    <row r="662" spans="1:29" s="641" customFormat="1" ht="15" hidden="1" customHeight="1">
      <c r="A662" s="785" t="s">
        <v>25</v>
      </c>
      <c r="B662" s="785" t="s">
        <v>25</v>
      </c>
      <c r="C662" s="786" t="s">
        <v>3274</v>
      </c>
      <c r="D662" s="786" t="s">
        <v>3275</v>
      </c>
      <c r="E662" s="786" t="s">
        <v>3276</v>
      </c>
      <c r="F662" s="786">
        <v>102762300</v>
      </c>
      <c r="G662" s="786">
        <v>767664200</v>
      </c>
      <c r="H662" s="363">
        <v>5.856465</v>
      </c>
      <c r="I662" s="363">
        <v>-5.3466420000000001</v>
      </c>
      <c r="J662" s="786" t="s">
        <v>189</v>
      </c>
      <c r="K662" s="363" t="s">
        <v>198</v>
      </c>
      <c r="L662" s="363" t="s">
        <v>3365</v>
      </c>
      <c r="M662" s="791" t="s">
        <v>3370</v>
      </c>
      <c r="N662" s="791">
        <v>2150038719</v>
      </c>
      <c r="O662" s="787">
        <v>45930</v>
      </c>
      <c r="P662" s="788">
        <f t="shared" ca="1" si="21"/>
        <v>138</v>
      </c>
      <c r="Q662" s="787">
        <v>45931</v>
      </c>
      <c r="R662" s="511" t="s">
        <v>273</v>
      </c>
      <c r="S662" s="511"/>
      <c r="T662" s="511">
        <v>3</v>
      </c>
      <c r="U662" s="521">
        <v>45939</v>
      </c>
      <c r="V662" s="707" t="s">
        <v>310</v>
      </c>
      <c r="W662" s="1230">
        <v>250</v>
      </c>
      <c r="X662" s="1232" t="s">
        <v>32</v>
      </c>
      <c r="Y662" s="641" t="s">
        <v>228</v>
      </c>
      <c r="AA662" s="363" t="s">
        <v>532</v>
      </c>
      <c r="AB662" s="511" t="s">
        <v>16</v>
      </c>
      <c r="AC662" s="363" t="s">
        <v>2538</v>
      </c>
    </row>
    <row r="663" spans="1:29" s="641" customFormat="1" ht="15" hidden="1" customHeight="1" thickBot="1">
      <c r="A663" s="1425" t="s">
        <v>25</v>
      </c>
      <c r="B663" s="1425" t="s">
        <v>25</v>
      </c>
      <c r="C663" s="1426" t="s">
        <v>3268</v>
      </c>
      <c r="D663" s="1426" t="s">
        <v>3269</v>
      </c>
      <c r="E663" s="1426" t="s">
        <v>3270</v>
      </c>
      <c r="F663" s="1426">
        <v>709561190</v>
      </c>
      <c r="G663" s="1426">
        <v>779866930</v>
      </c>
      <c r="H663" s="1423">
        <v>5.8402700000000003</v>
      </c>
      <c r="I663" s="1423">
        <v>-5.3717899999999998</v>
      </c>
      <c r="J663" s="1426" t="s">
        <v>36</v>
      </c>
      <c r="K663" s="1423" t="s">
        <v>203</v>
      </c>
      <c r="L663" s="1423" t="s">
        <v>2904</v>
      </c>
      <c r="M663" s="1427" t="s">
        <v>3371</v>
      </c>
      <c r="N663" s="1427">
        <v>2150038718</v>
      </c>
      <c r="O663" s="1428">
        <v>45930</v>
      </c>
      <c r="P663" s="1429">
        <f t="shared" ca="1" si="21"/>
        <v>138</v>
      </c>
      <c r="Q663" s="1428">
        <v>45931</v>
      </c>
      <c r="R663" s="1424" t="s">
        <v>2641</v>
      </c>
      <c r="S663" s="1424"/>
      <c r="T663" s="1424">
        <v>0</v>
      </c>
      <c r="U663" s="1430">
        <v>45939</v>
      </c>
      <c r="V663" s="1431" t="s">
        <v>310</v>
      </c>
      <c r="W663" s="1424">
        <v>300</v>
      </c>
      <c r="X663" s="1431" t="s">
        <v>32</v>
      </c>
      <c r="Y663" s="641" t="s">
        <v>533</v>
      </c>
      <c r="AA663" s="1423" t="s">
        <v>532</v>
      </c>
      <c r="AB663" s="1424" t="s">
        <v>16</v>
      </c>
      <c r="AC663" s="1423" t="s">
        <v>3321</v>
      </c>
    </row>
    <row r="664" spans="1:29" s="624" customFormat="1" ht="15" customHeight="1">
      <c r="A664" s="1335" t="s">
        <v>25</v>
      </c>
      <c r="B664" s="1335" t="s">
        <v>25</v>
      </c>
      <c r="C664" s="248" t="s">
        <v>3344</v>
      </c>
      <c r="D664" s="248" t="s">
        <v>3345</v>
      </c>
      <c r="E664" s="248" t="s">
        <v>3053</v>
      </c>
      <c r="F664" s="248">
        <v>170603000</v>
      </c>
      <c r="G664" s="248">
        <v>505771741</v>
      </c>
      <c r="H664" s="855">
        <v>5.8160800000000004</v>
      </c>
      <c r="I664" s="855">
        <v>-5.3662799999999997</v>
      </c>
      <c r="J664" s="855" t="s">
        <v>2612</v>
      </c>
      <c r="K664" s="855" t="s">
        <v>190</v>
      </c>
      <c r="L664" s="855" t="s">
        <v>3359</v>
      </c>
      <c r="M664" s="490" t="s">
        <v>3356</v>
      </c>
      <c r="N664" s="490">
        <v>2150038728</v>
      </c>
      <c r="O664" s="1275">
        <v>45936</v>
      </c>
      <c r="P664" s="1336">
        <f t="shared" ca="1" si="21"/>
        <v>132</v>
      </c>
      <c r="Q664" s="1275">
        <v>45937</v>
      </c>
      <c r="R664" s="1337" t="s">
        <v>2641</v>
      </c>
      <c r="S664" s="855"/>
      <c r="T664" s="855">
        <v>0</v>
      </c>
      <c r="U664" s="1338">
        <v>45939</v>
      </c>
      <c r="V664" s="1267" t="s">
        <v>310</v>
      </c>
      <c r="W664" s="855">
        <v>100</v>
      </c>
      <c r="X664" s="1267" t="s">
        <v>32</v>
      </c>
      <c r="Y664" s="855" t="s">
        <v>193</v>
      </c>
      <c r="Z664" s="855"/>
      <c r="AA664" s="855" t="s">
        <v>532</v>
      </c>
      <c r="AB664" s="1337" t="s">
        <v>16</v>
      </c>
      <c r="AC664" s="855" t="s">
        <v>3322</v>
      </c>
    </row>
    <row r="665" spans="1:29" s="641" customFormat="1" ht="15" hidden="1" customHeight="1">
      <c r="A665" s="1739" t="s">
        <v>25</v>
      </c>
      <c r="B665" s="1739" t="s">
        <v>25</v>
      </c>
      <c r="C665" s="1748" t="s">
        <v>2971</v>
      </c>
      <c r="D665" s="1748" t="s">
        <v>2972</v>
      </c>
      <c r="E665" s="1748" t="s">
        <v>2973</v>
      </c>
      <c r="F665" s="1748">
        <v>777393462</v>
      </c>
      <c r="G665" s="1748">
        <v>777393462</v>
      </c>
      <c r="H665" s="1737">
        <v>5.8456999999999999</v>
      </c>
      <c r="I665" s="1737">
        <v>-5.3573300000000001</v>
      </c>
      <c r="J665" s="1748" t="s">
        <v>36</v>
      </c>
      <c r="K665" s="1737" t="s">
        <v>190</v>
      </c>
      <c r="L665" s="1737" t="s">
        <v>2802</v>
      </c>
      <c r="M665" s="1737" t="s">
        <v>3384</v>
      </c>
      <c r="N665" s="1737">
        <v>2150038731</v>
      </c>
      <c r="O665" s="1749">
        <v>45903</v>
      </c>
      <c r="P665" s="1744">
        <f t="shared" ca="1" si="21"/>
        <v>163</v>
      </c>
      <c r="Q665" s="1749">
        <v>45906</v>
      </c>
      <c r="R665" s="1738" t="s">
        <v>273</v>
      </c>
      <c r="S665" s="1738"/>
      <c r="T665" s="1738">
        <v>1</v>
      </c>
      <c r="U665" s="1745">
        <v>45940</v>
      </c>
      <c r="V665" s="1746" t="s">
        <v>310</v>
      </c>
      <c r="W665" s="1738">
        <v>300</v>
      </c>
      <c r="X665" s="1746" t="s">
        <v>32</v>
      </c>
      <c r="Y665" s="641" t="s">
        <v>193</v>
      </c>
      <c r="AA665" s="1737" t="s">
        <v>532</v>
      </c>
      <c r="AB665" s="1738" t="s">
        <v>16</v>
      </c>
      <c r="AC665" s="1737" t="s">
        <v>3302</v>
      </c>
    </row>
    <row r="666" spans="1:29" s="641" customFormat="1" ht="15" hidden="1" customHeight="1">
      <c r="A666" s="785" t="s">
        <v>25</v>
      </c>
      <c r="B666" s="785" t="s">
        <v>25</v>
      </c>
      <c r="C666" s="365" t="s">
        <v>3318</v>
      </c>
      <c r="D666" s="365" t="s">
        <v>3319</v>
      </c>
      <c r="E666" s="365" t="s">
        <v>2034</v>
      </c>
      <c r="F666" s="365">
        <v>140136026</v>
      </c>
      <c r="G666" s="365">
        <v>748366582</v>
      </c>
      <c r="H666" s="363">
        <v>5.8330500000000001</v>
      </c>
      <c r="I666" s="363">
        <v>-5.3548999999999998</v>
      </c>
      <c r="J666" s="365" t="s">
        <v>36</v>
      </c>
      <c r="K666" s="363" t="s">
        <v>274</v>
      </c>
      <c r="L666" s="363" t="s">
        <v>523</v>
      </c>
      <c r="M666" s="791" t="s">
        <v>3385</v>
      </c>
      <c r="N666" s="791">
        <v>2150038716</v>
      </c>
      <c r="O666" s="789">
        <v>45933</v>
      </c>
      <c r="P666" s="788">
        <f t="shared" ca="1" si="21"/>
        <v>135</v>
      </c>
      <c r="Q666" s="789">
        <v>45934</v>
      </c>
      <c r="R666" s="511" t="s">
        <v>2641</v>
      </c>
      <c r="S666" s="511"/>
      <c r="T666" s="511">
        <v>1</v>
      </c>
      <c r="U666" s="521">
        <v>45941</v>
      </c>
      <c r="V666" s="707" t="s">
        <v>310</v>
      </c>
      <c r="W666" s="511">
        <v>300</v>
      </c>
      <c r="X666" s="707" t="s">
        <v>32</v>
      </c>
      <c r="Y666" s="641" t="s">
        <v>533</v>
      </c>
      <c r="AA666" s="363" t="s">
        <v>532</v>
      </c>
      <c r="AB666" s="511" t="s">
        <v>16</v>
      </c>
      <c r="AC666" s="363" t="s">
        <v>3290</v>
      </c>
    </row>
    <row r="667" spans="1:29" s="641" customFormat="1" ht="15" hidden="1" customHeight="1">
      <c r="A667" s="785" t="s">
        <v>25</v>
      </c>
      <c r="B667" s="785" t="s">
        <v>25</v>
      </c>
      <c r="C667" s="365" t="s">
        <v>3315</v>
      </c>
      <c r="D667" s="365" t="s">
        <v>3316</v>
      </c>
      <c r="E667" s="365" t="s">
        <v>3317</v>
      </c>
      <c r="F667" s="365">
        <v>749147433</v>
      </c>
      <c r="G667" s="365">
        <v>506576484</v>
      </c>
      <c r="H667" s="363">
        <v>5.8447100000000001</v>
      </c>
      <c r="I667" s="363">
        <v>-5.3630100000000001</v>
      </c>
      <c r="J667" s="365" t="s">
        <v>36</v>
      </c>
      <c r="K667" s="363" t="s">
        <v>190</v>
      </c>
      <c r="L667" s="363" t="s">
        <v>1705</v>
      </c>
      <c r="M667" s="791" t="s">
        <v>3439</v>
      </c>
      <c r="N667" s="791">
        <v>2150038720</v>
      </c>
      <c r="O667" s="789">
        <v>45933</v>
      </c>
      <c r="P667" s="788">
        <f t="shared" ca="1" si="21"/>
        <v>135</v>
      </c>
      <c r="Q667" s="789">
        <v>45934</v>
      </c>
      <c r="R667" s="511" t="s">
        <v>2641</v>
      </c>
      <c r="S667" s="511"/>
      <c r="T667" s="511">
        <v>1</v>
      </c>
      <c r="U667" s="521">
        <v>45941</v>
      </c>
      <c r="V667" s="707" t="s">
        <v>310</v>
      </c>
      <c r="W667" s="511">
        <v>350</v>
      </c>
      <c r="X667" s="707" t="s">
        <v>32</v>
      </c>
      <c r="Y667" s="641" t="s">
        <v>343</v>
      </c>
      <c r="AA667" s="363" t="s">
        <v>532</v>
      </c>
      <c r="AB667" s="511" t="s">
        <v>16</v>
      </c>
      <c r="AC667" s="363" t="s">
        <v>3299</v>
      </c>
    </row>
    <row r="668" spans="1:29" s="641" customFormat="1" ht="15" hidden="1" customHeight="1">
      <c r="A668" s="365" t="s">
        <v>25</v>
      </c>
      <c r="B668" s="365" t="s">
        <v>25</v>
      </c>
      <c r="C668" s="790" t="s">
        <v>2529</v>
      </c>
      <c r="D668" s="790" t="s">
        <v>2530</v>
      </c>
      <c r="E668" s="790" t="s">
        <v>2531</v>
      </c>
      <c r="F668" s="790">
        <v>758886194</v>
      </c>
      <c r="G668" s="790">
        <v>506048264</v>
      </c>
      <c r="H668" s="363">
        <v>5.8443990000000001</v>
      </c>
      <c r="I668" s="363">
        <v>-5.3575530000000002</v>
      </c>
      <c r="J668" s="365" t="s">
        <v>189</v>
      </c>
      <c r="K668" s="363" t="s">
        <v>203</v>
      </c>
      <c r="L668" s="363" t="s">
        <v>541</v>
      </c>
      <c r="M668" s="792" t="s">
        <v>3440</v>
      </c>
      <c r="N668" s="792">
        <v>2150038729</v>
      </c>
      <c r="O668" s="790" t="s">
        <v>2535</v>
      </c>
      <c r="P668" s="788">
        <f t="shared" ca="1" si="21"/>
        <v>206</v>
      </c>
      <c r="Q668" s="790" t="s">
        <v>2536</v>
      </c>
      <c r="R668" s="363" t="s">
        <v>30</v>
      </c>
      <c r="S668" s="363"/>
      <c r="T668" s="363">
        <v>2</v>
      </c>
      <c r="U668" s="521">
        <v>45941</v>
      </c>
      <c r="V668" s="363" t="s">
        <v>310</v>
      </c>
      <c r="W668" s="363">
        <v>450</v>
      </c>
      <c r="X668" s="364" t="s">
        <v>32</v>
      </c>
      <c r="Y668" s="641" t="s">
        <v>1521</v>
      </c>
      <c r="AA668" s="363" t="s">
        <v>532</v>
      </c>
      <c r="AB668" s="511" t="s">
        <v>16</v>
      </c>
      <c r="AC668" s="363" t="s">
        <v>3295</v>
      </c>
    </row>
    <row r="669" spans="1:29" s="641" customFormat="1" ht="15" hidden="1" customHeight="1">
      <c r="A669" s="785" t="s">
        <v>25</v>
      </c>
      <c r="B669" s="785" t="s">
        <v>25</v>
      </c>
      <c r="C669" s="365" t="s">
        <v>3280</v>
      </c>
      <c r="D669" s="365" t="s">
        <v>3281</v>
      </c>
      <c r="E669" s="365" t="s">
        <v>3282</v>
      </c>
      <c r="F669" s="365">
        <v>707393853</v>
      </c>
      <c r="G669" s="365">
        <v>78198286</v>
      </c>
      <c r="H669" s="363">
        <v>5.8359800000000002</v>
      </c>
      <c r="I669" s="363">
        <v>-5.36374</v>
      </c>
      <c r="J669" s="365" t="s">
        <v>36</v>
      </c>
      <c r="K669" s="363" t="s">
        <v>203</v>
      </c>
      <c r="L669" s="363" t="s">
        <v>2181</v>
      </c>
      <c r="M669" s="791" t="s">
        <v>3442</v>
      </c>
      <c r="N669" s="791">
        <v>2150038721</v>
      </c>
      <c r="O669" s="789">
        <v>45930</v>
      </c>
      <c r="P669" s="788">
        <f t="shared" ca="1" si="21"/>
        <v>138</v>
      </c>
      <c r="Q669" s="789">
        <v>45931</v>
      </c>
      <c r="R669" s="511" t="s">
        <v>2641</v>
      </c>
      <c r="S669" s="511"/>
      <c r="T669" s="511">
        <v>2</v>
      </c>
      <c r="U669" s="521">
        <v>45943</v>
      </c>
      <c r="V669" s="707" t="s">
        <v>310</v>
      </c>
      <c r="W669" s="511">
        <v>300</v>
      </c>
      <c r="X669" s="707" t="s">
        <v>32</v>
      </c>
      <c r="Y669" s="641" t="s">
        <v>245</v>
      </c>
      <c r="AA669" s="363" t="s">
        <v>532</v>
      </c>
      <c r="AB669" s="363" t="s">
        <v>16</v>
      </c>
      <c r="AC669" s="363" t="s">
        <v>3432</v>
      </c>
    </row>
    <row r="670" spans="1:29" s="641" customFormat="1" ht="15" hidden="1" customHeight="1">
      <c r="A670" s="785" t="s">
        <v>25</v>
      </c>
      <c r="B670" s="785" t="s">
        <v>25</v>
      </c>
      <c r="C670" s="365" t="s">
        <v>3257</v>
      </c>
      <c r="D670" s="365" t="s">
        <v>3258</v>
      </c>
      <c r="E670" s="365" t="s">
        <v>3259</v>
      </c>
      <c r="F670" s="365">
        <v>709905476</v>
      </c>
      <c r="G670" s="365">
        <v>504602020</v>
      </c>
      <c r="H670" s="363">
        <v>5.8385899999999999</v>
      </c>
      <c r="I670" s="363">
        <v>-5.3722200000000004</v>
      </c>
      <c r="J670" s="365" t="s">
        <v>36</v>
      </c>
      <c r="K670" s="363" t="s">
        <v>203</v>
      </c>
      <c r="L670" s="363" t="s">
        <v>2903</v>
      </c>
      <c r="M670" s="791" t="s">
        <v>3443</v>
      </c>
      <c r="N670" s="791">
        <v>2150038723</v>
      </c>
      <c r="O670" s="789">
        <v>45926</v>
      </c>
      <c r="P670" s="788">
        <f t="shared" ca="1" si="21"/>
        <v>138</v>
      </c>
      <c r="Q670" s="789">
        <v>45931</v>
      </c>
      <c r="R670" s="511" t="s">
        <v>2641</v>
      </c>
      <c r="S670" s="511"/>
      <c r="T670" s="511">
        <v>3</v>
      </c>
      <c r="U670" s="521">
        <v>45943</v>
      </c>
      <c r="V670" s="707" t="s">
        <v>310</v>
      </c>
      <c r="W670" s="511">
        <v>500</v>
      </c>
      <c r="X670" s="707" t="s">
        <v>32</v>
      </c>
      <c r="Y670" s="641" t="s">
        <v>228</v>
      </c>
      <c r="AA670" s="363" t="s">
        <v>532</v>
      </c>
      <c r="AB670" s="363" t="s">
        <v>16</v>
      </c>
      <c r="AC670" s="363" t="s">
        <v>3436</v>
      </c>
    </row>
    <row r="671" spans="1:29" s="641" customFormat="1" ht="15" hidden="1" customHeight="1">
      <c r="A671" s="785" t="s">
        <v>25</v>
      </c>
      <c r="B671" s="785" t="s">
        <v>25</v>
      </c>
      <c r="C671" s="365" t="s">
        <v>3277</v>
      </c>
      <c r="D671" s="365" t="s">
        <v>3278</v>
      </c>
      <c r="E671" s="365" t="s">
        <v>3279</v>
      </c>
      <c r="F671" s="365">
        <v>102481482</v>
      </c>
      <c r="G671" s="365">
        <v>506944070</v>
      </c>
      <c r="H671" s="363">
        <v>5.8312999999999997</v>
      </c>
      <c r="I671" s="363">
        <v>-5.3578000000000001</v>
      </c>
      <c r="J671" s="365" t="s">
        <v>36</v>
      </c>
      <c r="K671" s="363" t="s">
        <v>198</v>
      </c>
      <c r="L671" s="363" t="s">
        <v>1743</v>
      </c>
      <c r="M671" s="363" t="s">
        <v>3444</v>
      </c>
      <c r="N671" s="363">
        <v>2150038694</v>
      </c>
      <c r="O671" s="789">
        <v>45930</v>
      </c>
      <c r="P671" s="788">
        <f t="shared" ca="1" si="21"/>
        <v>138</v>
      </c>
      <c r="Q671" s="789">
        <v>45931</v>
      </c>
      <c r="R671" s="511" t="s">
        <v>2641</v>
      </c>
      <c r="S671" s="511"/>
      <c r="T671" s="511">
        <v>2</v>
      </c>
      <c r="U671" s="521">
        <v>45943</v>
      </c>
      <c r="V671" s="707" t="s">
        <v>310</v>
      </c>
      <c r="W671" s="511">
        <v>250</v>
      </c>
      <c r="X671" s="707" t="s">
        <v>32</v>
      </c>
      <c r="Y671" s="641" t="s">
        <v>343</v>
      </c>
      <c r="AA671" s="363" t="s">
        <v>532</v>
      </c>
      <c r="AB671" s="363" t="s">
        <v>16</v>
      </c>
      <c r="AC671" s="363" t="s">
        <v>3434</v>
      </c>
    </row>
    <row r="672" spans="1:29" s="796" customFormat="1" ht="15" hidden="1" customHeight="1">
      <c r="A672" s="785" t="s">
        <v>25</v>
      </c>
      <c r="B672" s="785" t="s">
        <v>25</v>
      </c>
      <c r="C672" s="365" t="s">
        <v>3265</v>
      </c>
      <c r="D672" s="365" t="s">
        <v>3266</v>
      </c>
      <c r="E672" s="365" t="s">
        <v>3267</v>
      </c>
      <c r="F672" s="365">
        <v>749124311</v>
      </c>
      <c r="G672" s="365">
        <v>749124311</v>
      </c>
      <c r="H672" s="363">
        <v>5.8441299999999998</v>
      </c>
      <c r="I672" s="363">
        <v>-5.3507300000000004</v>
      </c>
      <c r="J672" s="365" t="s">
        <v>189</v>
      </c>
      <c r="K672" s="363" t="s">
        <v>203</v>
      </c>
      <c r="L672" s="363" t="s">
        <v>344</v>
      </c>
      <c r="M672" s="363" t="s">
        <v>3307</v>
      </c>
      <c r="N672" s="363">
        <v>2150031570</v>
      </c>
      <c r="O672" s="789">
        <v>45930</v>
      </c>
      <c r="P672" s="788">
        <f t="shared" ca="1" si="21"/>
        <v>138</v>
      </c>
      <c r="Q672" s="789">
        <v>45931</v>
      </c>
      <c r="R672" s="511" t="s">
        <v>2641</v>
      </c>
      <c r="S672" s="511"/>
      <c r="T672" s="511">
        <v>0</v>
      </c>
      <c r="U672" s="521">
        <v>45943</v>
      </c>
      <c r="V672" s="707" t="s">
        <v>310</v>
      </c>
      <c r="W672" s="511">
        <v>350</v>
      </c>
      <c r="X672" s="707" t="s">
        <v>32</v>
      </c>
      <c r="Y672" s="641" t="s">
        <v>533</v>
      </c>
      <c r="AA672" s="794" t="s">
        <v>532</v>
      </c>
      <c r="AB672" s="794" t="s">
        <v>16</v>
      </c>
      <c r="AC672" s="797" t="s">
        <v>3456</v>
      </c>
    </row>
    <row r="673" spans="1:29" s="641" customFormat="1" ht="15" hidden="1" customHeight="1">
      <c r="A673" s="1425" t="s">
        <v>25</v>
      </c>
      <c r="B673" s="1425" t="s">
        <v>25</v>
      </c>
      <c r="C673" s="1426" t="s">
        <v>3404</v>
      </c>
      <c r="D673" s="1426" t="s">
        <v>3405</v>
      </c>
      <c r="E673" s="1426" t="s">
        <v>240</v>
      </c>
      <c r="F673" s="1426">
        <v>595533259</v>
      </c>
      <c r="G673" s="1426">
        <v>584593395</v>
      </c>
      <c r="H673" s="1423">
        <v>5.8337599999999998</v>
      </c>
      <c r="I673" s="1423">
        <v>-5.35588</v>
      </c>
      <c r="J673" s="1426" t="s">
        <v>36</v>
      </c>
      <c r="K673" s="1423" t="s">
        <v>274</v>
      </c>
      <c r="L673" s="1423" t="s">
        <v>2406</v>
      </c>
      <c r="M673" s="1427" t="s">
        <v>3441</v>
      </c>
      <c r="N673" s="1427">
        <v>2150038730</v>
      </c>
      <c r="O673" s="1432">
        <v>45940</v>
      </c>
      <c r="P673" s="1429">
        <f t="shared" ref="P673:P690" ca="1" si="22">TODAY()-Q673</f>
        <v>128</v>
      </c>
      <c r="Q673" s="1432">
        <v>45941</v>
      </c>
      <c r="R673" s="1424" t="s">
        <v>2641</v>
      </c>
      <c r="S673" s="1423"/>
      <c r="T673" s="1423">
        <v>0</v>
      </c>
      <c r="U673" s="1430">
        <v>45944</v>
      </c>
      <c r="V673" s="1431" t="s">
        <v>310</v>
      </c>
      <c r="W673" s="1423">
        <v>150</v>
      </c>
      <c r="X673" s="1431" t="s">
        <v>32</v>
      </c>
      <c r="Y673" s="641" t="s">
        <v>228</v>
      </c>
      <c r="AA673" s="1423" t="s">
        <v>532</v>
      </c>
      <c r="AB673" s="1423" t="s">
        <v>16</v>
      </c>
      <c r="AC673" s="1433" t="s">
        <v>3438</v>
      </c>
    </row>
    <row r="674" spans="1:29" s="1339" customFormat="1" ht="15" customHeight="1">
      <c r="A674" s="1335" t="s">
        <v>25</v>
      </c>
      <c r="B674" s="1335" t="s">
        <v>25</v>
      </c>
      <c r="C674" s="248" t="s">
        <v>3389</v>
      </c>
      <c r="D674" s="248" t="s">
        <v>3390</v>
      </c>
      <c r="E674" s="248" t="s">
        <v>3391</v>
      </c>
      <c r="F674" s="248">
        <v>141134714</v>
      </c>
      <c r="G674" s="248">
        <v>595755257</v>
      </c>
      <c r="H674" s="855">
        <v>5.8250400000000004</v>
      </c>
      <c r="I674" s="855">
        <v>-5.3644499999999997</v>
      </c>
      <c r="J674" s="248" t="s">
        <v>2612</v>
      </c>
      <c r="K674" s="855" t="s">
        <v>198</v>
      </c>
      <c r="L674" s="855" t="s">
        <v>3435</v>
      </c>
      <c r="M674" s="490" t="s">
        <v>3453</v>
      </c>
      <c r="N674" s="490">
        <v>2150038706</v>
      </c>
      <c r="O674" s="1275">
        <v>45940</v>
      </c>
      <c r="P674" s="1336">
        <f t="shared" ca="1" si="22"/>
        <v>128</v>
      </c>
      <c r="Q674" s="1275">
        <v>45941</v>
      </c>
      <c r="R674" s="1337" t="s">
        <v>2641</v>
      </c>
      <c r="S674" s="855"/>
      <c r="T674" s="855">
        <v>0</v>
      </c>
      <c r="U674" s="1338">
        <v>45944</v>
      </c>
      <c r="V674" s="1267" t="s">
        <v>310</v>
      </c>
      <c r="W674" s="855">
        <v>100</v>
      </c>
      <c r="X674" s="1267" t="s">
        <v>32</v>
      </c>
      <c r="Y674" s="855" t="s">
        <v>245</v>
      </c>
      <c r="Z674" s="1017"/>
      <c r="AA674" s="1017" t="s">
        <v>532</v>
      </c>
      <c r="AB674" s="1017" t="s">
        <v>16</v>
      </c>
      <c r="AC674" s="798" t="s">
        <v>3470</v>
      </c>
    </row>
    <row r="675" spans="1:29" s="1339" customFormat="1" ht="15" customHeight="1">
      <c r="A675" s="1335" t="s">
        <v>25</v>
      </c>
      <c r="B675" s="1335" t="s">
        <v>25</v>
      </c>
      <c r="C675" s="248" t="s">
        <v>3424</v>
      </c>
      <c r="D675" s="248" t="s">
        <v>3425</v>
      </c>
      <c r="E675" s="248" t="s">
        <v>3426</v>
      </c>
      <c r="F675" s="248">
        <v>101590999</v>
      </c>
      <c r="G675" s="248">
        <v>708498188</v>
      </c>
      <c r="H675" s="855">
        <v>5.8239700000000001</v>
      </c>
      <c r="I675" s="855">
        <v>-5.3662799999999997</v>
      </c>
      <c r="J675" s="248" t="s">
        <v>2612</v>
      </c>
      <c r="K675" s="855" t="s">
        <v>198</v>
      </c>
      <c r="L675" s="855" t="s">
        <v>3433</v>
      </c>
      <c r="M675" s="490" t="s">
        <v>3454</v>
      </c>
      <c r="N675" s="490">
        <v>2150038705</v>
      </c>
      <c r="O675" s="1275">
        <v>45940</v>
      </c>
      <c r="P675" s="1336">
        <f t="shared" ca="1" si="22"/>
        <v>128</v>
      </c>
      <c r="Q675" s="1275">
        <v>45941</v>
      </c>
      <c r="R675" s="1337" t="s">
        <v>2641</v>
      </c>
      <c r="S675" s="855"/>
      <c r="T675" s="855">
        <v>0</v>
      </c>
      <c r="U675" s="1338">
        <v>45944</v>
      </c>
      <c r="V675" s="1267" t="s">
        <v>310</v>
      </c>
      <c r="W675" s="855">
        <v>200</v>
      </c>
      <c r="X675" s="1267" t="s">
        <v>32</v>
      </c>
      <c r="Y675" s="855" t="s">
        <v>193</v>
      </c>
      <c r="Z675" s="1017"/>
      <c r="AA675" s="1017" t="s">
        <v>532</v>
      </c>
      <c r="AB675" s="1017" t="s">
        <v>16</v>
      </c>
      <c r="AC675" s="798" t="s">
        <v>3457</v>
      </c>
    </row>
    <row r="676" spans="1:29" s="796" customFormat="1" ht="15" hidden="1" customHeight="1">
      <c r="A676" s="1750" t="s">
        <v>25</v>
      </c>
      <c r="B676" s="1750" t="s">
        <v>25</v>
      </c>
      <c r="C676" s="1751" t="s">
        <v>3406</v>
      </c>
      <c r="D676" s="1751" t="s">
        <v>3407</v>
      </c>
      <c r="E676" s="1751" t="s">
        <v>3205</v>
      </c>
      <c r="F676" s="1751">
        <v>749474425</v>
      </c>
      <c r="G676" s="1751">
        <v>797043226</v>
      </c>
      <c r="H676" s="1752">
        <v>5.8388600000000004</v>
      </c>
      <c r="I676" s="1752">
        <v>-5.3695300000000001</v>
      </c>
      <c r="J676" s="1751" t="s">
        <v>36</v>
      </c>
      <c r="K676" s="1752" t="s">
        <v>203</v>
      </c>
      <c r="L676" s="1752" t="s">
        <v>3455</v>
      </c>
      <c r="M676" s="1752" t="s">
        <v>3463</v>
      </c>
      <c r="N676" s="1752">
        <v>2150038698</v>
      </c>
      <c r="O676" s="1753">
        <v>45938</v>
      </c>
      <c r="P676" s="1754">
        <f t="shared" ca="1" si="22"/>
        <v>128</v>
      </c>
      <c r="Q676" s="1753">
        <v>45941</v>
      </c>
      <c r="R676" s="1755" t="s">
        <v>2641</v>
      </c>
      <c r="S676" s="1752"/>
      <c r="T676" s="1752">
        <v>0</v>
      </c>
      <c r="U676" s="1756">
        <v>45944</v>
      </c>
      <c r="V676" s="1757" t="s">
        <v>310</v>
      </c>
      <c r="W676" s="1752">
        <v>250</v>
      </c>
      <c r="X676" s="1757" t="s">
        <v>32</v>
      </c>
      <c r="Y676" s="796" t="s">
        <v>193</v>
      </c>
      <c r="AA676" s="1752" t="s">
        <v>532</v>
      </c>
      <c r="AB676" s="1752" t="s">
        <v>16</v>
      </c>
      <c r="AC676" s="1758" t="s">
        <v>3461</v>
      </c>
    </row>
    <row r="677" spans="1:29" s="624" customFormat="1" ht="15" customHeight="1">
      <c r="A677" s="1335" t="s">
        <v>25</v>
      </c>
      <c r="B677" s="1335" t="s">
        <v>25</v>
      </c>
      <c r="C677" s="248" t="s">
        <v>3395</v>
      </c>
      <c r="D677" s="248" t="s">
        <v>3396</v>
      </c>
      <c r="E677" s="248" t="s">
        <v>3397</v>
      </c>
      <c r="F677" s="248">
        <v>141968679</v>
      </c>
      <c r="G677" s="248">
        <v>708086139</v>
      </c>
      <c r="H677" s="855">
        <v>5.8257700000000003</v>
      </c>
      <c r="I677" s="855">
        <v>-5.3642799999999999</v>
      </c>
      <c r="J677" s="248" t="s">
        <v>2612</v>
      </c>
      <c r="K677" s="855" t="s">
        <v>198</v>
      </c>
      <c r="L677" s="855" t="s">
        <v>3437</v>
      </c>
      <c r="M677" s="855" t="s">
        <v>3462</v>
      </c>
      <c r="N677" s="855">
        <v>2150038704</v>
      </c>
      <c r="O677" s="1275">
        <v>45940</v>
      </c>
      <c r="P677" s="1336">
        <f t="shared" ca="1" si="22"/>
        <v>128</v>
      </c>
      <c r="Q677" s="1275">
        <v>45941</v>
      </c>
      <c r="R677" s="1337" t="s">
        <v>2641</v>
      </c>
      <c r="S677" s="855"/>
      <c r="T677" s="855">
        <v>1</v>
      </c>
      <c r="U677" s="1338">
        <v>45944</v>
      </c>
      <c r="V677" s="1267" t="s">
        <v>310</v>
      </c>
      <c r="W677" s="855">
        <v>250</v>
      </c>
      <c r="X677" s="1267" t="s">
        <v>32</v>
      </c>
      <c r="Y677" s="855" t="s">
        <v>193</v>
      </c>
      <c r="Z677" s="168"/>
      <c r="AA677" s="168" t="s">
        <v>532</v>
      </c>
      <c r="AB677" s="174" t="s">
        <v>16</v>
      </c>
      <c r="AC677" s="219" t="s">
        <v>3518</v>
      </c>
    </row>
    <row r="678" spans="1:29" s="1339" customFormat="1" ht="15" customHeight="1">
      <c r="A678" s="1340" t="s">
        <v>25</v>
      </c>
      <c r="B678" s="1340" t="s">
        <v>25</v>
      </c>
      <c r="C678" s="1016" t="s">
        <v>3421</v>
      </c>
      <c r="D678" s="1016" t="s">
        <v>3422</v>
      </c>
      <c r="E678" s="1016" t="s">
        <v>3423</v>
      </c>
      <c r="F678" s="1016">
        <v>160643981</v>
      </c>
      <c r="G678" s="1016">
        <v>545256921</v>
      </c>
      <c r="H678" s="1017">
        <v>5.8213100000000004</v>
      </c>
      <c r="I678" s="1017">
        <v>-5.3666400000000003</v>
      </c>
      <c r="J678" s="1016" t="s">
        <v>2612</v>
      </c>
      <c r="K678" s="1017" t="s">
        <v>198</v>
      </c>
      <c r="L678" s="1017" t="s">
        <v>3469</v>
      </c>
      <c r="M678" s="1017" t="s">
        <v>3491</v>
      </c>
      <c r="N678" s="1017">
        <v>215003869</v>
      </c>
      <c r="O678" s="795">
        <v>45939</v>
      </c>
      <c r="P678" s="1341">
        <f t="shared" ca="1" si="22"/>
        <v>128</v>
      </c>
      <c r="Q678" s="795">
        <v>45941</v>
      </c>
      <c r="R678" s="1342" t="s">
        <v>2641</v>
      </c>
      <c r="S678" s="1017"/>
      <c r="T678" s="1017">
        <v>0</v>
      </c>
      <c r="U678" s="1343">
        <v>45945</v>
      </c>
      <c r="V678" s="971" t="s">
        <v>310</v>
      </c>
      <c r="W678" s="1017">
        <v>200</v>
      </c>
      <c r="X678" s="971" t="s">
        <v>32</v>
      </c>
      <c r="Y678" s="1017" t="s">
        <v>193</v>
      </c>
      <c r="Z678" s="168"/>
      <c r="AA678" s="168" t="s">
        <v>532</v>
      </c>
      <c r="AB678" s="168" t="s">
        <v>16</v>
      </c>
      <c r="AC678" s="219" t="s">
        <v>3490</v>
      </c>
    </row>
    <row r="679" spans="1:29" s="796" customFormat="1" ht="15" hidden="1" customHeight="1">
      <c r="A679" s="1759" t="s">
        <v>25</v>
      </c>
      <c r="B679" s="1759" t="s">
        <v>25</v>
      </c>
      <c r="C679" s="1760" t="s">
        <v>3427</v>
      </c>
      <c r="D679" s="1760" t="s">
        <v>3428</v>
      </c>
      <c r="E679" s="1760" t="s">
        <v>3429</v>
      </c>
      <c r="F679" s="1760">
        <v>152692192</v>
      </c>
      <c r="G679" s="1760">
        <v>556770771</v>
      </c>
      <c r="H679" s="1761">
        <v>5.8439800000000002</v>
      </c>
      <c r="I679" s="1761">
        <v>-5.36381</v>
      </c>
      <c r="J679" s="1760" t="s">
        <v>36</v>
      </c>
      <c r="K679" s="1761" t="s">
        <v>190</v>
      </c>
      <c r="L679" s="1761" t="s">
        <v>545</v>
      </c>
      <c r="M679" s="1761" t="s">
        <v>3492</v>
      </c>
      <c r="N679" s="1761">
        <v>2150038708</v>
      </c>
      <c r="O679" s="1762">
        <v>45940</v>
      </c>
      <c r="P679" s="1763">
        <f t="shared" ca="1" si="22"/>
        <v>128</v>
      </c>
      <c r="Q679" s="1762">
        <v>45941</v>
      </c>
      <c r="R679" s="1764" t="s">
        <v>2641</v>
      </c>
      <c r="S679" s="1761"/>
      <c r="T679" s="1761">
        <v>0</v>
      </c>
      <c r="U679" s="1765">
        <v>45945</v>
      </c>
      <c r="V679" s="1766" t="s">
        <v>310</v>
      </c>
      <c r="W679" s="1761">
        <v>250</v>
      </c>
      <c r="X679" s="1766" t="s">
        <v>32</v>
      </c>
      <c r="Y679" s="796" t="s">
        <v>193</v>
      </c>
      <c r="Z679" s="663"/>
      <c r="AA679" s="1675" t="s">
        <v>532</v>
      </c>
      <c r="AB679" s="1675" t="s">
        <v>16</v>
      </c>
      <c r="AC679" s="1767" t="s">
        <v>3472</v>
      </c>
    </row>
    <row r="680" spans="1:29" s="796" customFormat="1" ht="15" hidden="1" customHeight="1">
      <c r="A680" s="1434" t="s">
        <v>25</v>
      </c>
      <c r="B680" s="1434" t="s">
        <v>25</v>
      </c>
      <c r="C680" s="1435" t="s">
        <v>3415</v>
      </c>
      <c r="D680" s="1435" t="s">
        <v>3416</v>
      </c>
      <c r="E680" s="1435" t="s">
        <v>1591</v>
      </c>
      <c r="F680" s="1435">
        <v>787664141</v>
      </c>
      <c r="G680" s="1435">
        <v>787664141</v>
      </c>
      <c r="H680" s="1436">
        <v>5.8499400000000001</v>
      </c>
      <c r="I680" s="1436">
        <v>-5.3491900000000001</v>
      </c>
      <c r="J680" s="1435" t="s">
        <v>189</v>
      </c>
      <c r="K680" s="1436" t="s">
        <v>198</v>
      </c>
      <c r="L680" s="1436" t="s">
        <v>1962</v>
      </c>
      <c r="M680" s="1436" t="s">
        <v>3493</v>
      </c>
      <c r="N680" s="1436">
        <v>2150038696</v>
      </c>
      <c r="O680" s="1437">
        <v>45939</v>
      </c>
      <c r="P680" s="1438">
        <f t="shared" ca="1" si="22"/>
        <v>128</v>
      </c>
      <c r="Q680" s="1437">
        <v>45941</v>
      </c>
      <c r="R680" s="1439" t="s">
        <v>2641</v>
      </c>
      <c r="S680" s="1436"/>
      <c r="T680" s="1436">
        <v>0</v>
      </c>
      <c r="U680" s="1440">
        <v>45945</v>
      </c>
      <c r="V680" s="1441" t="s">
        <v>310</v>
      </c>
      <c r="W680" s="1436">
        <v>100</v>
      </c>
      <c r="X680" s="1441" t="s">
        <v>32</v>
      </c>
      <c r="Y680" s="796" t="s">
        <v>533</v>
      </c>
      <c r="Z680" s="643"/>
      <c r="AA680" s="683" t="s">
        <v>532</v>
      </c>
      <c r="AB680" s="683" t="s">
        <v>16</v>
      </c>
      <c r="AC680" s="810" t="s">
        <v>3464</v>
      </c>
    </row>
    <row r="681" spans="1:29" s="624" customFormat="1" ht="15" customHeight="1">
      <c r="A681" s="1313" t="s">
        <v>25</v>
      </c>
      <c r="B681" s="1313" t="s">
        <v>25</v>
      </c>
      <c r="C681" s="983" t="s">
        <v>2990</v>
      </c>
      <c r="D681" s="983" t="s">
        <v>2991</v>
      </c>
      <c r="E681" s="983" t="s">
        <v>2992</v>
      </c>
      <c r="F681" s="983">
        <v>172935265</v>
      </c>
      <c r="G681" s="983">
        <v>709250276</v>
      </c>
      <c r="H681" s="168">
        <v>5.8348699999999996</v>
      </c>
      <c r="I681" s="168">
        <v>-5.3561699999999997</v>
      </c>
      <c r="J681" s="983" t="s">
        <v>2612</v>
      </c>
      <c r="K681" s="168" t="s">
        <v>274</v>
      </c>
      <c r="L681" s="168" t="s">
        <v>2613</v>
      </c>
      <c r="M681" s="168" t="s">
        <v>3517</v>
      </c>
      <c r="N681" s="168">
        <v>2150038722</v>
      </c>
      <c r="O681" s="1344">
        <v>45909</v>
      </c>
      <c r="P681" s="171">
        <f t="shared" ca="1" si="22"/>
        <v>159</v>
      </c>
      <c r="Q681" s="1344">
        <v>45910</v>
      </c>
      <c r="R681" s="300" t="s">
        <v>273</v>
      </c>
      <c r="S681" s="300"/>
      <c r="T681" s="300"/>
      <c r="U681" s="758">
        <v>45946</v>
      </c>
      <c r="V681" s="662" t="s">
        <v>310</v>
      </c>
      <c r="W681" s="300">
        <v>200</v>
      </c>
      <c r="X681" s="662" t="s">
        <v>32</v>
      </c>
      <c r="Y681" s="168" t="s">
        <v>696</v>
      </c>
      <c r="Z681" s="1"/>
      <c r="AA681" s="1" t="s">
        <v>532</v>
      </c>
      <c r="AB681" s="1" t="s">
        <v>16</v>
      </c>
      <c r="AC681" s="1345" t="s">
        <v>3486</v>
      </c>
    </row>
    <row r="682" spans="1:29" s="1346" customFormat="1" ht="13.8" customHeight="1">
      <c r="A682" s="1313" t="s">
        <v>25</v>
      </c>
      <c r="B682" s="1313" t="s">
        <v>25</v>
      </c>
      <c r="C682" s="166" t="s">
        <v>3324</v>
      </c>
      <c r="D682" s="166" t="s">
        <v>3325</v>
      </c>
      <c r="E682" s="166" t="s">
        <v>3326</v>
      </c>
      <c r="F682" s="166">
        <v>150777560</v>
      </c>
      <c r="G682" s="166">
        <v>556452808</v>
      </c>
      <c r="H682" s="168">
        <v>5.8127800000000001</v>
      </c>
      <c r="I682" s="168">
        <v>-5.3653300000000002</v>
      </c>
      <c r="J682" s="166" t="s">
        <v>2612</v>
      </c>
      <c r="K682" s="168" t="s">
        <v>203</v>
      </c>
      <c r="L682" s="168" t="s">
        <v>3489</v>
      </c>
      <c r="M682" s="168" t="s">
        <v>3516</v>
      </c>
      <c r="N682" s="168">
        <v>2150038703</v>
      </c>
      <c r="O682" s="170">
        <v>45934</v>
      </c>
      <c r="P682" s="171">
        <f t="shared" ca="1" si="22"/>
        <v>133</v>
      </c>
      <c r="Q682" s="170">
        <v>45936</v>
      </c>
      <c r="R682" s="300" t="s">
        <v>2641</v>
      </c>
      <c r="S682" s="168"/>
      <c r="T682" s="168">
        <v>0</v>
      </c>
      <c r="U682" s="758">
        <v>45946</v>
      </c>
      <c r="V682" s="662" t="s">
        <v>310</v>
      </c>
      <c r="W682" s="168">
        <v>150</v>
      </c>
      <c r="X682" s="662" t="s">
        <v>32</v>
      </c>
      <c r="Y682" s="168" t="s">
        <v>696</v>
      </c>
      <c r="Z682" s="94"/>
      <c r="AA682" s="1" t="s">
        <v>532</v>
      </c>
      <c r="AB682" s="1" t="s">
        <v>16</v>
      </c>
      <c r="AC682" s="1345" t="s">
        <v>3521</v>
      </c>
    </row>
    <row r="683" spans="1:29" s="1346" customFormat="1" ht="13.8" customHeight="1">
      <c r="A683" s="1313" t="s">
        <v>25</v>
      </c>
      <c r="B683" s="1313" t="s">
        <v>25</v>
      </c>
      <c r="C683" s="166" t="s">
        <v>3392</v>
      </c>
      <c r="D683" s="166" t="s">
        <v>3393</v>
      </c>
      <c r="E683" s="166" t="s">
        <v>3394</v>
      </c>
      <c r="F683" s="166">
        <v>150190199</v>
      </c>
      <c r="G683" s="166">
        <v>708564620</v>
      </c>
      <c r="H683" s="168">
        <v>5.8273299999999999</v>
      </c>
      <c r="I683" s="168">
        <v>-5.3634300000000001</v>
      </c>
      <c r="J683" s="166" t="s">
        <v>2612</v>
      </c>
      <c r="K683" s="168" t="s">
        <v>274</v>
      </c>
      <c r="L683" s="168" t="s">
        <v>3471</v>
      </c>
      <c r="M683" s="168" t="s">
        <v>3515</v>
      </c>
      <c r="N683" s="168">
        <v>2150038711</v>
      </c>
      <c r="O683" s="170">
        <v>45940</v>
      </c>
      <c r="P683" s="171">
        <f t="shared" ca="1" si="22"/>
        <v>128</v>
      </c>
      <c r="Q683" s="170">
        <v>45941</v>
      </c>
      <c r="R683" s="300" t="s">
        <v>2641</v>
      </c>
      <c r="S683" s="168"/>
      <c r="T683" s="168">
        <v>0</v>
      </c>
      <c r="U683" s="758">
        <v>45946</v>
      </c>
      <c r="V683" s="662" t="s">
        <v>310</v>
      </c>
      <c r="W683" s="168">
        <v>200</v>
      </c>
      <c r="X683" s="662" t="s">
        <v>32</v>
      </c>
      <c r="Y683" s="168" t="s">
        <v>696</v>
      </c>
      <c r="Z683" s="94"/>
      <c r="AA683" s="1" t="s">
        <v>532</v>
      </c>
      <c r="AB683" s="1" t="s">
        <v>16</v>
      </c>
      <c r="AC683" s="1" t="s">
        <v>3369</v>
      </c>
    </row>
    <row r="684" spans="1:29" s="796" customFormat="1" ht="15" hidden="1" customHeight="1">
      <c r="A684" s="1768" t="s">
        <v>25</v>
      </c>
      <c r="B684" s="1768" t="s">
        <v>25</v>
      </c>
      <c r="C684" s="1769" t="s">
        <v>3348</v>
      </c>
      <c r="D684" s="1769" t="s">
        <v>3349</v>
      </c>
      <c r="E684" s="1769" t="s">
        <v>3350</v>
      </c>
      <c r="F684" s="1769">
        <v>707169057</v>
      </c>
      <c r="G684" s="1769">
        <v>504622357</v>
      </c>
      <c r="H684" s="1770">
        <v>5.83786</v>
      </c>
      <c r="I684" s="1770">
        <v>-5.3617999999999997</v>
      </c>
      <c r="J684" s="1769" t="s">
        <v>36</v>
      </c>
      <c r="K684" s="1770" t="s">
        <v>203</v>
      </c>
      <c r="L684" s="1770" t="s">
        <v>3368</v>
      </c>
      <c r="M684" s="1144" t="s">
        <v>3452</v>
      </c>
      <c r="N684" s="1144">
        <v>2150038707</v>
      </c>
      <c r="O684" s="1771">
        <v>45936</v>
      </c>
      <c r="P684" s="1772">
        <f t="shared" ca="1" si="22"/>
        <v>132</v>
      </c>
      <c r="Q684" s="1771">
        <v>45937</v>
      </c>
      <c r="R684" s="1773" t="s">
        <v>2641</v>
      </c>
      <c r="S684" s="1770"/>
      <c r="T684" s="1770">
        <v>2</v>
      </c>
      <c r="U684" s="1774">
        <v>45947</v>
      </c>
      <c r="V684" s="1775" t="s">
        <v>310</v>
      </c>
      <c r="W684" s="1770">
        <v>300</v>
      </c>
      <c r="X684" s="1775" t="s">
        <v>32</v>
      </c>
      <c r="Y684" s="803" t="s">
        <v>696</v>
      </c>
      <c r="Z684" s="643"/>
      <c r="AA684" s="1770" t="s">
        <v>532</v>
      </c>
      <c r="AB684" s="1770" t="s">
        <v>16</v>
      </c>
      <c r="AC684" s="1776" t="s">
        <v>3465</v>
      </c>
    </row>
    <row r="685" spans="1:29" s="796" customFormat="1" ht="15" hidden="1" customHeight="1">
      <c r="A685" s="672" t="s">
        <v>25</v>
      </c>
      <c r="B685" s="672" t="s">
        <v>25</v>
      </c>
      <c r="C685" s="486" t="s">
        <v>3382</v>
      </c>
      <c r="D685" s="651" t="s">
        <v>3383</v>
      </c>
      <c r="E685" s="651" t="s">
        <v>1701</v>
      </c>
      <c r="F685" s="651">
        <v>153080255</v>
      </c>
      <c r="G685" s="651">
        <v>505428423</v>
      </c>
      <c r="H685" s="410">
        <v>5.8341399999999997</v>
      </c>
      <c r="I685" s="410">
        <v>-5.3589599999999997</v>
      </c>
      <c r="J685" s="651" t="s">
        <v>36</v>
      </c>
      <c r="K685" s="410" t="s">
        <v>198</v>
      </c>
      <c r="L685" s="410" t="s">
        <v>278</v>
      </c>
      <c r="M685" s="410" t="s">
        <v>3520</v>
      </c>
      <c r="N685" s="410">
        <v>2150038700</v>
      </c>
      <c r="O685" s="11">
        <v>45939</v>
      </c>
      <c r="P685" s="502">
        <f t="shared" ca="1" si="22"/>
        <v>129</v>
      </c>
      <c r="Q685" s="11">
        <v>45940</v>
      </c>
      <c r="R685" s="503" t="s">
        <v>2641</v>
      </c>
      <c r="S685" s="410"/>
      <c r="T685" s="410">
        <v>1</v>
      </c>
      <c r="U685" s="504">
        <v>45947</v>
      </c>
      <c r="V685" s="801" t="s">
        <v>310</v>
      </c>
      <c r="W685" s="410">
        <v>200</v>
      </c>
      <c r="X685" s="801" t="s">
        <v>32</v>
      </c>
      <c r="Y685" s="643" t="s">
        <v>578</v>
      </c>
      <c r="Z685" s="643"/>
      <c r="AA685" s="410" t="s">
        <v>532</v>
      </c>
      <c r="AB685" s="410" t="s">
        <v>16</v>
      </c>
      <c r="AC685" s="802" t="s">
        <v>3459</v>
      </c>
    </row>
    <row r="686" spans="1:29" s="641" customFormat="1" ht="15" hidden="1" customHeight="1">
      <c r="A686" s="804" t="s">
        <v>25</v>
      </c>
      <c r="B686" s="804" t="s">
        <v>25</v>
      </c>
      <c r="C686" s="1107" t="s">
        <v>3408</v>
      </c>
      <c r="D686" s="805" t="s">
        <v>3409</v>
      </c>
      <c r="E686" s="805" t="s">
        <v>1701</v>
      </c>
      <c r="F686" s="805">
        <v>102012182</v>
      </c>
      <c r="G686" s="805">
        <v>797544188</v>
      </c>
      <c r="H686" s="683">
        <v>5.8337500000000002</v>
      </c>
      <c r="I686" s="683">
        <v>-5.3605</v>
      </c>
      <c r="J686" s="805" t="s">
        <v>36</v>
      </c>
      <c r="K686" s="683" t="s">
        <v>198</v>
      </c>
      <c r="L686" s="683" t="s">
        <v>1978</v>
      </c>
      <c r="M686" s="683" t="s">
        <v>3559</v>
      </c>
      <c r="N686" s="683">
        <v>2150038702</v>
      </c>
      <c r="O686" s="1184">
        <v>45938</v>
      </c>
      <c r="P686" s="806">
        <f t="shared" ca="1" si="22"/>
        <v>128</v>
      </c>
      <c r="Q686" s="1184">
        <v>45941</v>
      </c>
      <c r="R686" s="807" t="s">
        <v>2641</v>
      </c>
      <c r="S686" s="683"/>
      <c r="T686" s="683">
        <v>0</v>
      </c>
      <c r="U686" s="808">
        <v>45947</v>
      </c>
      <c r="V686" s="809" t="s">
        <v>310</v>
      </c>
      <c r="W686" s="683">
        <v>150</v>
      </c>
      <c r="X686" s="809" t="s">
        <v>32</v>
      </c>
      <c r="Y686" s="643" t="s">
        <v>245</v>
      </c>
      <c r="Z686" s="643"/>
      <c r="AA686" s="683" t="s">
        <v>532</v>
      </c>
      <c r="AB686" s="683" t="s">
        <v>16</v>
      </c>
      <c r="AC686" s="810" t="s">
        <v>3558</v>
      </c>
    </row>
    <row r="687" spans="1:29" ht="15" hidden="1" customHeight="1">
      <c r="A687" s="672" t="s">
        <v>25</v>
      </c>
      <c r="B687" s="672" t="s">
        <v>25</v>
      </c>
      <c r="C687" s="651" t="s">
        <v>3413</v>
      </c>
      <c r="D687" s="651" t="s">
        <v>3414</v>
      </c>
      <c r="E687" s="651" t="s">
        <v>3282</v>
      </c>
      <c r="F687" s="651">
        <v>506392055</v>
      </c>
      <c r="G687" s="651">
        <v>768850425</v>
      </c>
      <c r="H687" s="410">
        <v>5.8341700000000003</v>
      </c>
      <c r="I687" s="410">
        <v>-5.3624900000000002</v>
      </c>
      <c r="J687" s="651" t="s">
        <v>36</v>
      </c>
      <c r="K687" s="410" t="s">
        <v>198</v>
      </c>
      <c r="L687" s="410" t="s">
        <v>3458</v>
      </c>
      <c r="M687" s="410" t="s">
        <v>3560</v>
      </c>
      <c r="N687" s="410">
        <v>2150038732</v>
      </c>
      <c r="O687" s="11">
        <v>45939</v>
      </c>
      <c r="P687" s="502">
        <f t="shared" ca="1" si="22"/>
        <v>128</v>
      </c>
      <c r="Q687" s="11">
        <v>45941</v>
      </c>
      <c r="R687" s="503" t="s">
        <v>2641</v>
      </c>
      <c r="S687" s="410"/>
      <c r="T687" s="410">
        <v>1</v>
      </c>
      <c r="U687" s="504">
        <v>45947</v>
      </c>
      <c r="V687" s="801" t="s">
        <v>310</v>
      </c>
      <c r="W687" s="410">
        <v>250</v>
      </c>
      <c r="X687" s="801" t="s">
        <v>32</v>
      </c>
      <c r="Y687" s="410" t="s">
        <v>696</v>
      </c>
      <c r="Z687" s="585"/>
      <c r="AA687" s="587" t="s">
        <v>532</v>
      </c>
      <c r="AB687" s="587" t="s">
        <v>16</v>
      </c>
      <c r="AC687" s="792" t="s">
        <v>3526</v>
      </c>
    </row>
    <row r="688" spans="1:29" s="799" customFormat="1" ht="15" hidden="1" customHeight="1">
      <c r="A688" s="672" t="s">
        <v>25</v>
      </c>
      <c r="B688" s="672" t="s">
        <v>25</v>
      </c>
      <c r="C688" s="651" t="s">
        <v>3478</v>
      </c>
      <c r="D688" s="651" t="s">
        <v>3479</v>
      </c>
      <c r="E688" s="651" t="s">
        <v>3480</v>
      </c>
      <c r="F688" s="651">
        <v>708308539</v>
      </c>
      <c r="G688" s="651">
        <v>7088539</v>
      </c>
      <c r="H688" s="410">
        <v>5.8410099999999998</v>
      </c>
      <c r="I688" s="410">
        <v>-5.3578299999999999</v>
      </c>
      <c r="J688" s="651" t="s">
        <v>36</v>
      </c>
      <c r="K688" s="410" t="s">
        <v>203</v>
      </c>
      <c r="L688" s="410" t="s">
        <v>1132</v>
      </c>
      <c r="M688" s="410" t="s">
        <v>3519</v>
      </c>
      <c r="N688" s="410">
        <v>2150038701</v>
      </c>
      <c r="O688" s="673">
        <v>45944</v>
      </c>
      <c r="P688" s="502">
        <f t="shared" ca="1" si="22"/>
        <v>124</v>
      </c>
      <c r="Q688" s="673">
        <v>45945</v>
      </c>
      <c r="R688" s="503" t="s">
        <v>2641</v>
      </c>
      <c r="S688" s="410"/>
      <c r="T688" s="410">
        <v>2</v>
      </c>
      <c r="U688" s="504">
        <v>45947</v>
      </c>
      <c r="V688" s="801" t="s">
        <v>310</v>
      </c>
      <c r="W688" s="410">
        <v>250</v>
      </c>
      <c r="X688" s="801" t="s">
        <v>32</v>
      </c>
      <c r="Y688" s="410" t="s">
        <v>1521</v>
      </c>
      <c r="Z688" s="585"/>
      <c r="AA688" s="587" t="s">
        <v>532</v>
      </c>
      <c r="AB688" s="587" t="s">
        <v>16</v>
      </c>
      <c r="AC688" s="798" t="s">
        <v>3524</v>
      </c>
    </row>
    <row r="689" spans="1:29" s="799" customFormat="1" ht="15" hidden="1" customHeight="1">
      <c r="A689" s="672" t="s">
        <v>25</v>
      </c>
      <c r="B689" s="672" t="s">
        <v>25</v>
      </c>
      <c r="C689" s="651" t="s">
        <v>3494</v>
      </c>
      <c r="D689" s="651" t="s">
        <v>3495</v>
      </c>
      <c r="E689" s="651" t="s">
        <v>3496</v>
      </c>
      <c r="F689" s="651">
        <v>717463515</v>
      </c>
      <c r="G689" s="651">
        <v>717463515</v>
      </c>
      <c r="H689" s="410">
        <v>5.8410099999999998</v>
      </c>
      <c r="I689" s="410">
        <v>-5.3578299999999999</v>
      </c>
      <c r="J689" s="651" t="s">
        <v>36</v>
      </c>
      <c r="K689" s="410" t="s">
        <v>203</v>
      </c>
      <c r="L689" s="410" t="s">
        <v>2904</v>
      </c>
      <c r="M689" s="410" t="s">
        <v>3522</v>
      </c>
      <c r="N689" s="410">
        <v>2150038697</v>
      </c>
      <c r="O689" s="673">
        <v>45945</v>
      </c>
      <c r="P689" s="502">
        <f t="shared" ca="1" si="22"/>
        <v>124</v>
      </c>
      <c r="Q689" s="673">
        <v>45945</v>
      </c>
      <c r="R689" s="503" t="s">
        <v>2641</v>
      </c>
      <c r="S689" s="410"/>
      <c r="T689" s="410">
        <v>1</v>
      </c>
      <c r="U689" s="504">
        <v>45947</v>
      </c>
      <c r="V689" s="801" t="s">
        <v>310</v>
      </c>
      <c r="W689" s="410">
        <v>200</v>
      </c>
      <c r="X689" s="801" t="s">
        <v>32</v>
      </c>
      <c r="Y689" s="409" t="s">
        <v>697</v>
      </c>
      <c r="Z689" s="585"/>
      <c r="AA689" s="587" t="s">
        <v>532</v>
      </c>
      <c r="AB689" s="587" t="s">
        <v>16</v>
      </c>
      <c r="AC689" s="798" t="s">
        <v>3468</v>
      </c>
    </row>
    <row r="690" spans="1:29" s="799" customFormat="1" ht="15" hidden="1" customHeight="1">
      <c r="A690" s="804" t="s">
        <v>25</v>
      </c>
      <c r="B690" s="804" t="s">
        <v>25</v>
      </c>
      <c r="C690" s="805" t="s">
        <v>3509</v>
      </c>
      <c r="D690" s="805" t="s">
        <v>3510</v>
      </c>
      <c r="E690" s="805" t="s">
        <v>3511</v>
      </c>
      <c r="F690" s="805">
        <v>716598270</v>
      </c>
      <c r="G690" s="805">
        <v>757968656</v>
      </c>
      <c r="H690" s="683">
        <v>5.8384099999999997</v>
      </c>
      <c r="I690" s="683">
        <v>-5.3515300000000003</v>
      </c>
      <c r="J690" s="805" t="s">
        <v>189</v>
      </c>
      <c r="K690" s="683" t="s">
        <v>190</v>
      </c>
      <c r="L690" s="683" t="s">
        <v>583</v>
      </c>
      <c r="M690" s="683" t="s">
        <v>3561</v>
      </c>
      <c r="N690" s="683">
        <v>2150039216</v>
      </c>
      <c r="O690" s="1442">
        <v>45945</v>
      </c>
      <c r="P690" s="806">
        <f t="shared" ca="1" si="22"/>
        <v>123</v>
      </c>
      <c r="Q690" s="1442">
        <v>45946</v>
      </c>
      <c r="R690" s="807" t="s">
        <v>2641</v>
      </c>
      <c r="S690" s="683"/>
      <c r="T690" s="683">
        <v>0</v>
      </c>
      <c r="U690" s="808">
        <v>45947</v>
      </c>
      <c r="V690" s="809" t="s">
        <v>310</v>
      </c>
      <c r="W690" s="683">
        <v>200</v>
      </c>
      <c r="X690" s="809" t="s">
        <v>32</v>
      </c>
      <c r="Y690" s="683" t="s">
        <v>627</v>
      </c>
      <c r="Z690" s="1443"/>
      <c r="AA690" s="1444" t="s">
        <v>532</v>
      </c>
      <c r="AB690" s="1444" t="s">
        <v>16</v>
      </c>
      <c r="AC690" s="1445" t="s">
        <v>3529</v>
      </c>
    </row>
    <row r="691" spans="1:29" ht="15" customHeight="1">
      <c r="A691" s="183" t="s">
        <v>25</v>
      </c>
      <c r="B691" s="183" t="s">
        <v>25</v>
      </c>
      <c r="C691" s="183" t="s">
        <v>3249</v>
      </c>
      <c r="D691" s="183" t="s">
        <v>3250</v>
      </c>
      <c r="E691" s="183" t="s">
        <v>3251</v>
      </c>
      <c r="F691" s="183">
        <v>758468727</v>
      </c>
      <c r="G691" s="183">
        <v>505367761</v>
      </c>
      <c r="H691" s="587">
        <v>5.8276000000000003</v>
      </c>
      <c r="I691" s="587">
        <v>-5.3617999999999997</v>
      </c>
      <c r="J691" s="587" t="s">
        <v>2612</v>
      </c>
      <c r="K691" s="587" t="s">
        <v>274</v>
      </c>
      <c r="L691" s="587" t="s">
        <v>3530</v>
      </c>
      <c r="M691" s="491" t="s">
        <v>3564</v>
      </c>
      <c r="N691" s="491">
        <v>2150039215</v>
      </c>
      <c r="O691" s="184">
        <v>45929</v>
      </c>
      <c r="P691" s="587">
        <v>18</v>
      </c>
      <c r="Q691" s="184">
        <v>45930</v>
      </c>
      <c r="R691" s="491" t="s">
        <v>2641</v>
      </c>
      <c r="S691" s="491"/>
      <c r="T691" s="491">
        <v>0</v>
      </c>
      <c r="U691" s="800">
        <v>45948</v>
      </c>
      <c r="V691" s="491" t="s">
        <v>310</v>
      </c>
      <c r="W691" s="491">
        <v>200</v>
      </c>
      <c r="X691" s="491" t="s">
        <v>32</v>
      </c>
      <c r="Y691" s="491" t="s">
        <v>193</v>
      </c>
      <c r="Z691" s="491"/>
      <c r="AA691" s="587" t="s">
        <v>532</v>
      </c>
      <c r="AB691" s="491" t="s">
        <v>16</v>
      </c>
      <c r="AC691" s="792" t="s">
        <v>3531</v>
      </c>
    </row>
    <row r="692" spans="1:29" ht="15" customHeight="1">
      <c r="A692" s="183" t="s">
        <v>25</v>
      </c>
      <c r="B692" s="183" t="s">
        <v>25</v>
      </c>
      <c r="C692" s="183" t="s">
        <v>3292</v>
      </c>
      <c r="D692" s="183" t="s">
        <v>3293</v>
      </c>
      <c r="E692" s="183" t="s">
        <v>3294</v>
      </c>
      <c r="F692" s="183">
        <v>506017959</v>
      </c>
      <c r="G692" s="183">
        <v>709101665</v>
      </c>
      <c r="H692" s="183">
        <v>5.8270299999999997</v>
      </c>
      <c r="I692" s="587">
        <v>-5.3595600000000001</v>
      </c>
      <c r="J692" s="183" t="s">
        <v>2612</v>
      </c>
      <c r="K692" s="587" t="s">
        <v>274</v>
      </c>
      <c r="L692" s="587" t="s">
        <v>3530</v>
      </c>
      <c r="M692" s="491" t="s">
        <v>3563</v>
      </c>
      <c r="N692" s="491">
        <v>2150038713</v>
      </c>
      <c r="O692" s="184">
        <v>45929</v>
      </c>
      <c r="P692" s="587">
        <v>16</v>
      </c>
      <c r="Q692" s="184">
        <v>45932</v>
      </c>
      <c r="R692" s="491" t="s">
        <v>273</v>
      </c>
      <c r="S692" s="491"/>
      <c r="T692" s="491">
        <v>0</v>
      </c>
      <c r="U692" s="800">
        <v>45948</v>
      </c>
      <c r="V692" s="491" t="s">
        <v>310</v>
      </c>
      <c r="W692" s="491">
        <v>250</v>
      </c>
      <c r="X692" s="491" t="s">
        <v>32</v>
      </c>
      <c r="Y692" s="491" t="s">
        <v>228</v>
      </c>
      <c r="Z692" s="491"/>
      <c r="AA692" s="587" t="s">
        <v>532</v>
      </c>
      <c r="AB692" s="491" t="s">
        <v>16</v>
      </c>
      <c r="AC692" s="792" t="s">
        <v>3553</v>
      </c>
    </row>
    <row r="693" spans="1:29" ht="15" customHeight="1">
      <c r="A693" s="183" t="s">
        <v>25</v>
      </c>
      <c r="B693" s="183" t="s">
        <v>25</v>
      </c>
      <c r="C693" s="183" t="s">
        <v>3327</v>
      </c>
      <c r="D693" s="183" t="s">
        <v>3328</v>
      </c>
      <c r="E693" s="183" t="s">
        <v>3329</v>
      </c>
      <c r="F693" s="183">
        <v>555119505</v>
      </c>
      <c r="G693" s="183">
        <v>757804430</v>
      </c>
      <c r="H693" s="587">
        <v>5.8171999999999997</v>
      </c>
      <c r="I693" s="587">
        <v>-5.3621999999999996</v>
      </c>
      <c r="J693" s="183" t="s">
        <v>2612</v>
      </c>
      <c r="K693" s="587" t="s">
        <v>190</v>
      </c>
      <c r="L693" s="587" t="s">
        <v>3300</v>
      </c>
      <c r="M693" s="491" t="s">
        <v>3579</v>
      </c>
      <c r="N693" s="491">
        <v>2150039222</v>
      </c>
      <c r="O693" s="184">
        <v>45934</v>
      </c>
      <c r="P693" s="587">
        <v>12</v>
      </c>
      <c r="Q693" s="184">
        <v>45936</v>
      </c>
      <c r="R693" s="491" t="s">
        <v>2641</v>
      </c>
      <c r="S693" s="587"/>
      <c r="T693" s="587">
        <v>0</v>
      </c>
      <c r="U693" s="800">
        <v>45948</v>
      </c>
      <c r="V693" s="491" t="s">
        <v>310</v>
      </c>
      <c r="W693" s="587">
        <v>300</v>
      </c>
      <c r="X693" s="491" t="s">
        <v>32</v>
      </c>
      <c r="Y693" s="491" t="s">
        <v>228</v>
      </c>
      <c r="Z693" s="491"/>
      <c r="AA693" s="587" t="s">
        <v>532</v>
      </c>
      <c r="AB693" s="491" t="s">
        <v>16</v>
      </c>
      <c r="AC693" s="792" t="s">
        <v>3583</v>
      </c>
    </row>
    <row r="694" spans="1:29" ht="15" customHeight="1">
      <c r="A694" s="183" t="s">
        <v>25</v>
      </c>
      <c r="B694" s="183" t="s">
        <v>25</v>
      </c>
      <c r="C694" s="183" t="s">
        <v>3375</v>
      </c>
      <c r="D694" s="183" t="s">
        <v>3376</v>
      </c>
      <c r="E694" s="183" t="s">
        <v>3251</v>
      </c>
      <c r="F694" s="183">
        <v>788112108</v>
      </c>
      <c r="G694" s="183">
        <v>788112108</v>
      </c>
      <c r="H694" s="587">
        <v>5.8270299999999997</v>
      </c>
      <c r="I694" s="587">
        <v>-5.3596199999999996</v>
      </c>
      <c r="J694" s="183" t="s">
        <v>2612</v>
      </c>
      <c r="K694" s="587" t="s">
        <v>274</v>
      </c>
      <c r="L694" s="587" t="s">
        <v>3357</v>
      </c>
      <c r="M694" s="491" t="s">
        <v>3562</v>
      </c>
      <c r="N694" s="491">
        <v>2150038710</v>
      </c>
      <c r="O694" s="184">
        <v>45938</v>
      </c>
      <c r="P694" s="587">
        <v>9</v>
      </c>
      <c r="Q694" s="184">
        <v>45939</v>
      </c>
      <c r="R694" s="491" t="s">
        <v>2641</v>
      </c>
      <c r="S694" s="587"/>
      <c r="T694" s="587">
        <v>0</v>
      </c>
      <c r="U694" s="800">
        <v>45948</v>
      </c>
      <c r="V694" s="491" t="s">
        <v>310</v>
      </c>
      <c r="W694" s="587">
        <v>100</v>
      </c>
      <c r="X694" s="491" t="s">
        <v>32</v>
      </c>
      <c r="Y694" s="491" t="s">
        <v>3581</v>
      </c>
      <c r="Z694" s="491"/>
      <c r="AA694" s="587" t="s">
        <v>532</v>
      </c>
      <c r="AB694" s="587" t="s">
        <v>16</v>
      </c>
      <c r="AC694" s="792" t="s">
        <v>3595</v>
      </c>
    </row>
    <row r="695" spans="1:29" s="634" customFormat="1" ht="15" customHeight="1">
      <c r="A695" s="183" t="s">
        <v>25</v>
      </c>
      <c r="B695" s="183" t="s">
        <v>25</v>
      </c>
      <c r="C695" s="183" t="s">
        <v>3401</v>
      </c>
      <c r="D695" s="183" t="s">
        <v>3402</v>
      </c>
      <c r="E695" s="183" t="s">
        <v>3403</v>
      </c>
      <c r="F695" s="183">
        <v>708190147</v>
      </c>
      <c r="G695" s="183">
        <v>506690504</v>
      </c>
      <c r="H695" s="587">
        <v>5.8268000000000004</v>
      </c>
      <c r="I695" s="587">
        <v>-5.3656300000000003</v>
      </c>
      <c r="J695" s="183" t="s">
        <v>2612</v>
      </c>
      <c r="K695" s="587" t="s">
        <v>198</v>
      </c>
      <c r="L695" s="587" t="s">
        <v>3467</v>
      </c>
      <c r="M695" s="491" t="s">
        <v>3580</v>
      </c>
      <c r="N695" s="491">
        <v>2150039221</v>
      </c>
      <c r="O695" s="184">
        <v>45940</v>
      </c>
      <c r="P695" s="587">
        <v>7</v>
      </c>
      <c r="Q695" s="184">
        <v>45941</v>
      </c>
      <c r="R695" s="491" t="s">
        <v>2641</v>
      </c>
      <c r="S695" s="587"/>
      <c r="T695" s="587">
        <v>2</v>
      </c>
      <c r="U695" s="800">
        <v>45948</v>
      </c>
      <c r="V695" s="491" t="s">
        <v>310</v>
      </c>
      <c r="W695" s="587">
        <v>300</v>
      </c>
      <c r="X695" s="491" t="s">
        <v>32</v>
      </c>
      <c r="Y695" s="491" t="s">
        <v>193</v>
      </c>
      <c r="Z695" s="1"/>
      <c r="AA695" s="1" t="s">
        <v>532</v>
      </c>
      <c r="AB695" s="1" t="s">
        <v>16</v>
      </c>
      <c r="AC695" s="1345" t="s">
        <v>3555</v>
      </c>
    </row>
    <row r="696" spans="1:29" s="634" customFormat="1" ht="15" customHeight="1">
      <c r="A696" s="183" t="s">
        <v>25</v>
      </c>
      <c r="B696" s="183" t="s">
        <v>25</v>
      </c>
      <c r="C696" s="183" t="s">
        <v>3498</v>
      </c>
      <c r="D696" s="183" t="s">
        <v>3499</v>
      </c>
      <c r="E696" s="183" t="s">
        <v>3500</v>
      </c>
      <c r="F696" s="183">
        <v>708190147</v>
      </c>
      <c r="G696" s="183">
        <v>708190147</v>
      </c>
      <c r="H696" s="587">
        <v>5.8150300000000001</v>
      </c>
      <c r="I696" s="587">
        <v>-5.3632200000000001</v>
      </c>
      <c r="J696" s="183" t="s">
        <v>2612</v>
      </c>
      <c r="K696" s="587" t="s">
        <v>190</v>
      </c>
      <c r="L696" s="587" t="s">
        <v>3525</v>
      </c>
      <c r="M696" s="491" t="s">
        <v>3578</v>
      </c>
      <c r="N696" s="491">
        <v>2150039220</v>
      </c>
      <c r="O696" s="184">
        <v>45945</v>
      </c>
      <c r="P696" s="587">
        <v>2</v>
      </c>
      <c r="Q696" s="184">
        <v>45946</v>
      </c>
      <c r="R696" s="491" t="s">
        <v>2641</v>
      </c>
      <c r="S696" s="587"/>
      <c r="T696" s="587">
        <v>0</v>
      </c>
      <c r="U696" s="800">
        <v>45948</v>
      </c>
      <c r="V696" s="491" t="s">
        <v>310</v>
      </c>
      <c r="W696" s="587">
        <v>300</v>
      </c>
      <c r="X696" s="491" t="s">
        <v>32</v>
      </c>
      <c r="Y696" s="491" t="s">
        <v>193</v>
      </c>
      <c r="Z696" s="1"/>
      <c r="AA696" s="1" t="s">
        <v>532</v>
      </c>
      <c r="AB696" s="1" t="s">
        <v>16</v>
      </c>
      <c r="AC696" s="1345" t="s">
        <v>3528</v>
      </c>
    </row>
    <row r="697" spans="1:29" s="634" customFormat="1" ht="15" customHeight="1">
      <c r="A697" s="183" t="s">
        <v>25</v>
      </c>
      <c r="B697" s="183" t="s">
        <v>25</v>
      </c>
      <c r="C697" s="183" t="s">
        <v>3542</v>
      </c>
      <c r="D697" s="183" t="s">
        <v>3543</v>
      </c>
      <c r="E697" s="183" t="s">
        <v>3053</v>
      </c>
      <c r="F697" s="183">
        <v>101133471</v>
      </c>
      <c r="G697" s="183">
        <v>758132657</v>
      </c>
      <c r="H697" s="587">
        <v>5.8114100000000004</v>
      </c>
      <c r="I697" s="587">
        <v>-5.3666799999999997</v>
      </c>
      <c r="J697" s="183" t="s">
        <v>2612</v>
      </c>
      <c r="K697" s="587" t="s">
        <v>203</v>
      </c>
      <c r="L697" s="587" t="s">
        <v>3577</v>
      </c>
      <c r="M697" s="491" t="s">
        <v>3584</v>
      </c>
      <c r="N697" s="491">
        <v>2150039223</v>
      </c>
      <c r="O697" s="184">
        <v>45946</v>
      </c>
      <c r="P697" s="587">
        <v>1</v>
      </c>
      <c r="Q697" s="184">
        <v>45947</v>
      </c>
      <c r="R697" s="491" t="s">
        <v>2641</v>
      </c>
      <c r="S697" s="587"/>
      <c r="T697" s="587">
        <v>0</v>
      </c>
      <c r="U697" s="800">
        <v>45948</v>
      </c>
      <c r="V697" s="491" t="s">
        <v>310</v>
      </c>
      <c r="W697" s="587">
        <v>100</v>
      </c>
      <c r="X697" s="491" t="s">
        <v>32</v>
      </c>
      <c r="Y697" s="491" t="s">
        <v>193</v>
      </c>
      <c r="Z697" s="1"/>
      <c r="AA697" s="1" t="s">
        <v>532</v>
      </c>
      <c r="AB697" s="1" t="s">
        <v>16</v>
      </c>
      <c r="AC697" s="1345" t="s">
        <v>3488</v>
      </c>
    </row>
    <row r="698" spans="1:29" s="639" customFormat="1" ht="15" hidden="1" customHeight="1">
      <c r="A698" s="1777" t="s">
        <v>25</v>
      </c>
      <c r="B698" s="1777" t="s">
        <v>25</v>
      </c>
      <c r="C698" s="1778" t="s">
        <v>1696</v>
      </c>
      <c r="D698" s="1778" t="s">
        <v>1697</v>
      </c>
      <c r="E698" s="1778" t="s">
        <v>1698</v>
      </c>
      <c r="F698" s="1779">
        <v>102035676</v>
      </c>
      <c r="G698" s="1777">
        <v>707907199</v>
      </c>
      <c r="H698" s="1778">
        <v>5.8509390000000003</v>
      </c>
      <c r="I698" s="1780">
        <v>-5.3570840000000004</v>
      </c>
      <c r="J698" s="1778" t="s">
        <v>189</v>
      </c>
      <c r="K698" s="1780" t="s">
        <v>198</v>
      </c>
      <c r="L698" s="1780" t="s">
        <v>2218</v>
      </c>
      <c r="M698" s="1781" t="s">
        <v>3591</v>
      </c>
      <c r="N698" s="1781">
        <v>2150038709</v>
      </c>
      <c r="O698" s="1782">
        <v>45761</v>
      </c>
      <c r="P698" s="1783">
        <f t="shared" ref="P698:P705" ca="1" si="23">TODAY()-Q698</f>
        <v>307</v>
      </c>
      <c r="Q698" s="1782">
        <v>45762</v>
      </c>
      <c r="R698" s="1780" t="s">
        <v>273</v>
      </c>
      <c r="S698" s="1780"/>
      <c r="T698" s="1780">
        <v>1</v>
      </c>
      <c r="U698" s="1784">
        <v>45950</v>
      </c>
      <c r="V698" s="1780" t="s">
        <v>310</v>
      </c>
      <c r="W698" s="1780">
        <v>350</v>
      </c>
      <c r="X698" s="1777" t="s">
        <v>32</v>
      </c>
      <c r="Y698" s="643" t="s">
        <v>343</v>
      </c>
      <c r="Z698" s="643"/>
      <c r="AA698" s="1780" t="s">
        <v>532</v>
      </c>
      <c r="AB698" s="1780" t="s">
        <v>16</v>
      </c>
      <c r="AC698" s="1785" t="s">
        <v>3611</v>
      </c>
    </row>
    <row r="699" spans="1:29" s="634" customFormat="1" ht="15" customHeight="1">
      <c r="A699" s="885" t="s">
        <v>25</v>
      </c>
      <c r="B699" s="885" t="s">
        <v>25</v>
      </c>
      <c r="C699" s="10" t="s">
        <v>3373</v>
      </c>
      <c r="D699" s="10" t="s">
        <v>2736</v>
      </c>
      <c r="E699" s="10" t="s">
        <v>3374</v>
      </c>
      <c r="F699" s="10">
        <v>140440419</v>
      </c>
      <c r="G699" s="10">
        <v>545119668</v>
      </c>
      <c r="H699" s="1">
        <v>5.8290300000000004</v>
      </c>
      <c r="I699" s="1">
        <v>-5.3629800000000003</v>
      </c>
      <c r="J699" s="10" t="s">
        <v>2612</v>
      </c>
      <c r="K699" s="1" t="s">
        <v>274</v>
      </c>
      <c r="L699" s="1" t="s">
        <v>3554</v>
      </c>
      <c r="M699" s="4" t="s">
        <v>3592</v>
      </c>
      <c r="N699" s="4">
        <v>2150038918</v>
      </c>
      <c r="O699" s="11">
        <v>45938</v>
      </c>
      <c r="P699" s="6">
        <f t="shared" ca="1" si="23"/>
        <v>130</v>
      </c>
      <c r="Q699" s="11">
        <v>45939</v>
      </c>
      <c r="R699" s="93" t="s">
        <v>2641</v>
      </c>
      <c r="S699" s="1"/>
      <c r="T699" s="1">
        <v>0</v>
      </c>
      <c r="U699" s="95">
        <v>45950</v>
      </c>
      <c r="V699" s="729" t="s">
        <v>310</v>
      </c>
      <c r="W699" s="1">
        <v>250</v>
      </c>
      <c r="X699" s="729" t="s">
        <v>32</v>
      </c>
      <c r="Y699" s="1" t="s">
        <v>193</v>
      </c>
      <c r="Z699" s="1"/>
      <c r="AA699" s="1" t="s">
        <v>532</v>
      </c>
      <c r="AB699" s="1" t="s">
        <v>16</v>
      </c>
      <c r="AC699" s="1345" t="s">
        <v>3609</v>
      </c>
    </row>
    <row r="700" spans="1:29" s="634" customFormat="1" ht="15" customHeight="1">
      <c r="A700" s="885" t="s">
        <v>25</v>
      </c>
      <c r="B700" s="885" t="s">
        <v>25</v>
      </c>
      <c r="C700" s="10" t="s">
        <v>3430</v>
      </c>
      <c r="D700" s="10" t="s">
        <v>3431</v>
      </c>
      <c r="E700" s="10" t="s">
        <v>3400</v>
      </c>
      <c r="F700" s="10">
        <v>797767106</v>
      </c>
      <c r="G700" s="10">
        <v>797767106</v>
      </c>
      <c r="H700" s="1">
        <v>5.8310199999999996</v>
      </c>
      <c r="I700" s="1">
        <v>-5.3631900000000003</v>
      </c>
      <c r="J700" s="10" t="s">
        <v>2612</v>
      </c>
      <c r="K700" s="1" t="s">
        <v>274</v>
      </c>
      <c r="L700" s="1" t="s">
        <v>3610</v>
      </c>
      <c r="M700" s="1" t="s">
        <v>3619</v>
      </c>
      <c r="N700" s="1">
        <v>2150039217</v>
      </c>
      <c r="O700" s="11">
        <v>45938</v>
      </c>
      <c r="P700" s="6">
        <f t="shared" ca="1" si="23"/>
        <v>128</v>
      </c>
      <c r="Q700" s="11">
        <v>45941</v>
      </c>
      <c r="R700" s="93" t="s">
        <v>2641</v>
      </c>
      <c r="S700" s="1"/>
      <c r="T700" s="1">
        <v>0</v>
      </c>
      <c r="U700" s="95">
        <v>45950</v>
      </c>
      <c r="V700" s="729" t="s">
        <v>310</v>
      </c>
      <c r="W700" s="1">
        <v>100</v>
      </c>
      <c r="X700" s="729" t="s">
        <v>32</v>
      </c>
      <c r="Y700" s="1" t="s">
        <v>245</v>
      </c>
      <c r="Z700" s="1"/>
      <c r="AA700" s="1" t="s">
        <v>532</v>
      </c>
      <c r="AB700" s="1" t="s">
        <v>16</v>
      </c>
      <c r="AC700" s="1345" t="s">
        <v>3598</v>
      </c>
    </row>
    <row r="701" spans="1:29" s="634" customFormat="1" ht="15" customHeight="1">
      <c r="A701" s="885" t="s">
        <v>25</v>
      </c>
      <c r="B701" s="885" t="s">
        <v>25</v>
      </c>
      <c r="C701" s="10" t="s">
        <v>3474</v>
      </c>
      <c r="D701" s="10" t="s">
        <v>3475</v>
      </c>
      <c r="E701" s="10" t="s">
        <v>3326</v>
      </c>
      <c r="F701" s="10">
        <v>707655925</v>
      </c>
      <c r="G701" s="10">
        <v>779626896</v>
      </c>
      <c r="H701" s="1">
        <v>5.81304</v>
      </c>
      <c r="I701" s="1">
        <v>-5.3665399999999996</v>
      </c>
      <c r="J701" s="10" t="s">
        <v>2612</v>
      </c>
      <c r="K701" s="1" t="s">
        <v>203</v>
      </c>
      <c r="L701" s="1" t="s">
        <v>3487</v>
      </c>
      <c r="M701" s="4" t="s">
        <v>3589</v>
      </c>
      <c r="N701" s="4">
        <v>2150038922</v>
      </c>
      <c r="O701" s="11">
        <v>45934</v>
      </c>
      <c r="P701" s="6">
        <f t="shared" ca="1" si="23"/>
        <v>124</v>
      </c>
      <c r="Q701" s="11">
        <v>45945</v>
      </c>
      <c r="R701" s="93" t="s">
        <v>2641</v>
      </c>
      <c r="S701" s="1"/>
      <c r="T701" s="1">
        <v>2</v>
      </c>
      <c r="U701" s="95">
        <v>45950</v>
      </c>
      <c r="V701" s="729" t="s">
        <v>310</v>
      </c>
      <c r="W701" s="1">
        <v>250</v>
      </c>
      <c r="X701" s="729" t="s">
        <v>32</v>
      </c>
      <c r="Y701" s="1" t="s">
        <v>697</v>
      </c>
      <c r="Z701" s="1"/>
      <c r="AA701" s="1" t="s">
        <v>532</v>
      </c>
      <c r="AB701" s="1" t="s">
        <v>16</v>
      </c>
      <c r="AC701" s="1345" t="s">
        <v>3596</v>
      </c>
    </row>
    <row r="702" spans="1:29" s="634" customFormat="1" ht="15" customHeight="1">
      <c r="A702" s="885" t="s">
        <v>25</v>
      </c>
      <c r="B702" s="885" t="s">
        <v>25</v>
      </c>
      <c r="C702" s="10" t="s">
        <v>3497</v>
      </c>
      <c r="D702" s="10" t="s">
        <v>3211</v>
      </c>
      <c r="E702" s="10" t="s">
        <v>3166</v>
      </c>
      <c r="F702" s="10">
        <v>701201207</v>
      </c>
      <c r="G702" s="10">
        <v>701201207</v>
      </c>
      <c r="H702" s="1">
        <v>5.8160600000000002</v>
      </c>
      <c r="I702" s="1">
        <v>-5.3663699999999999</v>
      </c>
      <c r="J702" s="10" t="s">
        <v>2612</v>
      </c>
      <c r="K702" s="1" t="s">
        <v>190</v>
      </c>
      <c r="L702" s="1" t="s">
        <v>3527</v>
      </c>
      <c r="M702" s="4" t="s">
        <v>3594</v>
      </c>
      <c r="N702" s="4">
        <v>2150038919</v>
      </c>
      <c r="O702" s="11">
        <v>45936</v>
      </c>
      <c r="P702" s="6">
        <f t="shared" ca="1" si="23"/>
        <v>123</v>
      </c>
      <c r="Q702" s="11">
        <v>45946</v>
      </c>
      <c r="R702" s="93" t="s">
        <v>2641</v>
      </c>
      <c r="S702" s="1"/>
      <c r="T702" s="1">
        <v>0</v>
      </c>
      <c r="U702" s="95">
        <v>45950</v>
      </c>
      <c r="V702" s="729" t="s">
        <v>310</v>
      </c>
      <c r="W702" s="1">
        <v>150</v>
      </c>
      <c r="X702" s="729" t="s">
        <v>32</v>
      </c>
      <c r="Y702" s="1" t="s">
        <v>193</v>
      </c>
      <c r="Z702" s="1"/>
      <c r="AA702" s="1" t="s">
        <v>532</v>
      </c>
      <c r="AB702" s="94" t="s">
        <v>16</v>
      </c>
      <c r="AC702" s="1" t="s">
        <v>3590</v>
      </c>
    </row>
    <row r="703" spans="1:29" ht="15" customHeight="1">
      <c r="A703" s="885" t="s">
        <v>25</v>
      </c>
      <c r="B703" s="885" t="s">
        <v>25</v>
      </c>
      <c r="C703" s="10" t="s">
        <v>3501</v>
      </c>
      <c r="D703" s="10" t="s">
        <v>3502</v>
      </c>
      <c r="E703" s="10" t="s">
        <v>3503</v>
      </c>
      <c r="F703" s="10">
        <v>103400088</v>
      </c>
      <c r="G703" s="10">
        <v>103400088</v>
      </c>
      <c r="H703" s="1">
        <v>5.8277200000000002</v>
      </c>
      <c r="I703" s="1">
        <v>-5.3632200000000001</v>
      </c>
      <c r="J703" s="10" t="s">
        <v>2612</v>
      </c>
      <c r="K703" s="1" t="s">
        <v>274</v>
      </c>
      <c r="L703" s="1" t="s">
        <v>3471</v>
      </c>
      <c r="M703" s="1" t="s">
        <v>3620</v>
      </c>
      <c r="N703" s="1">
        <v>2150038915</v>
      </c>
      <c r="O703" s="11">
        <v>45945</v>
      </c>
      <c r="P703" s="6">
        <f t="shared" ca="1" si="23"/>
        <v>123</v>
      </c>
      <c r="Q703" s="11">
        <v>45946</v>
      </c>
      <c r="R703" s="93" t="s">
        <v>2641</v>
      </c>
      <c r="S703" s="1"/>
      <c r="T703" s="1">
        <v>0</v>
      </c>
      <c r="U703" s="95">
        <v>45950</v>
      </c>
      <c r="V703" s="729" t="s">
        <v>310</v>
      </c>
      <c r="W703" s="1">
        <v>250</v>
      </c>
      <c r="X703" s="729" t="s">
        <v>32</v>
      </c>
      <c r="Y703" s="1" t="s">
        <v>697</v>
      </c>
      <c r="Z703" s="840"/>
      <c r="AA703" s="842" t="s">
        <v>532</v>
      </c>
      <c r="AB703" s="842" t="s">
        <v>16</v>
      </c>
      <c r="AC703" s="842" t="s">
        <v>2276</v>
      </c>
    </row>
    <row r="704" spans="1:29" ht="15" customHeight="1">
      <c r="A704" s="885" t="s">
        <v>25</v>
      </c>
      <c r="B704" s="885" t="s">
        <v>25</v>
      </c>
      <c r="C704" s="10" t="s">
        <v>3506</v>
      </c>
      <c r="D704" s="10" t="s">
        <v>3507</v>
      </c>
      <c r="E704" s="10" t="s">
        <v>3508</v>
      </c>
      <c r="F704" s="10">
        <v>151222906</v>
      </c>
      <c r="G704" s="10">
        <v>787686397</v>
      </c>
      <c r="H704" s="1">
        <v>5.8218399999999999</v>
      </c>
      <c r="I704" s="1">
        <v>-5.3595100000000002</v>
      </c>
      <c r="J704" s="10" t="s">
        <v>2612</v>
      </c>
      <c r="K704" s="1" t="s">
        <v>198</v>
      </c>
      <c r="L704" s="1" t="s">
        <v>3597</v>
      </c>
      <c r="M704" s="4" t="s">
        <v>3592</v>
      </c>
      <c r="N704" s="4">
        <v>2150038918</v>
      </c>
      <c r="O704" s="11">
        <v>45945</v>
      </c>
      <c r="P704" s="6">
        <f t="shared" ca="1" si="23"/>
        <v>123</v>
      </c>
      <c r="Q704" s="11">
        <v>45946</v>
      </c>
      <c r="R704" s="93" t="s">
        <v>2641</v>
      </c>
      <c r="S704" s="1"/>
      <c r="T704" s="1">
        <v>0</v>
      </c>
      <c r="U704" s="95">
        <v>45950</v>
      </c>
      <c r="V704" s="729" t="s">
        <v>310</v>
      </c>
      <c r="W704" s="1">
        <v>100</v>
      </c>
      <c r="X704" s="729" t="s">
        <v>32</v>
      </c>
      <c r="Y704" s="1" t="s">
        <v>193</v>
      </c>
      <c r="Z704" s="840"/>
      <c r="AA704" s="842" t="s">
        <v>532</v>
      </c>
      <c r="AB704" s="842" t="s">
        <v>16</v>
      </c>
      <c r="AC704" s="842" t="s">
        <v>3657</v>
      </c>
    </row>
    <row r="705" spans="1:29" ht="15" customHeight="1">
      <c r="A705" s="885" t="s">
        <v>25</v>
      </c>
      <c r="B705" s="885" t="s">
        <v>25</v>
      </c>
      <c r="C705" s="10" t="s">
        <v>3573</v>
      </c>
      <c r="D705" s="10" t="s">
        <v>3574</v>
      </c>
      <c r="E705" s="10" t="s">
        <v>3394</v>
      </c>
      <c r="F705" s="10">
        <v>707995155</v>
      </c>
      <c r="G705" s="10">
        <v>707995155</v>
      </c>
      <c r="H705" s="1">
        <v>5.8273799999999998</v>
      </c>
      <c r="I705" s="1">
        <v>-5.3632499999999999</v>
      </c>
      <c r="J705" s="10" t="s">
        <v>2612</v>
      </c>
      <c r="K705" s="1" t="s">
        <v>274</v>
      </c>
      <c r="L705" s="1" t="s">
        <v>3471</v>
      </c>
      <c r="M705" s="1" t="s">
        <v>3621</v>
      </c>
      <c r="N705" s="1">
        <v>2150038933</v>
      </c>
      <c r="O705" s="11">
        <v>45947</v>
      </c>
      <c r="P705" s="6">
        <f t="shared" ca="1" si="23"/>
        <v>121</v>
      </c>
      <c r="Q705" s="11">
        <v>45948</v>
      </c>
      <c r="R705" s="93" t="s">
        <v>2641</v>
      </c>
      <c r="S705" s="1"/>
      <c r="T705" s="1">
        <v>0</v>
      </c>
      <c r="U705" s="95">
        <v>45950</v>
      </c>
      <c r="V705" s="729" t="s">
        <v>310</v>
      </c>
      <c r="W705" s="1">
        <v>200</v>
      </c>
      <c r="X705" s="729" t="s">
        <v>32</v>
      </c>
      <c r="Y705" s="1" t="s">
        <v>697</v>
      </c>
      <c r="Z705" s="840"/>
      <c r="AA705" s="842" t="s">
        <v>532</v>
      </c>
      <c r="AB705" s="842" t="s">
        <v>16</v>
      </c>
      <c r="AC705" s="842" t="s">
        <v>3600</v>
      </c>
    </row>
    <row r="706" spans="1:29" ht="15" hidden="1" customHeight="1" thickBot="1">
      <c r="A706" s="1786" t="s">
        <v>25</v>
      </c>
      <c r="B706" s="1787" t="s">
        <v>25</v>
      </c>
      <c r="C706" s="1788" t="s">
        <v>1923</v>
      </c>
      <c r="D706" s="1788" t="s">
        <v>1924</v>
      </c>
      <c r="E706" s="1788" t="s">
        <v>1925</v>
      </c>
      <c r="F706" s="1787">
        <v>161467721</v>
      </c>
      <c r="G706" s="1787">
        <v>747373204</v>
      </c>
      <c r="H706" s="1789">
        <v>5.8498539999999997</v>
      </c>
      <c r="I706" s="1789">
        <v>-5.3486380000000002</v>
      </c>
      <c r="J706" s="1788" t="s">
        <v>189</v>
      </c>
      <c r="K706" s="1789" t="s">
        <v>198</v>
      </c>
      <c r="L706" s="1789" t="s">
        <v>742</v>
      </c>
      <c r="M706" s="1790" t="s">
        <v>3655</v>
      </c>
      <c r="N706" s="1790">
        <v>2150038924</v>
      </c>
      <c r="O706" s="1791">
        <v>45783</v>
      </c>
      <c r="P706" s="1789">
        <v>167</v>
      </c>
      <c r="Q706" s="1791">
        <v>45784</v>
      </c>
      <c r="R706" s="1787" t="s">
        <v>2641</v>
      </c>
      <c r="S706" s="1792"/>
      <c r="T706" s="1792"/>
      <c r="U706" s="1793">
        <v>45951</v>
      </c>
      <c r="V706" s="1789" t="s">
        <v>310</v>
      </c>
      <c r="W706" s="1789">
        <v>100</v>
      </c>
      <c r="X706" s="1787" t="s">
        <v>32</v>
      </c>
      <c r="Y706" s="1794" t="s">
        <v>193</v>
      </c>
      <c r="Z706" s="1795"/>
      <c r="AA706" s="1789" t="s">
        <v>532</v>
      </c>
      <c r="AB706" s="1789" t="s">
        <v>16</v>
      </c>
      <c r="AC706" s="1789" t="s">
        <v>3523</v>
      </c>
    </row>
    <row r="707" spans="1:29" ht="15" hidden="1" customHeight="1" thickBot="1">
      <c r="A707" s="1446" t="s">
        <v>25</v>
      </c>
      <c r="B707" s="1447" t="s">
        <v>25</v>
      </c>
      <c r="C707" s="1448" t="s">
        <v>3380</v>
      </c>
      <c r="D707" s="1448" t="s">
        <v>3381</v>
      </c>
      <c r="E707" s="1448" t="s">
        <v>2057</v>
      </c>
      <c r="F707" s="1448">
        <v>102027899</v>
      </c>
      <c r="G707" s="1448">
        <v>708016311</v>
      </c>
      <c r="H707" s="1449">
        <v>5.8522930000000004</v>
      </c>
      <c r="I707" s="1449">
        <v>-5.3496519999999999</v>
      </c>
      <c r="J707" s="1448" t="s">
        <v>189</v>
      </c>
      <c r="K707" s="1449" t="s">
        <v>198</v>
      </c>
      <c r="L707" s="1449" t="s">
        <v>712</v>
      </c>
      <c r="M707" s="1450" t="s">
        <v>3656</v>
      </c>
      <c r="N707" s="1450">
        <v>2150039218</v>
      </c>
      <c r="O707" s="1451">
        <v>45939</v>
      </c>
      <c r="P707" s="1449">
        <v>11</v>
      </c>
      <c r="Q707" s="1451">
        <v>45940</v>
      </c>
      <c r="R707" s="1452" t="s">
        <v>2641</v>
      </c>
      <c r="S707" s="1453"/>
      <c r="T707" s="1449">
        <v>0</v>
      </c>
      <c r="U707" s="1454">
        <v>45951</v>
      </c>
      <c r="V707" s="1452" t="s">
        <v>310</v>
      </c>
      <c r="W707" s="1449">
        <v>150</v>
      </c>
      <c r="X707" s="1452" t="s">
        <v>32</v>
      </c>
      <c r="Y707" s="1455" t="s">
        <v>193</v>
      </c>
      <c r="Z707" s="1450"/>
      <c r="AA707" s="1449" t="s">
        <v>532</v>
      </c>
      <c r="AB707" s="1449" t="s">
        <v>16</v>
      </c>
      <c r="AC707" s="1449" t="s">
        <v>3658</v>
      </c>
    </row>
    <row r="708" spans="1:29" ht="15" customHeight="1">
      <c r="A708" s="841" t="s">
        <v>25</v>
      </c>
      <c r="B708" s="841" t="s">
        <v>25</v>
      </c>
      <c r="C708" s="841" t="s">
        <v>3386</v>
      </c>
      <c r="D708" s="841" t="s">
        <v>3387</v>
      </c>
      <c r="E708" s="841" t="s">
        <v>3388</v>
      </c>
      <c r="F708" s="841">
        <v>142446137</v>
      </c>
      <c r="G708" s="841">
        <v>777818711</v>
      </c>
      <c r="H708" s="842">
        <v>5.8219099999999999</v>
      </c>
      <c r="I708" s="842">
        <v>-5.3657500000000002</v>
      </c>
      <c r="J708" s="841" t="s">
        <v>2612</v>
      </c>
      <c r="K708" s="842" t="s">
        <v>198</v>
      </c>
      <c r="L708" s="842" t="s">
        <v>3599</v>
      </c>
      <c r="M708" s="842" t="s">
        <v>3623</v>
      </c>
      <c r="N708" s="842">
        <v>2150038916</v>
      </c>
      <c r="O708" s="1359">
        <v>45940</v>
      </c>
      <c r="P708" s="842">
        <v>10</v>
      </c>
      <c r="Q708" s="1359">
        <v>45941</v>
      </c>
      <c r="R708" s="840" t="s">
        <v>2641</v>
      </c>
      <c r="S708" s="842"/>
      <c r="T708" s="842">
        <v>0</v>
      </c>
      <c r="U708" s="882">
        <v>45951</v>
      </c>
      <c r="V708" s="840" t="s">
        <v>310</v>
      </c>
      <c r="W708" s="842">
        <v>150</v>
      </c>
      <c r="X708" s="840" t="s">
        <v>32</v>
      </c>
      <c r="Y708" s="840" t="s">
        <v>193</v>
      </c>
      <c r="Z708" s="840"/>
      <c r="AA708" s="842" t="s">
        <v>532</v>
      </c>
      <c r="AB708" s="842" t="s">
        <v>16</v>
      </c>
      <c r="AC708" s="842" t="s">
        <v>3660</v>
      </c>
    </row>
    <row r="709" spans="1:29" s="634" customFormat="1" ht="15" customHeight="1">
      <c r="A709" s="841" t="s">
        <v>25</v>
      </c>
      <c r="B709" s="841" t="s">
        <v>25</v>
      </c>
      <c r="C709" s="841" t="s">
        <v>3535</v>
      </c>
      <c r="D709" s="841" t="s">
        <v>3536</v>
      </c>
      <c r="E709" s="841" t="s">
        <v>3053</v>
      </c>
      <c r="F709" s="841">
        <v>787425101</v>
      </c>
      <c r="G709" s="841">
        <v>545623076</v>
      </c>
      <c r="H709" s="842">
        <v>5.81358</v>
      </c>
      <c r="I709" s="842">
        <v>-5.3647600000000004</v>
      </c>
      <c r="J709" s="841" t="s">
        <v>2612</v>
      </c>
      <c r="K709" s="842" t="s">
        <v>203</v>
      </c>
      <c r="L709" s="842" t="s">
        <v>3613</v>
      </c>
      <c r="M709" s="842" t="s">
        <v>3624</v>
      </c>
      <c r="N709" s="842">
        <v>2150038931</v>
      </c>
      <c r="O709" s="1359">
        <v>45943</v>
      </c>
      <c r="P709" s="842">
        <v>4</v>
      </c>
      <c r="Q709" s="1359">
        <v>45947</v>
      </c>
      <c r="R709" s="840" t="s">
        <v>2641</v>
      </c>
      <c r="S709" s="842"/>
      <c r="T709" s="842">
        <v>0</v>
      </c>
      <c r="U709" s="882">
        <v>45951</v>
      </c>
      <c r="V709" s="840" t="s">
        <v>310</v>
      </c>
      <c r="W709" s="842">
        <v>100</v>
      </c>
      <c r="X709" s="840" t="s">
        <v>32</v>
      </c>
      <c r="Y709" s="840" t="s">
        <v>193</v>
      </c>
      <c r="Z709" s="236"/>
      <c r="AA709" s="236" t="s">
        <v>532</v>
      </c>
      <c r="AB709" s="236" t="s">
        <v>16</v>
      </c>
      <c r="AC709" s="844" t="s">
        <v>3557</v>
      </c>
    </row>
    <row r="710" spans="1:29" s="634" customFormat="1" ht="15" customHeight="1">
      <c r="A710" s="841" t="s">
        <v>25</v>
      </c>
      <c r="B710" s="841" t="s">
        <v>25</v>
      </c>
      <c r="C710" s="841" t="s">
        <v>3544</v>
      </c>
      <c r="D710" s="841" t="s">
        <v>3545</v>
      </c>
      <c r="E710" s="841" t="s">
        <v>3546</v>
      </c>
      <c r="F710" s="841">
        <v>545482235</v>
      </c>
      <c r="G710" s="841">
        <v>787172547</v>
      </c>
      <c r="H710" s="842">
        <v>5.8203199999999997</v>
      </c>
      <c r="I710" s="842">
        <v>-5.3663100000000004</v>
      </c>
      <c r="J710" s="841" t="s">
        <v>2612</v>
      </c>
      <c r="K710" s="842" t="s">
        <v>198</v>
      </c>
      <c r="L710" s="842" t="s">
        <v>3629</v>
      </c>
      <c r="M710" s="840" t="s">
        <v>3659</v>
      </c>
      <c r="N710" s="840">
        <v>2150038928</v>
      </c>
      <c r="O710" s="1359">
        <v>45946</v>
      </c>
      <c r="P710" s="842">
        <v>4</v>
      </c>
      <c r="Q710" s="1359">
        <v>45947</v>
      </c>
      <c r="R710" s="840" t="s">
        <v>2641</v>
      </c>
      <c r="S710" s="842"/>
      <c r="T710" s="842">
        <v>0</v>
      </c>
      <c r="U710" s="882">
        <v>45951</v>
      </c>
      <c r="V710" s="840" t="s">
        <v>310</v>
      </c>
      <c r="W710" s="842">
        <v>100</v>
      </c>
      <c r="X710" s="840" t="s">
        <v>32</v>
      </c>
      <c r="Y710" s="840" t="s">
        <v>193</v>
      </c>
      <c r="Z710" s="236"/>
      <c r="AA710" s="236" t="s">
        <v>532</v>
      </c>
      <c r="AB710" s="236" t="s">
        <v>16</v>
      </c>
      <c r="AC710" s="844" t="s">
        <v>3648</v>
      </c>
    </row>
    <row r="711" spans="1:29" s="634" customFormat="1" ht="15" customHeight="1">
      <c r="A711" s="236" t="s">
        <v>25</v>
      </c>
      <c r="B711" s="664" t="s">
        <v>25</v>
      </c>
      <c r="C711" s="236" t="s">
        <v>126</v>
      </c>
      <c r="D711" s="236" t="s">
        <v>127</v>
      </c>
      <c r="E711" s="236" t="s">
        <v>81</v>
      </c>
      <c r="F711" s="1347">
        <v>758719325</v>
      </c>
      <c r="G711" s="664">
        <v>505520294</v>
      </c>
      <c r="H711" s="236">
        <v>5.8313540000000001</v>
      </c>
      <c r="I711" s="236">
        <v>-5.3621749999999997</v>
      </c>
      <c r="J711" s="1311" t="s">
        <v>2612</v>
      </c>
      <c r="K711" s="664" t="s">
        <v>274</v>
      </c>
      <c r="L711" s="664" t="s">
        <v>2613</v>
      </c>
      <c r="M711" s="237" t="s">
        <v>3665</v>
      </c>
      <c r="N711" s="237">
        <v>2150038895</v>
      </c>
      <c r="O711" s="239">
        <v>45685</v>
      </c>
      <c r="P711" s="1312">
        <f ca="1">TODAY()-Q711</f>
        <v>380</v>
      </c>
      <c r="Q711" s="239">
        <v>45689</v>
      </c>
      <c r="R711" s="236" t="s">
        <v>273</v>
      </c>
      <c r="S711" s="236"/>
      <c r="T711" s="236">
        <v>0</v>
      </c>
      <c r="U711" s="742">
        <v>45952</v>
      </c>
      <c r="V711" s="236" t="s">
        <v>310</v>
      </c>
      <c r="W711" s="664">
        <v>100</v>
      </c>
      <c r="X711" s="236" t="s">
        <v>32</v>
      </c>
      <c r="Y711" s="236" t="s">
        <v>193</v>
      </c>
      <c r="Z711" s="236"/>
      <c r="AA711" s="236" t="s">
        <v>532</v>
      </c>
      <c r="AB711" s="236" t="s">
        <v>16</v>
      </c>
      <c r="AC711" s="844" t="s">
        <v>3473</v>
      </c>
    </row>
    <row r="712" spans="1:29" s="634" customFormat="1" ht="15" customHeight="1">
      <c r="A712" s="236" t="s">
        <v>25</v>
      </c>
      <c r="B712" s="664" t="s">
        <v>25</v>
      </c>
      <c r="C712" s="236" t="s">
        <v>166</v>
      </c>
      <c r="D712" s="236" t="s">
        <v>127</v>
      </c>
      <c r="E712" s="236" t="s">
        <v>81</v>
      </c>
      <c r="F712" s="1347">
        <v>758719325</v>
      </c>
      <c r="G712" s="664">
        <v>505520294</v>
      </c>
      <c r="H712" s="236">
        <v>5.8313540000000001</v>
      </c>
      <c r="I712" s="236">
        <v>-5.3621749999999997</v>
      </c>
      <c r="J712" s="1311" t="s">
        <v>2612</v>
      </c>
      <c r="K712" s="664" t="s">
        <v>274</v>
      </c>
      <c r="L712" s="664" t="s">
        <v>2613</v>
      </c>
      <c r="M712" s="237" t="s">
        <v>3664</v>
      </c>
      <c r="N712" s="237">
        <v>2150038894</v>
      </c>
      <c r="O712" s="239">
        <v>45689</v>
      </c>
      <c r="P712" s="1312">
        <f ca="1">TODAY()-Q712</f>
        <v>378</v>
      </c>
      <c r="Q712" s="239">
        <v>45691</v>
      </c>
      <c r="R712" s="236" t="s">
        <v>273</v>
      </c>
      <c r="S712" s="236"/>
      <c r="T712" s="236">
        <v>0</v>
      </c>
      <c r="U712" s="742">
        <v>45952</v>
      </c>
      <c r="V712" s="236" t="s">
        <v>310</v>
      </c>
      <c r="W712" s="664">
        <v>100</v>
      </c>
      <c r="X712" s="236" t="s">
        <v>32</v>
      </c>
      <c r="Y712" s="236" t="s">
        <v>228</v>
      </c>
      <c r="Z712" s="236"/>
      <c r="AA712" s="236" t="s">
        <v>532</v>
      </c>
      <c r="AB712" s="664" t="s">
        <v>16</v>
      </c>
      <c r="AC712" s="844" t="s">
        <v>3642</v>
      </c>
    </row>
    <row r="713" spans="1:29" s="634" customFormat="1" ht="15" customHeight="1">
      <c r="A713" s="1311" t="s">
        <v>25</v>
      </c>
      <c r="B713" s="1311" t="s">
        <v>25</v>
      </c>
      <c r="C713" s="235" t="s">
        <v>3190</v>
      </c>
      <c r="D713" s="235" t="s">
        <v>3191</v>
      </c>
      <c r="E713" s="235" t="s">
        <v>3053</v>
      </c>
      <c r="F713" s="235">
        <v>788004114</v>
      </c>
      <c r="G713" s="235">
        <v>506120451</v>
      </c>
      <c r="H713" s="236">
        <v>5.8177899999999996</v>
      </c>
      <c r="I713" s="236">
        <v>-5.3617800000000004</v>
      </c>
      <c r="J713" s="235" t="s">
        <v>2612</v>
      </c>
      <c r="K713" s="236" t="s">
        <v>190</v>
      </c>
      <c r="L713" s="236" t="s">
        <v>3645</v>
      </c>
      <c r="M713" s="237" t="s">
        <v>3663</v>
      </c>
      <c r="N713" s="237">
        <v>2150038927</v>
      </c>
      <c r="O713" s="238">
        <v>45925</v>
      </c>
      <c r="P713" s="1312">
        <f ca="1">TODAY()-Q713</f>
        <v>143</v>
      </c>
      <c r="Q713" s="238">
        <v>45926</v>
      </c>
      <c r="R713" s="665" t="s">
        <v>2641</v>
      </c>
      <c r="S713" s="665"/>
      <c r="T713" s="665">
        <v>0</v>
      </c>
      <c r="U713" s="742">
        <v>45952</v>
      </c>
      <c r="V713" s="666" t="s">
        <v>310</v>
      </c>
      <c r="W713" s="665">
        <v>150</v>
      </c>
      <c r="X713" s="666" t="s">
        <v>32</v>
      </c>
      <c r="Y713" s="236" t="s">
        <v>193</v>
      </c>
      <c r="Z713" s="236"/>
      <c r="AA713" s="236" t="s">
        <v>532</v>
      </c>
      <c r="AB713" s="664" t="s">
        <v>16</v>
      </c>
      <c r="AC713" s="844" t="s">
        <v>3643</v>
      </c>
    </row>
    <row r="714" spans="1:29" s="634" customFormat="1" ht="15" customHeight="1">
      <c r="A714" s="1311" t="s">
        <v>25</v>
      </c>
      <c r="B714" s="1311" t="s">
        <v>25</v>
      </c>
      <c r="C714" s="235" t="s">
        <v>3225</v>
      </c>
      <c r="D714" s="235" t="s">
        <v>3226</v>
      </c>
      <c r="E714" s="235" t="s">
        <v>3053</v>
      </c>
      <c r="F714" s="235">
        <v>103383431</v>
      </c>
      <c r="G714" s="235">
        <v>709512676</v>
      </c>
      <c r="H714" s="236">
        <v>5.8160600000000002</v>
      </c>
      <c r="I714" s="236">
        <v>-5.3627500000000001</v>
      </c>
      <c r="J714" s="235" t="s">
        <v>2612</v>
      </c>
      <c r="K714" s="236" t="s">
        <v>190</v>
      </c>
      <c r="L714" s="236" t="s">
        <v>3096</v>
      </c>
      <c r="M714" s="237" t="s">
        <v>3662</v>
      </c>
      <c r="N714" s="237">
        <v>2150038932</v>
      </c>
      <c r="O714" s="238">
        <v>45927</v>
      </c>
      <c r="P714" s="1312">
        <f ca="1">TODAY()-Q714</f>
        <v>140</v>
      </c>
      <c r="Q714" s="238">
        <v>45929</v>
      </c>
      <c r="R714" s="665" t="s">
        <v>2641</v>
      </c>
      <c r="S714" s="665"/>
      <c r="T714" s="665">
        <v>0</v>
      </c>
      <c r="U714" s="742">
        <v>45952</v>
      </c>
      <c r="V714" s="666" t="s">
        <v>310</v>
      </c>
      <c r="W714" s="665">
        <v>350</v>
      </c>
      <c r="X714" s="666" t="s">
        <v>32</v>
      </c>
      <c r="Y714" s="236" t="s">
        <v>1521</v>
      </c>
      <c r="Z714" s="236"/>
      <c r="AA714" s="236" t="s">
        <v>532</v>
      </c>
      <c r="AB714" s="665" t="s">
        <v>16</v>
      </c>
      <c r="AC714" s="844" t="s">
        <v>3647</v>
      </c>
    </row>
    <row r="715" spans="1:29" s="639" customFormat="1" ht="15" hidden="1" customHeight="1">
      <c r="A715" s="1663" t="s">
        <v>25</v>
      </c>
      <c r="B715" s="1663" t="s">
        <v>25</v>
      </c>
      <c r="C715" s="1796" t="s">
        <v>3447</v>
      </c>
      <c r="D715" s="1797" t="s">
        <v>3448</v>
      </c>
      <c r="E715" s="1797" t="s">
        <v>3449</v>
      </c>
      <c r="F715" s="1797">
        <v>101180637</v>
      </c>
      <c r="G715" s="1797">
        <v>709601609</v>
      </c>
      <c r="H715" s="1665">
        <v>5.8330099999999998</v>
      </c>
      <c r="I715" s="1665">
        <v>-5.3585799999999999</v>
      </c>
      <c r="J715" s="1797" t="s">
        <v>36</v>
      </c>
      <c r="K715" s="1665" t="s">
        <v>198</v>
      </c>
      <c r="L715" s="1665" t="s">
        <v>278</v>
      </c>
      <c r="M715" s="1798" t="s">
        <v>3593</v>
      </c>
      <c r="N715" s="1798">
        <v>2150038921</v>
      </c>
      <c r="O715" s="1799">
        <v>45941</v>
      </c>
      <c r="P715" s="1667">
        <f ca="1">TODAY()-Q715</f>
        <v>126</v>
      </c>
      <c r="Q715" s="1799">
        <v>45943</v>
      </c>
      <c r="R715" s="1800" t="s">
        <v>2641</v>
      </c>
      <c r="S715" s="1665"/>
      <c r="T715" s="1665">
        <v>1</v>
      </c>
      <c r="U715" s="1801">
        <v>45952</v>
      </c>
      <c r="V715" s="1802" t="s">
        <v>310</v>
      </c>
      <c r="W715" s="1665">
        <v>300</v>
      </c>
      <c r="X715" s="1802" t="s">
        <v>32</v>
      </c>
      <c r="Y715" s="642" t="s">
        <v>1521</v>
      </c>
      <c r="Z715" s="642"/>
      <c r="AA715" s="1665" t="s">
        <v>532</v>
      </c>
      <c r="AB715" s="1800" t="s">
        <v>16</v>
      </c>
      <c r="AC715" s="1803" t="s">
        <v>3646</v>
      </c>
    </row>
    <row r="716" spans="1:29" s="634" customFormat="1" ht="15" customHeight="1">
      <c r="A716" s="841" t="s">
        <v>25</v>
      </c>
      <c r="B716" s="841" t="s">
        <v>25</v>
      </c>
      <c r="C716" s="841" t="s">
        <v>3476</v>
      </c>
      <c r="D716" s="841" t="s">
        <v>3477</v>
      </c>
      <c r="E716" s="841" t="s">
        <v>3053</v>
      </c>
      <c r="F716" s="841">
        <v>584003042</v>
      </c>
      <c r="G716" s="841">
        <v>707901759</v>
      </c>
      <c r="H716" s="842">
        <v>5.8331999999999997</v>
      </c>
      <c r="I716" s="842">
        <v>-5.3591199999999999</v>
      </c>
      <c r="J716" s="841" t="s">
        <v>2612</v>
      </c>
      <c r="K716" s="842" t="s">
        <v>190</v>
      </c>
      <c r="L716" s="842" t="s">
        <v>3192</v>
      </c>
      <c r="M716" s="840" t="s">
        <v>3588</v>
      </c>
      <c r="N716" s="840">
        <v>2150039219</v>
      </c>
      <c r="O716" s="1359">
        <v>45943</v>
      </c>
      <c r="P716" s="842">
        <v>6</v>
      </c>
      <c r="Q716" s="1359">
        <v>45945</v>
      </c>
      <c r="R716" s="840" t="s">
        <v>2641</v>
      </c>
      <c r="S716" s="842"/>
      <c r="T716" s="842">
        <v>1</v>
      </c>
      <c r="U716" s="882">
        <v>45952</v>
      </c>
      <c r="V716" s="840" t="s">
        <v>310</v>
      </c>
      <c r="W716" s="842">
        <v>300</v>
      </c>
      <c r="X716" s="840" t="s">
        <v>32</v>
      </c>
      <c r="Y716" s="840" t="s">
        <v>533</v>
      </c>
      <c r="Z716" s="236"/>
      <c r="AA716" s="236" t="s">
        <v>532</v>
      </c>
      <c r="AB716" s="236" t="s">
        <v>16</v>
      </c>
      <c r="AC716" s="844" t="s">
        <v>3614</v>
      </c>
    </row>
    <row r="717" spans="1:29" s="634" customFormat="1" ht="15" customHeight="1">
      <c r="A717" s="1311" t="s">
        <v>25</v>
      </c>
      <c r="B717" s="1311" t="s">
        <v>25</v>
      </c>
      <c r="C717" s="235" t="s">
        <v>3481</v>
      </c>
      <c r="D717" s="235" t="s">
        <v>3068</v>
      </c>
      <c r="E717" s="235" t="s">
        <v>3482</v>
      </c>
      <c r="F717" s="235">
        <v>500853953</v>
      </c>
      <c r="G717" s="235">
        <v>787352453</v>
      </c>
      <c r="H717" s="236">
        <v>5.8163400000000003</v>
      </c>
      <c r="I717" s="236">
        <v>-5.3654900000000003</v>
      </c>
      <c r="J717" s="235" t="s">
        <v>2612</v>
      </c>
      <c r="K717" s="236" t="s">
        <v>203</v>
      </c>
      <c r="L717" s="236" t="s">
        <v>3613</v>
      </c>
      <c r="M717" s="236" t="s">
        <v>3622</v>
      </c>
      <c r="N717" s="236">
        <v>2150038929</v>
      </c>
      <c r="O717" s="238">
        <v>45945</v>
      </c>
      <c r="P717" s="1312">
        <f ca="1">TODAY()-Q717</f>
        <v>124</v>
      </c>
      <c r="Q717" s="238">
        <v>45945</v>
      </c>
      <c r="R717" s="665" t="s">
        <v>2641</v>
      </c>
      <c r="S717" s="236"/>
      <c r="T717" s="236">
        <v>0</v>
      </c>
      <c r="U717" s="742">
        <v>45952</v>
      </c>
      <c r="V717" s="666" t="s">
        <v>310</v>
      </c>
      <c r="W717" s="236">
        <v>100</v>
      </c>
      <c r="X717" s="666" t="s">
        <v>32</v>
      </c>
      <c r="Y717" s="236" t="s">
        <v>193</v>
      </c>
      <c r="Z717" s="986"/>
      <c r="AA717" s="986" t="s">
        <v>1427</v>
      </c>
      <c r="AB717" s="986" t="s">
        <v>16</v>
      </c>
      <c r="AC717" s="1348" t="s">
        <v>3654</v>
      </c>
    </row>
    <row r="718" spans="1:29" s="639" customFormat="1" ht="15" hidden="1" customHeight="1">
      <c r="A718" s="1663" t="s">
        <v>25</v>
      </c>
      <c r="B718" s="1663" t="s">
        <v>25</v>
      </c>
      <c r="C718" s="1796" t="s">
        <v>3512</v>
      </c>
      <c r="D718" s="1797" t="s">
        <v>3513</v>
      </c>
      <c r="E718" s="1797" t="s">
        <v>3514</v>
      </c>
      <c r="F718" s="1797">
        <v>153980098</v>
      </c>
      <c r="G718" s="1797">
        <v>566826888</v>
      </c>
      <c r="H718" s="1665">
        <v>5.8409599999999999</v>
      </c>
      <c r="I718" s="1665">
        <v>-5.3619399999999997</v>
      </c>
      <c r="J718" s="1797" t="s">
        <v>36</v>
      </c>
      <c r="K718" s="1665" t="s">
        <v>190</v>
      </c>
      <c r="L718" s="1665" t="s">
        <v>480</v>
      </c>
      <c r="M718" s="1798" t="s">
        <v>3585</v>
      </c>
      <c r="N718" s="1798">
        <v>2150039214</v>
      </c>
      <c r="O718" s="1799">
        <v>45945</v>
      </c>
      <c r="P718" s="1667">
        <f ca="1">TODAY()-Q718</f>
        <v>123</v>
      </c>
      <c r="Q718" s="1799">
        <v>45946</v>
      </c>
      <c r="R718" s="1800" t="s">
        <v>2641</v>
      </c>
      <c r="S718" s="1665"/>
      <c r="T718" s="1665">
        <v>0</v>
      </c>
      <c r="U718" s="1801">
        <v>45952</v>
      </c>
      <c r="V718" s="1802" t="s">
        <v>310</v>
      </c>
      <c r="W718" s="1665">
        <v>350</v>
      </c>
      <c r="X718" s="1802" t="s">
        <v>32</v>
      </c>
      <c r="Y718" s="642" t="s">
        <v>533</v>
      </c>
      <c r="Z718" s="784"/>
      <c r="AA718" s="1709" t="s">
        <v>1427</v>
      </c>
      <c r="AB718" s="1709" t="s">
        <v>16</v>
      </c>
      <c r="AC718" s="1804" t="s">
        <v>3628</v>
      </c>
    </row>
    <row r="719" spans="1:29" s="634" customFormat="1" ht="15" customHeight="1">
      <c r="A719" s="1311" t="s">
        <v>25</v>
      </c>
      <c r="B719" s="1311" t="s">
        <v>25</v>
      </c>
      <c r="C719" s="1097" t="s">
        <v>3637</v>
      </c>
      <c r="D719" s="1097" t="s">
        <v>3638</v>
      </c>
      <c r="E719" s="1349" t="s">
        <v>3053</v>
      </c>
      <c r="F719" s="1097">
        <v>171415640</v>
      </c>
      <c r="G719" s="1097">
        <v>544396779</v>
      </c>
      <c r="H719" s="236">
        <v>5.81351</v>
      </c>
      <c r="I719" s="236">
        <v>-5.3645800000000001</v>
      </c>
      <c r="J719" s="1097" t="s">
        <v>2612</v>
      </c>
      <c r="K719" s="236" t="s">
        <v>190</v>
      </c>
      <c r="L719" s="236" t="s">
        <v>3196</v>
      </c>
      <c r="M719" s="237" t="s">
        <v>3661</v>
      </c>
      <c r="N719" s="237">
        <v>2150038917</v>
      </c>
      <c r="O719" s="1169">
        <v>45950</v>
      </c>
      <c r="P719" s="236"/>
      <c r="Q719" s="1169">
        <v>45951</v>
      </c>
      <c r="R719" s="665" t="s">
        <v>2641</v>
      </c>
      <c r="S719" s="236"/>
      <c r="T719" s="236">
        <v>0</v>
      </c>
      <c r="U719" s="742">
        <v>45952</v>
      </c>
      <c r="V719" s="666" t="s">
        <v>310</v>
      </c>
      <c r="W719" s="236">
        <v>100</v>
      </c>
      <c r="X719" s="666" t="s">
        <v>32</v>
      </c>
      <c r="Y719" s="236" t="s">
        <v>533</v>
      </c>
      <c r="Z719" s="986"/>
      <c r="AA719" s="986" t="s">
        <v>1427</v>
      </c>
      <c r="AB719" s="986" t="s">
        <v>16</v>
      </c>
      <c r="AC719" s="1348" t="s">
        <v>3602</v>
      </c>
    </row>
    <row r="720" spans="1:29" s="634" customFormat="1" ht="15" customHeight="1">
      <c r="A720" s="1350" t="s">
        <v>25</v>
      </c>
      <c r="B720" s="1350" t="s">
        <v>25</v>
      </c>
      <c r="C720" s="985" t="s">
        <v>3419</v>
      </c>
      <c r="D720" s="985" t="s">
        <v>3420</v>
      </c>
      <c r="E720" s="985" t="s">
        <v>3400</v>
      </c>
      <c r="F720" s="985">
        <v>787830540</v>
      </c>
      <c r="G720" s="985">
        <v>789806625</v>
      </c>
      <c r="H720" s="986">
        <v>5.8215899999999996</v>
      </c>
      <c r="I720" s="986">
        <v>-5.3658700000000001</v>
      </c>
      <c r="J720" s="985" t="s">
        <v>2612</v>
      </c>
      <c r="K720" s="986" t="s">
        <v>198</v>
      </c>
      <c r="L720" s="986" t="s">
        <v>3601</v>
      </c>
      <c r="M720" s="986" t="s">
        <v>3692</v>
      </c>
      <c r="N720" s="986">
        <v>2150038900</v>
      </c>
      <c r="O720" s="839">
        <v>45939</v>
      </c>
      <c r="P720" s="1351">
        <f t="shared" ref="P720:P726" ca="1" si="24">TODAY()-Q720</f>
        <v>128</v>
      </c>
      <c r="Q720" s="839">
        <v>45941</v>
      </c>
      <c r="R720" s="1328" t="s">
        <v>2641</v>
      </c>
      <c r="S720" s="986"/>
      <c r="T720" s="986">
        <v>1</v>
      </c>
      <c r="U720" s="991">
        <v>45953</v>
      </c>
      <c r="V720" s="989" t="s">
        <v>310</v>
      </c>
      <c r="W720" s="986">
        <v>250</v>
      </c>
      <c r="X720" s="989" t="s">
        <v>32</v>
      </c>
      <c r="Y720" s="986" t="s">
        <v>193</v>
      </c>
      <c r="Z720" s="986"/>
      <c r="AA720" s="986" t="s">
        <v>1427</v>
      </c>
      <c r="AB720" s="986" t="s">
        <v>16</v>
      </c>
      <c r="AC720" s="1348" t="s">
        <v>3616</v>
      </c>
    </row>
    <row r="721" spans="1:29" s="634" customFormat="1" ht="15" customHeight="1">
      <c r="A721" s="1350" t="s">
        <v>25</v>
      </c>
      <c r="B721" s="1350" t="s">
        <v>25</v>
      </c>
      <c r="C721" s="985" t="s">
        <v>3398</v>
      </c>
      <c r="D721" s="985" t="s">
        <v>3399</v>
      </c>
      <c r="E721" s="985" t="s">
        <v>3400</v>
      </c>
      <c r="F721" s="985">
        <v>768093911</v>
      </c>
      <c r="G721" s="985">
        <v>778433618</v>
      </c>
      <c r="H721" s="986">
        <v>5.8270299999999997</v>
      </c>
      <c r="I721" s="986">
        <v>-5.3633800000000003</v>
      </c>
      <c r="J721" s="985" t="s">
        <v>2612</v>
      </c>
      <c r="K721" s="986" t="s">
        <v>274</v>
      </c>
      <c r="L721" s="986" t="s">
        <v>3471</v>
      </c>
      <c r="M721" s="986" t="s">
        <v>3696</v>
      </c>
      <c r="N721" s="986">
        <v>2150038925</v>
      </c>
      <c r="O721" s="839">
        <v>45940</v>
      </c>
      <c r="P721" s="1351">
        <f t="shared" ca="1" si="24"/>
        <v>128</v>
      </c>
      <c r="Q721" s="839">
        <v>45941</v>
      </c>
      <c r="R721" s="1328" t="s">
        <v>2641</v>
      </c>
      <c r="S721" s="986"/>
      <c r="T721" s="986">
        <v>1</v>
      </c>
      <c r="U721" s="991">
        <v>45953</v>
      </c>
      <c r="V721" s="989" t="s">
        <v>310</v>
      </c>
      <c r="W721" s="986">
        <v>250</v>
      </c>
      <c r="X721" s="989" t="s">
        <v>32</v>
      </c>
      <c r="Y721" s="986" t="s">
        <v>343</v>
      </c>
      <c r="Z721" s="986"/>
      <c r="AA721" s="986" t="s">
        <v>1427</v>
      </c>
      <c r="AB721" s="986" t="s">
        <v>16</v>
      </c>
      <c r="AC721" s="1348" t="s">
        <v>3626</v>
      </c>
    </row>
    <row r="722" spans="1:29" s="639" customFormat="1" ht="15" hidden="1" customHeight="1">
      <c r="A722" s="1805" t="s">
        <v>25</v>
      </c>
      <c r="B722" s="1805" t="s">
        <v>25</v>
      </c>
      <c r="C722" s="1806" t="s">
        <v>3410</v>
      </c>
      <c r="D722" s="1806" t="s">
        <v>3411</v>
      </c>
      <c r="E722" s="1806" t="s">
        <v>3412</v>
      </c>
      <c r="F722" s="1806">
        <v>707783388</v>
      </c>
      <c r="G722" s="1806">
        <v>506333579</v>
      </c>
      <c r="H722" s="1709">
        <v>5.8395200000000003</v>
      </c>
      <c r="I722" s="1709">
        <v>-5.3583100000000004</v>
      </c>
      <c r="J722" s="1806" t="s">
        <v>36</v>
      </c>
      <c r="K722" s="1709" t="s">
        <v>190</v>
      </c>
      <c r="L722" s="1709" t="s">
        <v>1163</v>
      </c>
      <c r="M722" s="1807" t="s">
        <v>3586</v>
      </c>
      <c r="N722" s="1807">
        <v>2150038920</v>
      </c>
      <c r="O722" s="1808">
        <v>45938</v>
      </c>
      <c r="P722" s="1809">
        <f t="shared" ca="1" si="24"/>
        <v>128</v>
      </c>
      <c r="Q722" s="1808">
        <v>45941</v>
      </c>
      <c r="R722" s="1710" t="s">
        <v>2641</v>
      </c>
      <c r="S722" s="1709"/>
      <c r="T722" s="1709">
        <v>0</v>
      </c>
      <c r="U722" s="1810">
        <v>45953</v>
      </c>
      <c r="V722" s="1811" t="s">
        <v>310</v>
      </c>
      <c r="W722" s="1709">
        <v>300</v>
      </c>
      <c r="X722" s="1811" t="s">
        <v>32</v>
      </c>
      <c r="Y722" s="784" t="s">
        <v>343</v>
      </c>
      <c r="Z722" s="784"/>
      <c r="AA722" s="1709" t="s">
        <v>1427</v>
      </c>
      <c r="AB722" s="1709" t="s">
        <v>16</v>
      </c>
      <c r="AC722" s="1804" t="s">
        <v>3651</v>
      </c>
    </row>
    <row r="723" spans="1:29" s="634" customFormat="1" ht="15" customHeight="1">
      <c r="A723" s="1350" t="s">
        <v>25</v>
      </c>
      <c r="B723" s="1350" t="s">
        <v>25</v>
      </c>
      <c r="C723" s="985" t="s">
        <v>3539</v>
      </c>
      <c r="D723" s="985" t="s">
        <v>3540</v>
      </c>
      <c r="E723" s="985" t="s">
        <v>3541</v>
      </c>
      <c r="F723" s="985">
        <v>101929978</v>
      </c>
      <c r="G723" s="985">
        <v>708205245</v>
      </c>
      <c r="H723" s="986">
        <v>5.82538</v>
      </c>
      <c r="I723" s="986">
        <v>-5.3644299999999996</v>
      </c>
      <c r="J723" s="985" t="s">
        <v>2612</v>
      </c>
      <c r="K723" s="986" t="s">
        <v>198</v>
      </c>
      <c r="L723" s="986" t="s">
        <v>3435</v>
      </c>
      <c r="M723" s="986" t="s">
        <v>3694</v>
      </c>
      <c r="N723" s="986">
        <v>2150038926</v>
      </c>
      <c r="O723" s="839">
        <v>45946</v>
      </c>
      <c r="P723" s="1351">
        <f t="shared" ca="1" si="24"/>
        <v>122</v>
      </c>
      <c r="Q723" s="839">
        <v>45947</v>
      </c>
      <c r="R723" s="1328" t="s">
        <v>2641</v>
      </c>
      <c r="S723" s="986"/>
      <c r="T723" s="986">
        <v>0</v>
      </c>
      <c r="U723" s="991">
        <v>45953</v>
      </c>
      <c r="V723" s="989" t="s">
        <v>310</v>
      </c>
      <c r="W723" s="986">
        <v>250</v>
      </c>
      <c r="X723" s="989" t="s">
        <v>32</v>
      </c>
      <c r="Y723" s="986" t="s">
        <v>228</v>
      </c>
      <c r="Z723" s="986"/>
      <c r="AA723" s="986" t="s">
        <v>1427</v>
      </c>
      <c r="AB723" s="986" t="s">
        <v>16</v>
      </c>
      <c r="AC723" s="1348" t="s">
        <v>3644</v>
      </c>
    </row>
    <row r="724" spans="1:29" s="639" customFormat="1" ht="15" hidden="1" customHeight="1" thickBot="1">
      <c r="A724" s="1812" t="s">
        <v>25</v>
      </c>
      <c r="B724" s="1812" t="s">
        <v>25</v>
      </c>
      <c r="C724" s="1813" t="s">
        <v>3569</v>
      </c>
      <c r="D724" s="1813" t="s">
        <v>3570</v>
      </c>
      <c r="E724" s="1813" t="s">
        <v>295</v>
      </c>
      <c r="F724" s="1813">
        <v>142345400</v>
      </c>
      <c r="G724" s="1813">
        <v>708265993</v>
      </c>
      <c r="H724" s="1814">
        <v>5.8335800000000004</v>
      </c>
      <c r="I724" s="1814">
        <v>-5.3539000000000003</v>
      </c>
      <c r="J724" s="1813" t="s">
        <v>36</v>
      </c>
      <c r="K724" s="1814" t="s">
        <v>198</v>
      </c>
      <c r="L724" s="1814" t="s">
        <v>523</v>
      </c>
      <c r="M724" s="1814" t="s">
        <v>3691</v>
      </c>
      <c r="N724" s="1814">
        <v>2150038899</v>
      </c>
      <c r="O724" s="1815">
        <v>45946</v>
      </c>
      <c r="P724" s="1816">
        <f t="shared" ca="1" si="24"/>
        <v>121</v>
      </c>
      <c r="Q724" s="1815">
        <v>45948</v>
      </c>
      <c r="R724" s="1817" t="s">
        <v>2641</v>
      </c>
      <c r="S724" s="1814"/>
      <c r="T724" s="1814">
        <v>0</v>
      </c>
      <c r="U724" s="1818">
        <v>45953</v>
      </c>
      <c r="V724" s="1819" t="s">
        <v>310</v>
      </c>
      <c r="W724" s="1814">
        <v>100</v>
      </c>
      <c r="X724" s="1819" t="s">
        <v>32</v>
      </c>
      <c r="Y724" s="784" t="s">
        <v>3048</v>
      </c>
      <c r="Z724" s="642"/>
      <c r="AA724" s="1699" t="s">
        <v>1427</v>
      </c>
      <c r="AB724" s="1699" t="s">
        <v>16</v>
      </c>
      <c r="AC724" s="1820" t="s">
        <v>3460</v>
      </c>
    </row>
    <row r="725" spans="1:29" ht="15" hidden="1" customHeight="1" thickBot="1">
      <c r="A725" s="1458" t="s">
        <v>25</v>
      </c>
      <c r="B725" s="1459" t="s">
        <v>25</v>
      </c>
      <c r="C725" s="1460" t="s">
        <v>3575</v>
      </c>
      <c r="D725" s="1460" t="s">
        <v>3576</v>
      </c>
      <c r="E725" s="1460" t="s">
        <v>84</v>
      </c>
      <c r="F725" s="1460">
        <v>706634428</v>
      </c>
      <c r="G725" s="1460">
        <v>768070558</v>
      </c>
      <c r="H725" s="1461">
        <v>5.8342599999999996</v>
      </c>
      <c r="I725" s="1461">
        <v>-5.3643999999999998</v>
      </c>
      <c r="J725" s="1460" t="s">
        <v>36</v>
      </c>
      <c r="K725" s="1461" t="s">
        <v>203</v>
      </c>
      <c r="L725" s="1461" t="s">
        <v>1573</v>
      </c>
      <c r="M725" s="1462" t="s">
        <v>3690</v>
      </c>
      <c r="N725" s="1461">
        <v>2150038898</v>
      </c>
      <c r="O725" s="1463">
        <v>45947</v>
      </c>
      <c r="P725" s="1464">
        <f t="shared" ca="1" si="24"/>
        <v>121</v>
      </c>
      <c r="Q725" s="1463">
        <v>45948</v>
      </c>
      <c r="R725" s="1465" t="s">
        <v>2641</v>
      </c>
      <c r="S725" s="1461"/>
      <c r="T725" s="1461">
        <v>0</v>
      </c>
      <c r="U725" s="1466">
        <v>45953</v>
      </c>
      <c r="V725" s="1467" t="s">
        <v>310</v>
      </c>
      <c r="W725" s="1461">
        <v>200</v>
      </c>
      <c r="X725" s="1467" t="s">
        <v>32</v>
      </c>
      <c r="Y725" s="1468" t="s">
        <v>343</v>
      </c>
      <c r="Z725" s="1469"/>
      <c r="AA725" s="1470" t="s">
        <v>532</v>
      </c>
      <c r="AB725" s="1470" t="s">
        <v>16</v>
      </c>
      <c r="AC725" s="1470" t="s">
        <v>3729</v>
      </c>
    </row>
    <row r="726" spans="1:29" ht="15" customHeight="1">
      <c r="A726" s="1350" t="s">
        <v>25</v>
      </c>
      <c r="B726" s="1350" t="s">
        <v>25</v>
      </c>
      <c r="C726" s="985" t="s">
        <v>3571</v>
      </c>
      <c r="D726" s="985" t="s">
        <v>3572</v>
      </c>
      <c r="E726" s="985" t="s">
        <v>3053</v>
      </c>
      <c r="F726" s="985">
        <v>140991828</v>
      </c>
      <c r="G726" s="985">
        <v>757000210</v>
      </c>
      <c r="H726" s="986">
        <v>5.8101500000000001</v>
      </c>
      <c r="I726" s="986">
        <v>-5.3663100000000004</v>
      </c>
      <c r="J726" s="985" t="s">
        <v>2612</v>
      </c>
      <c r="K726" s="986" t="s">
        <v>203</v>
      </c>
      <c r="L726" s="986" t="s">
        <v>3615</v>
      </c>
      <c r="M726" s="986" t="s">
        <v>3693</v>
      </c>
      <c r="N726" s="986">
        <v>2150038896</v>
      </c>
      <c r="O726" s="839">
        <v>45947</v>
      </c>
      <c r="P726" s="1351">
        <f t="shared" ca="1" si="24"/>
        <v>121</v>
      </c>
      <c r="Q726" s="839">
        <v>45948</v>
      </c>
      <c r="R726" s="1328" t="s">
        <v>2641</v>
      </c>
      <c r="S726" s="986"/>
      <c r="T726" s="986">
        <v>3</v>
      </c>
      <c r="U726" s="991">
        <v>45953</v>
      </c>
      <c r="V726" s="989" t="s">
        <v>310</v>
      </c>
      <c r="W726" s="986">
        <v>250</v>
      </c>
      <c r="X726" s="989" t="s">
        <v>32</v>
      </c>
      <c r="Y726" s="986" t="s">
        <v>193</v>
      </c>
      <c r="Z726" s="237"/>
      <c r="AA726" s="844" t="s">
        <v>532</v>
      </c>
      <c r="AB726" s="844" t="s">
        <v>16</v>
      </c>
      <c r="AC726" s="844" t="s">
        <v>3653</v>
      </c>
    </row>
    <row r="727" spans="1:29" ht="15" customHeight="1">
      <c r="A727" s="1350" t="s">
        <v>25</v>
      </c>
      <c r="B727" s="1350" t="s">
        <v>25</v>
      </c>
      <c r="C727" s="2225" t="s">
        <v>3639</v>
      </c>
      <c r="D727" s="2225" t="s">
        <v>3640</v>
      </c>
      <c r="E727" s="2225" t="s">
        <v>3641</v>
      </c>
      <c r="F727" s="2225">
        <v>103030903</v>
      </c>
      <c r="G727" s="2225">
        <v>758191939</v>
      </c>
      <c r="H727" s="986">
        <v>5.8130600000000001</v>
      </c>
      <c r="I727" s="986">
        <v>-5.3702399999999999</v>
      </c>
      <c r="J727" s="2225" t="s">
        <v>2612</v>
      </c>
      <c r="K727" s="986" t="s">
        <v>203</v>
      </c>
      <c r="L727" s="986" t="s">
        <v>3617</v>
      </c>
      <c r="M727" s="986" t="s">
        <v>3695</v>
      </c>
      <c r="N727" s="986">
        <v>2150038930</v>
      </c>
      <c r="O727" s="2226">
        <v>45950</v>
      </c>
      <c r="P727" s="986"/>
      <c r="Q727" s="2226">
        <v>45951</v>
      </c>
      <c r="R727" s="1328" t="s">
        <v>2641</v>
      </c>
      <c r="S727" s="986"/>
      <c r="T727" s="986">
        <v>2</v>
      </c>
      <c r="U727" s="991">
        <v>45953</v>
      </c>
      <c r="V727" s="989" t="s">
        <v>310</v>
      </c>
      <c r="W727" s="986">
        <v>200</v>
      </c>
      <c r="X727" s="989" t="s">
        <v>32</v>
      </c>
      <c r="Y727" s="986" t="s">
        <v>193</v>
      </c>
      <c r="Z727" s="237"/>
      <c r="AA727" s="844" t="s">
        <v>532</v>
      </c>
      <c r="AB727" s="844" t="s">
        <v>16</v>
      </c>
      <c r="AC727" s="844" t="s">
        <v>3650</v>
      </c>
    </row>
    <row r="728" spans="1:29" ht="15" customHeight="1">
      <c r="A728" s="843" t="s">
        <v>25</v>
      </c>
      <c r="B728" s="843" t="s">
        <v>25</v>
      </c>
      <c r="C728" s="843" t="s">
        <v>3285</v>
      </c>
      <c r="D728" s="843" t="s">
        <v>3286</v>
      </c>
      <c r="E728" s="843" t="s">
        <v>3287</v>
      </c>
      <c r="F728" s="843">
        <v>708239900</v>
      </c>
      <c r="G728" s="843">
        <v>546537744</v>
      </c>
      <c r="H728" s="844">
        <v>5.8254799999999998</v>
      </c>
      <c r="I728" s="844">
        <v>-5.3585900000000004</v>
      </c>
      <c r="J728" s="843" t="s">
        <v>2612</v>
      </c>
      <c r="K728" s="844" t="s">
        <v>274</v>
      </c>
      <c r="L728" s="844" t="s">
        <v>3552</v>
      </c>
      <c r="M728" s="237" t="s">
        <v>3582</v>
      </c>
      <c r="N728" s="237">
        <v>2150038712</v>
      </c>
      <c r="O728" s="845">
        <v>45930</v>
      </c>
      <c r="P728" s="844">
        <v>17</v>
      </c>
      <c r="Q728" s="845">
        <v>45931</v>
      </c>
      <c r="R728" s="237" t="s">
        <v>273</v>
      </c>
      <c r="S728" s="237"/>
      <c r="T728" s="237">
        <v>1</v>
      </c>
      <c r="U728" s="846">
        <v>45954</v>
      </c>
      <c r="V728" s="237" t="s">
        <v>310</v>
      </c>
      <c r="W728" s="237">
        <v>200</v>
      </c>
      <c r="X728" s="237" t="s">
        <v>32</v>
      </c>
      <c r="Y728" s="237" t="s">
        <v>193</v>
      </c>
      <c r="Z728" s="237"/>
      <c r="AA728" s="844" t="s">
        <v>532</v>
      </c>
      <c r="AB728" s="844" t="s">
        <v>16</v>
      </c>
      <c r="AC728" s="844" t="s">
        <v>3612</v>
      </c>
    </row>
    <row r="729" spans="1:29" ht="15" hidden="1" customHeight="1" thickBot="1">
      <c r="A729" s="1821" t="s">
        <v>25</v>
      </c>
      <c r="B729" s="1822" t="s">
        <v>25</v>
      </c>
      <c r="C729" s="1822" t="s">
        <v>3342</v>
      </c>
      <c r="D729" s="1822" t="s">
        <v>3343</v>
      </c>
      <c r="E729" s="1822" t="s">
        <v>402</v>
      </c>
      <c r="F729" s="1822">
        <v>779577445</v>
      </c>
      <c r="G729" s="1822">
        <v>544100375</v>
      </c>
      <c r="H729" s="1823">
        <v>5.8462699999999996</v>
      </c>
      <c r="I729" s="1823">
        <v>-5.3655600000000003</v>
      </c>
      <c r="J729" s="1822" t="s">
        <v>36</v>
      </c>
      <c r="K729" s="1823" t="s">
        <v>190</v>
      </c>
      <c r="L729" s="1823" t="s">
        <v>579</v>
      </c>
      <c r="M729" s="1824" t="s">
        <v>3715</v>
      </c>
      <c r="N729" s="1824">
        <v>2150038905</v>
      </c>
      <c r="O729" s="1825">
        <v>45936</v>
      </c>
      <c r="P729" s="1823">
        <v>17</v>
      </c>
      <c r="Q729" s="1825">
        <v>45937</v>
      </c>
      <c r="R729" s="1826" t="s">
        <v>2641</v>
      </c>
      <c r="S729" s="1827"/>
      <c r="T729" s="1823">
        <v>3</v>
      </c>
      <c r="U729" s="1828">
        <v>45954</v>
      </c>
      <c r="V729" s="1826" t="s">
        <v>310</v>
      </c>
      <c r="W729" s="1823">
        <v>350</v>
      </c>
      <c r="X729" s="1826" t="s">
        <v>32</v>
      </c>
      <c r="Y729" s="1829" t="s">
        <v>627</v>
      </c>
      <c r="Z729" s="1824"/>
      <c r="AA729" s="1823" t="s">
        <v>532</v>
      </c>
      <c r="AB729" s="1823" t="s">
        <v>16</v>
      </c>
      <c r="AC729" s="1823" t="s">
        <v>3732</v>
      </c>
    </row>
    <row r="730" spans="1:29" ht="15" customHeight="1">
      <c r="A730" s="843" t="s">
        <v>25</v>
      </c>
      <c r="B730" s="843" t="s">
        <v>25</v>
      </c>
      <c r="C730" s="843" t="s">
        <v>3417</v>
      </c>
      <c r="D730" s="843" t="s">
        <v>3418</v>
      </c>
      <c r="E730" s="843" t="s">
        <v>3400</v>
      </c>
      <c r="F730" s="843">
        <v>505337067</v>
      </c>
      <c r="G730" s="843">
        <v>707844992</v>
      </c>
      <c r="H730" s="844">
        <v>5.82463</v>
      </c>
      <c r="I730" s="844">
        <v>-5.3623900000000004</v>
      </c>
      <c r="J730" s="843" t="s">
        <v>2612</v>
      </c>
      <c r="K730" s="844" t="s">
        <v>198</v>
      </c>
      <c r="L730" s="844" t="s">
        <v>3605</v>
      </c>
      <c r="M730" s="237" t="s">
        <v>3734</v>
      </c>
      <c r="N730" s="237">
        <v>2150038897</v>
      </c>
      <c r="O730" s="845">
        <v>45939</v>
      </c>
      <c r="P730" s="844">
        <v>13</v>
      </c>
      <c r="Q730" s="845">
        <v>45941</v>
      </c>
      <c r="R730" s="237" t="s">
        <v>2641</v>
      </c>
      <c r="S730" s="844"/>
      <c r="T730" s="844">
        <v>1</v>
      </c>
      <c r="U730" s="846">
        <v>45954</v>
      </c>
      <c r="V730" s="237" t="s">
        <v>310</v>
      </c>
      <c r="W730" s="844">
        <v>200</v>
      </c>
      <c r="X730" s="237" t="s">
        <v>32</v>
      </c>
      <c r="Y730" s="237" t="s">
        <v>193</v>
      </c>
      <c r="Z730" s="237"/>
      <c r="AA730" s="844" t="s">
        <v>532</v>
      </c>
      <c r="AB730" s="844" t="s">
        <v>16</v>
      </c>
      <c r="AC730" s="844" t="s">
        <v>3618</v>
      </c>
    </row>
    <row r="731" spans="1:29" ht="15" hidden="1" customHeight="1" thickBot="1">
      <c r="A731" s="1821" t="s">
        <v>25</v>
      </c>
      <c r="B731" s="1822" t="s">
        <v>25</v>
      </c>
      <c r="C731" s="1822" t="s">
        <v>3549</v>
      </c>
      <c r="D731" s="1822" t="s">
        <v>3550</v>
      </c>
      <c r="E731" s="1822" t="s">
        <v>3551</v>
      </c>
      <c r="F731" s="1822">
        <v>171657783</v>
      </c>
      <c r="G731" s="1822">
        <v>777957393</v>
      </c>
      <c r="H731" s="1823">
        <v>5.8527100000000001</v>
      </c>
      <c r="I731" s="1823">
        <v>-5.3480600000000003</v>
      </c>
      <c r="J731" s="1822" t="s">
        <v>189</v>
      </c>
      <c r="K731" s="1823" t="s">
        <v>198</v>
      </c>
      <c r="L731" s="1823" t="s">
        <v>1085</v>
      </c>
      <c r="M731" s="1829" t="s">
        <v>3730</v>
      </c>
      <c r="N731" s="1824">
        <v>2150038907</v>
      </c>
      <c r="O731" s="1825">
        <v>45946</v>
      </c>
      <c r="P731" s="1823">
        <v>7</v>
      </c>
      <c r="Q731" s="1825">
        <v>45947</v>
      </c>
      <c r="R731" s="1826" t="s">
        <v>2641</v>
      </c>
      <c r="S731" s="1827"/>
      <c r="T731" s="1823">
        <v>0</v>
      </c>
      <c r="U731" s="1828">
        <v>45954</v>
      </c>
      <c r="V731" s="1826" t="s">
        <v>310</v>
      </c>
      <c r="W731" s="1823">
        <v>300</v>
      </c>
      <c r="X731" s="1826" t="s">
        <v>32</v>
      </c>
      <c r="Y731" s="1829" t="s">
        <v>245</v>
      </c>
      <c r="Z731" s="1824"/>
      <c r="AA731" s="1823" t="s">
        <v>532</v>
      </c>
      <c r="AB731" s="1823" t="s">
        <v>16</v>
      </c>
      <c r="AC731" s="1823" t="s">
        <v>3606</v>
      </c>
    </row>
    <row r="732" spans="1:29" ht="15" customHeight="1">
      <c r="A732" s="843" t="s">
        <v>25</v>
      </c>
      <c r="B732" s="843" t="s">
        <v>25</v>
      </c>
      <c r="C732" s="843" t="s">
        <v>3532</v>
      </c>
      <c r="D732" s="843" t="s">
        <v>3533</v>
      </c>
      <c r="E732" s="843" t="s">
        <v>3534</v>
      </c>
      <c r="F732" s="843">
        <v>150878814</v>
      </c>
      <c r="G732" s="843">
        <v>768336421</v>
      </c>
      <c r="H732" s="844">
        <v>5.82463</v>
      </c>
      <c r="I732" s="844">
        <v>-5.3623900000000004</v>
      </c>
      <c r="J732" s="843" t="s">
        <v>2612</v>
      </c>
      <c r="K732" s="844" t="s">
        <v>198</v>
      </c>
      <c r="L732" s="844" t="s">
        <v>3603</v>
      </c>
      <c r="M732" s="237" t="s">
        <v>3735</v>
      </c>
      <c r="N732" s="237">
        <v>2150038901</v>
      </c>
      <c r="O732" s="845">
        <v>45943</v>
      </c>
      <c r="P732" s="844">
        <v>7</v>
      </c>
      <c r="Q732" s="845">
        <v>45947</v>
      </c>
      <c r="R732" s="237" t="s">
        <v>2641</v>
      </c>
      <c r="S732" s="844"/>
      <c r="T732" s="844">
        <v>4</v>
      </c>
      <c r="U732" s="846">
        <v>45954</v>
      </c>
      <c r="V732" s="237" t="s">
        <v>310</v>
      </c>
      <c r="W732" s="844">
        <v>350</v>
      </c>
      <c r="X732" s="237" t="s">
        <v>32</v>
      </c>
      <c r="Y732" s="237" t="s">
        <v>193</v>
      </c>
      <c r="Z732" s="237"/>
      <c r="AA732" s="844" t="s">
        <v>532</v>
      </c>
      <c r="AB732" s="844" t="s">
        <v>16</v>
      </c>
      <c r="AC732" s="844" t="s">
        <v>3604</v>
      </c>
    </row>
    <row r="733" spans="1:29" s="634" customFormat="1" ht="13.2" customHeight="1">
      <c r="A733" s="843" t="s">
        <v>25</v>
      </c>
      <c r="B733" s="843" t="s">
        <v>25</v>
      </c>
      <c r="C733" s="843" t="s">
        <v>3567</v>
      </c>
      <c r="D733" s="843" t="s">
        <v>3568</v>
      </c>
      <c r="E733" s="843" t="s">
        <v>3053</v>
      </c>
      <c r="F733" s="843">
        <v>757016107</v>
      </c>
      <c r="G733" s="843">
        <v>506240703</v>
      </c>
      <c r="H733" s="844">
        <v>5.8124000000000002</v>
      </c>
      <c r="I733" s="844">
        <v>-5.3705600000000002</v>
      </c>
      <c r="J733" s="843" t="s">
        <v>2612</v>
      </c>
      <c r="K733" s="844" t="s">
        <v>203</v>
      </c>
      <c r="L733" s="844" t="s">
        <v>3617</v>
      </c>
      <c r="M733" s="237" t="s">
        <v>3733</v>
      </c>
      <c r="N733" s="237">
        <v>2150038766</v>
      </c>
      <c r="O733" s="845">
        <v>45947</v>
      </c>
      <c r="P733" s="844">
        <v>6</v>
      </c>
      <c r="Q733" s="845">
        <v>45948</v>
      </c>
      <c r="R733" s="237" t="s">
        <v>2641</v>
      </c>
      <c r="S733" s="844"/>
      <c r="T733" s="844">
        <v>1</v>
      </c>
      <c r="U733" s="846">
        <v>45954</v>
      </c>
      <c r="V733" s="237" t="s">
        <v>310</v>
      </c>
      <c r="W733" s="844">
        <v>300</v>
      </c>
      <c r="X733" s="237" t="s">
        <v>32</v>
      </c>
      <c r="Y733" s="237" t="s">
        <v>193</v>
      </c>
      <c r="Z733" s="1"/>
      <c r="AA733" s="1" t="s">
        <v>532</v>
      </c>
      <c r="AB733" s="1" t="s">
        <v>16</v>
      </c>
      <c r="AC733" s="1345" t="s">
        <v>3608</v>
      </c>
    </row>
    <row r="734" spans="1:29" s="634" customFormat="1" ht="15" customHeight="1">
      <c r="A734" s="843" t="s">
        <v>25</v>
      </c>
      <c r="B734" s="843" t="s">
        <v>25</v>
      </c>
      <c r="C734" s="1097" t="s">
        <v>3630</v>
      </c>
      <c r="D734" s="1097" t="s">
        <v>3631</v>
      </c>
      <c r="E734" s="1097" t="s">
        <v>3326</v>
      </c>
      <c r="F734" s="1097">
        <v>719474976</v>
      </c>
      <c r="G734" s="1097">
        <v>503424797</v>
      </c>
      <c r="H734" s="844">
        <v>5.8114100000000004</v>
      </c>
      <c r="I734" s="844">
        <v>-5.3655299999999997</v>
      </c>
      <c r="J734" s="1097" t="s">
        <v>2612</v>
      </c>
      <c r="K734" s="844" t="s">
        <v>203</v>
      </c>
      <c r="L734" s="844" t="s">
        <v>3652</v>
      </c>
      <c r="M734" s="237" t="s">
        <v>3719</v>
      </c>
      <c r="N734" s="237">
        <v>2150038768</v>
      </c>
      <c r="O734" s="1169">
        <v>45950</v>
      </c>
      <c r="P734" s="844"/>
      <c r="Q734" s="1169">
        <v>45951</v>
      </c>
      <c r="R734" s="237" t="s">
        <v>2641</v>
      </c>
      <c r="S734" s="844"/>
      <c r="T734" s="844">
        <v>1</v>
      </c>
      <c r="U734" s="846">
        <v>45954</v>
      </c>
      <c r="V734" s="237" t="s">
        <v>310</v>
      </c>
      <c r="W734" s="844">
        <v>200</v>
      </c>
      <c r="X734" s="237" t="s">
        <v>32</v>
      </c>
      <c r="Y734" s="237" t="s">
        <v>193</v>
      </c>
      <c r="Z734" s="1"/>
      <c r="AA734" s="1" t="s">
        <v>532</v>
      </c>
      <c r="AB734" s="1" t="s">
        <v>16</v>
      </c>
      <c r="AC734" s="1345" t="s">
        <v>3726</v>
      </c>
    </row>
    <row r="735" spans="1:29" s="634" customFormat="1" ht="15" customHeight="1">
      <c r="A735" s="843" t="s">
        <v>25</v>
      </c>
      <c r="B735" s="843" t="s">
        <v>25</v>
      </c>
      <c r="C735" s="1097" t="s">
        <v>3635</v>
      </c>
      <c r="D735" s="1097" t="s">
        <v>3636</v>
      </c>
      <c r="E735" s="1097" t="s">
        <v>3053</v>
      </c>
      <c r="F735" s="1097">
        <v>171558814</v>
      </c>
      <c r="G735" s="1097">
        <v>747698877</v>
      </c>
      <c r="H735" s="844">
        <v>5.8127800000000001</v>
      </c>
      <c r="I735" s="844">
        <v>-5.3653300000000002</v>
      </c>
      <c r="J735" s="1097" t="s">
        <v>2612</v>
      </c>
      <c r="K735" s="844" t="s">
        <v>203</v>
      </c>
      <c r="L735" s="844" t="s">
        <v>3649</v>
      </c>
      <c r="M735" s="237" t="s">
        <v>3716</v>
      </c>
      <c r="N735" s="237">
        <v>2150038904</v>
      </c>
      <c r="O735" s="1169">
        <v>45950</v>
      </c>
      <c r="P735" s="844"/>
      <c r="Q735" s="1169">
        <v>45951</v>
      </c>
      <c r="R735" s="237" t="s">
        <v>2641</v>
      </c>
      <c r="S735" s="844"/>
      <c r="T735" s="844">
        <v>1</v>
      </c>
      <c r="U735" s="846">
        <v>45954</v>
      </c>
      <c r="V735" s="237" t="s">
        <v>310</v>
      </c>
      <c r="W735" s="844">
        <v>100</v>
      </c>
      <c r="X735" s="237" t="s">
        <v>32</v>
      </c>
      <c r="Y735" s="237" t="s">
        <v>193</v>
      </c>
      <c r="Z735" s="1"/>
      <c r="AA735" s="1" t="s">
        <v>532</v>
      </c>
      <c r="AB735" s="1" t="s">
        <v>16</v>
      </c>
      <c r="AC735" s="1345" t="s">
        <v>3627</v>
      </c>
    </row>
    <row r="736" spans="1:29" s="639" customFormat="1" ht="15" hidden="1" customHeight="1">
      <c r="A736" s="1830" t="s">
        <v>25</v>
      </c>
      <c r="B736" s="1830" t="s">
        <v>25</v>
      </c>
      <c r="C736" s="1831" t="s">
        <v>3632</v>
      </c>
      <c r="D736" s="1831" t="s">
        <v>3633</v>
      </c>
      <c r="E736" s="1831" t="s">
        <v>3634</v>
      </c>
      <c r="F736" s="1831">
        <v>758819614</v>
      </c>
      <c r="G736" s="1831">
        <v>715756041</v>
      </c>
      <c r="H736" s="1832">
        <v>5.8547200000000004</v>
      </c>
      <c r="I736" s="1832">
        <v>-5.3480600000000003</v>
      </c>
      <c r="J736" s="1831" t="s">
        <v>189</v>
      </c>
      <c r="K736" s="1832" t="s">
        <v>198</v>
      </c>
      <c r="L736" s="1832" t="s">
        <v>3667</v>
      </c>
      <c r="M736" s="1832" t="s">
        <v>3731</v>
      </c>
      <c r="N736" s="1832">
        <v>2150038906</v>
      </c>
      <c r="O736" s="1833">
        <v>45950</v>
      </c>
      <c r="P736" s="1834"/>
      <c r="Q736" s="1833">
        <v>45951</v>
      </c>
      <c r="R736" s="1835" t="s">
        <v>2641</v>
      </c>
      <c r="S736" s="1834"/>
      <c r="T736" s="1832">
        <v>2</v>
      </c>
      <c r="U736" s="1836">
        <v>45954</v>
      </c>
      <c r="V736" s="1835" t="s">
        <v>310</v>
      </c>
      <c r="W736" s="1832">
        <v>300</v>
      </c>
      <c r="X736" s="1835" t="s">
        <v>32</v>
      </c>
      <c r="Y736" s="1241" t="s">
        <v>193</v>
      </c>
      <c r="Z736" s="643"/>
      <c r="AA736" s="1770" t="s">
        <v>532</v>
      </c>
      <c r="AB736" s="1770" t="s">
        <v>16</v>
      </c>
      <c r="AC736" s="1776" t="s">
        <v>3720</v>
      </c>
    </row>
    <row r="737" spans="1:29" s="639" customFormat="1" ht="15" hidden="1" customHeight="1">
      <c r="A737" s="713" t="s">
        <v>25</v>
      </c>
      <c r="B737" s="713" t="s">
        <v>25</v>
      </c>
      <c r="C737" s="713" t="s">
        <v>2541</v>
      </c>
      <c r="D737" s="713" t="s">
        <v>1006</v>
      </c>
      <c r="E737" s="713" t="s">
        <v>35</v>
      </c>
      <c r="F737" s="847">
        <v>708858764</v>
      </c>
      <c r="G737" s="380">
        <v>708858764</v>
      </c>
      <c r="H737" s="374">
        <v>5.8411200000000001</v>
      </c>
      <c r="I737" s="374">
        <v>-5.3572499999999996</v>
      </c>
      <c r="J737" s="713" t="s">
        <v>36</v>
      </c>
      <c r="K737" s="374" t="s">
        <v>190</v>
      </c>
      <c r="L737" s="374" t="s">
        <v>2597</v>
      </c>
      <c r="M737" s="848" t="s">
        <v>3587</v>
      </c>
      <c r="N737" s="849">
        <v>2150038923</v>
      </c>
      <c r="O737" s="914">
        <v>45862</v>
      </c>
      <c r="P737" s="377">
        <f t="shared" ref="P737:P742" ca="1" si="25">TODAY()-Q737</f>
        <v>205</v>
      </c>
      <c r="Q737" s="381">
        <v>45864</v>
      </c>
      <c r="R737" s="374" t="s">
        <v>273</v>
      </c>
      <c r="S737" s="374"/>
      <c r="T737" s="374">
        <v>1</v>
      </c>
      <c r="U737" s="378">
        <v>45958</v>
      </c>
      <c r="V737" s="374" t="s">
        <v>310</v>
      </c>
      <c r="W737" s="374">
        <v>350</v>
      </c>
      <c r="X737" s="380" t="s">
        <v>32</v>
      </c>
      <c r="Y737" s="640" t="s">
        <v>343</v>
      </c>
      <c r="Z737" s="643"/>
      <c r="AA737" s="410" t="s">
        <v>532</v>
      </c>
      <c r="AB737" s="410" t="s">
        <v>16</v>
      </c>
      <c r="AC737" s="802" t="s">
        <v>3744</v>
      </c>
    </row>
    <row r="738" spans="1:29" s="639" customFormat="1" ht="15" hidden="1" customHeight="1">
      <c r="A738" s="1471" t="s">
        <v>25</v>
      </c>
      <c r="B738" s="1471" t="s">
        <v>25</v>
      </c>
      <c r="C738" s="1472" t="s">
        <v>3283</v>
      </c>
      <c r="D738" s="1472" t="s">
        <v>3284</v>
      </c>
      <c r="E738" s="1472" t="s">
        <v>2209</v>
      </c>
      <c r="F738" s="1472">
        <v>707313198</v>
      </c>
      <c r="G738" s="1472">
        <v>707313198</v>
      </c>
      <c r="H738" s="1420">
        <v>5.8379899999999996</v>
      </c>
      <c r="I738" s="1420">
        <v>-5.35175</v>
      </c>
      <c r="J738" s="1472" t="s">
        <v>189</v>
      </c>
      <c r="K738" s="1420" t="s">
        <v>190</v>
      </c>
      <c r="L738" s="1420" t="s">
        <v>3745</v>
      </c>
      <c r="M738" s="1420" t="s">
        <v>3771</v>
      </c>
      <c r="N738" s="1420">
        <v>2150038755</v>
      </c>
      <c r="O738" s="1473">
        <v>45930</v>
      </c>
      <c r="P738" s="1474">
        <f t="shared" ca="1" si="25"/>
        <v>138</v>
      </c>
      <c r="Q738" s="1473">
        <v>45931</v>
      </c>
      <c r="R738" s="1421" t="s">
        <v>273</v>
      </c>
      <c r="S738" s="1421"/>
      <c r="T738" s="1421">
        <v>1</v>
      </c>
      <c r="U738" s="1475">
        <v>45958</v>
      </c>
      <c r="V738" s="1476" t="s">
        <v>310</v>
      </c>
      <c r="W738" s="1421">
        <v>150</v>
      </c>
      <c r="X738" s="1476" t="s">
        <v>32</v>
      </c>
      <c r="Y738" s="640" t="s">
        <v>193</v>
      </c>
      <c r="Z738" s="643"/>
      <c r="AA738" s="683" t="s">
        <v>532</v>
      </c>
      <c r="AB738" s="683" t="s">
        <v>16</v>
      </c>
      <c r="AC738" s="810" t="s">
        <v>3728</v>
      </c>
    </row>
    <row r="739" spans="1:29" s="634" customFormat="1" ht="15" customHeight="1">
      <c r="A739" s="885" t="s">
        <v>25</v>
      </c>
      <c r="B739" s="885" t="s">
        <v>25</v>
      </c>
      <c r="C739" s="10" t="s">
        <v>3504</v>
      </c>
      <c r="D739" s="10" t="s">
        <v>3505</v>
      </c>
      <c r="E739" s="10" t="s">
        <v>3403</v>
      </c>
      <c r="F739" s="10">
        <v>171760945</v>
      </c>
      <c r="G739" s="10">
        <v>749107503</v>
      </c>
      <c r="H739" s="1">
        <v>5.8257399999999997</v>
      </c>
      <c r="I739" s="1">
        <v>-5.3633800000000003</v>
      </c>
      <c r="J739" s="10" t="s">
        <v>2612</v>
      </c>
      <c r="K739" s="1" t="s">
        <v>198</v>
      </c>
      <c r="L739" s="1" t="s">
        <v>3607</v>
      </c>
      <c r="M739" s="1" t="s">
        <v>3757</v>
      </c>
      <c r="N739" s="1">
        <v>2150038909</v>
      </c>
      <c r="O739" s="11">
        <v>45945</v>
      </c>
      <c r="P739" s="6">
        <f t="shared" ca="1" si="25"/>
        <v>123</v>
      </c>
      <c r="Q739" s="11">
        <v>45946</v>
      </c>
      <c r="R739" s="93" t="s">
        <v>2641</v>
      </c>
      <c r="S739" s="1"/>
      <c r="T739" s="1">
        <v>1</v>
      </c>
      <c r="U739" s="728">
        <v>45958</v>
      </c>
      <c r="V739" s="729" t="s">
        <v>310</v>
      </c>
      <c r="W739" s="1">
        <v>200</v>
      </c>
      <c r="X739" s="729" t="s">
        <v>32</v>
      </c>
      <c r="Y739" s="1" t="s">
        <v>193</v>
      </c>
      <c r="Z739" s="1"/>
      <c r="AA739" s="1" t="s">
        <v>532</v>
      </c>
      <c r="AB739" s="1" t="s">
        <v>16</v>
      </c>
      <c r="AC739" s="1345" t="s">
        <v>3743</v>
      </c>
    </row>
    <row r="740" spans="1:29" s="634" customFormat="1" ht="15" customHeight="1">
      <c r="A740" s="885" t="s">
        <v>25</v>
      </c>
      <c r="B740" s="885" t="s">
        <v>25</v>
      </c>
      <c r="C740" s="10" t="s">
        <v>3537</v>
      </c>
      <c r="D740" s="10" t="s">
        <v>3538</v>
      </c>
      <c r="E740" s="10" t="s">
        <v>3426</v>
      </c>
      <c r="F740" s="10">
        <v>140668658</v>
      </c>
      <c r="G740" s="10">
        <v>140668658</v>
      </c>
      <c r="H740" s="1">
        <v>5.8267300000000004</v>
      </c>
      <c r="I740" s="1">
        <v>-5.3635999999999999</v>
      </c>
      <c r="J740" s="10" t="s">
        <v>2612</v>
      </c>
      <c r="K740" s="1" t="s">
        <v>198</v>
      </c>
      <c r="L740" s="1" t="s">
        <v>3725</v>
      </c>
      <c r="M740" s="4" t="s">
        <v>3736</v>
      </c>
      <c r="N740" s="4">
        <v>2150038908</v>
      </c>
      <c r="O740" s="11">
        <v>45945</v>
      </c>
      <c r="P740" s="6">
        <f t="shared" ca="1" si="25"/>
        <v>122</v>
      </c>
      <c r="Q740" s="11">
        <v>45947</v>
      </c>
      <c r="R740" s="93" t="s">
        <v>2641</v>
      </c>
      <c r="S740" s="1"/>
      <c r="T740" s="1">
        <v>0</v>
      </c>
      <c r="U740" s="728">
        <v>45958</v>
      </c>
      <c r="V740" s="729" t="s">
        <v>310</v>
      </c>
      <c r="W740" s="1">
        <v>200</v>
      </c>
      <c r="X740" s="729" t="s">
        <v>32</v>
      </c>
      <c r="Y740" s="1" t="s">
        <v>193</v>
      </c>
      <c r="Z740" s="1"/>
      <c r="AA740" s="1" t="s">
        <v>532</v>
      </c>
      <c r="AB740" s="1" t="s">
        <v>16</v>
      </c>
      <c r="AC740" s="1" t="s">
        <v>3739</v>
      </c>
    </row>
    <row r="741" spans="1:29" s="639" customFormat="1" ht="15" hidden="1" customHeight="1">
      <c r="A741" s="1837" t="s">
        <v>25</v>
      </c>
      <c r="B741" s="1837" t="s">
        <v>25</v>
      </c>
      <c r="C741" s="1838" t="s">
        <v>3547</v>
      </c>
      <c r="D741" s="1838" t="s">
        <v>3548</v>
      </c>
      <c r="E741" s="1838" t="s">
        <v>2346</v>
      </c>
      <c r="F741" s="1838">
        <v>102027391</v>
      </c>
      <c r="G741" s="1838">
        <v>757570896</v>
      </c>
      <c r="H741" s="1839">
        <v>5.8444099999999999</v>
      </c>
      <c r="I741" s="1839">
        <v>-5.3545400000000001</v>
      </c>
      <c r="J741" s="1838" t="s">
        <v>189</v>
      </c>
      <c r="K741" s="1839" t="s">
        <v>274</v>
      </c>
      <c r="L741" s="1839" t="s">
        <v>2945</v>
      </c>
      <c r="M741" s="1840" t="s">
        <v>3769</v>
      </c>
      <c r="N741" s="1841">
        <v>2150038769</v>
      </c>
      <c r="O741" s="1842">
        <v>45946</v>
      </c>
      <c r="P741" s="1843">
        <f t="shared" ca="1" si="25"/>
        <v>122</v>
      </c>
      <c r="Q741" s="1842">
        <v>45947</v>
      </c>
      <c r="R741" s="1844" t="s">
        <v>2641</v>
      </c>
      <c r="S741" s="1839"/>
      <c r="T741" s="1839">
        <v>3</v>
      </c>
      <c r="U741" s="1845">
        <v>45958</v>
      </c>
      <c r="V741" s="1846" t="s">
        <v>310</v>
      </c>
      <c r="W741" s="1839">
        <v>300</v>
      </c>
      <c r="X741" s="1846" t="s">
        <v>32</v>
      </c>
      <c r="Y741" s="640" t="s">
        <v>228</v>
      </c>
      <c r="Z741" s="643"/>
      <c r="AA741" s="1770" t="s">
        <v>532</v>
      </c>
      <c r="AB741" s="1770" t="s">
        <v>16</v>
      </c>
      <c r="AC741" s="1776" t="s">
        <v>3724</v>
      </c>
    </row>
    <row r="742" spans="1:29" s="639" customFormat="1" ht="15" hidden="1" customHeight="1">
      <c r="A742" s="804" t="s">
        <v>25</v>
      </c>
      <c r="B742" s="804" t="s">
        <v>25</v>
      </c>
      <c r="C742" s="1107" t="s">
        <v>3565</v>
      </c>
      <c r="D742" s="1107" t="s">
        <v>3566</v>
      </c>
      <c r="E742" s="1107" t="s">
        <v>84</v>
      </c>
      <c r="F742" s="1107">
        <v>142429764</v>
      </c>
      <c r="G742" s="1107">
        <v>788390235</v>
      </c>
      <c r="H742" s="683">
        <v>5.8339600000000003</v>
      </c>
      <c r="I742" s="683">
        <v>-5.3623700000000003</v>
      </c>
      <c r="J742" s="1107" t="s">
        <v>36</v>
      </c>
      <c r="K742" s="683" t="s">
        <v>198</v>
      </c>
      <c r="L742" s="683" t="s">
        <v>1287</v>
      </c>
      <c r="M742" s="1477" t="s">
        <v>3717</v>
      </c>
      <c r="N742" s="1478">
        <v>2150038903</v>
      </c>
      <c r="O742" s="1479">
        <v>45946</v>
      </c>
      <c r="P742" s="806">
        <f t="shared" ca="1" si="25"/>
        <v>121</v>
      </c>
      <c r="Q742" s="1479">
        <v>45948</v>
      </c>
      <c r="R742" s="807" t="s">
        <v>2641</v>
      </c>
      <c r="S742" s="683"/>
      <c r="T742" s="683">
        <v>1</v>
      </c>
      <c r="U742" s="808">
        <v>45958</v>
      </c>
      <c r="V742" s="809" t="s">
        <v>310</v>
      </c>
      <c r="W742" s="683">
        <v>150</v>
      </c>
      <c r="X742" s="809" t="s">
        <v>32</v>
      </c>
      <c r="Y742" s="643" t="s">
        <v>245</v>
      </c>
      <c r="Z742" s="640"/>
      <c r="AA742" s="1420" t="s">
        <v>532</v>
      </c>
      <c r="AB742" s="1480" t="s">
        <v>16</v>
      </c>
      <c r="AC742" s="1481" t="s">
        <v>3556</v>
      </c>
    </row>
    <row r="743" spans="1:29" s="634" customFormat="1" ht="15" customHeight="1">
      <c r="A743" s="885" t="s">
        <v>25</v>
      </c>
      <c r="B743" s="885" t="s">
        <v>25</v>
      </c>
      <c r="C743" s="4" t="s">
        <v>3672</v>
      </c>
      <c r="D743" s="4" t="s">
        <v>3673</v>
      </c>
      <c r="E743" s="4" t="s">
        <v>3053</v>
      </c>
      <c r="F743" s="4">
        <v>707640492</v>
      </c>
      <c r="G743" s="4">
        <v>505293374</v>
      </c>
      <c r="H743" s="1">
        <v>5.8189200000000003</v>
      </c>
      <c r="I743" s="1">
        <v>-5.3640600000000003</v>
      </c>
      <c r="J743" s="4" t="s">
        <v>2612</v>
      </c>
      <c r="K743" s="1" t="s">
        <v>190</v>
      </c>
      <c r="L743" s="1" t="s">
        <v>3192</v>
      </c>
      <c r="M743" s="4" t="s">
        <v>3718</v>
      </c>
      <c r="N743" s="4">
        <v>2150038902</v>
      </c>
      <c r="O743" s="1352">
        <v>45951</v>
      </c>
      <c r="P743" s="1"/>
      <c r="Q743" s="1352">
        <v>45952</v>
      </c>
      <c r="R743" s="93" t="s">
        <v>2641</v>
      </c>
      <c r="S743" s="1"/>
      <c r="T743" s="1">
        <v>7</v>
      </c>
      <c r="U743" s="728">
        <v>45958</v>
      </c>
      <c r="V743" s="729" t="s">
        <v>310</v>
      </c>
      <c r="W743" s="1">
        <v>250</v>
      </c>
      <c r="X743" s="729" t="s">
        <v>32</v>
      </c>
      <c r="Y743" s="1" t="s">
        <v>578</v>
      </c>
      <c r="Z743" s="26"/>
      <c r="AA743" s="26" t="s">
        <v>532</v>
      </c>
      <c r="AB743" s="51" t="s">
        <v>16</v>
      </c>
      <c r="AC743" s="1038" t="s">
        <v>3746</v>
      </c>
    </row>
    <row r="744" spans="1:29" s="634" customFormat="1" ht="15" customHeight="1">
      <c r="A744" s="885" t="s">
        <v>25</v>
      </c>
      <c r="B744" s="885" t="s">
        <v>25</v>
      </c>
      <c r="C744" s="4" t="s">
        <v>3685</v>
      </c>
      <c r="D744" s="4" t="s">
        <v>3686</v>
      </c>
      <c r="E744" s="4" t="s">
        <v>3053</v>
      </c>
      <c r="F744" s="4">
        <v>757273976</v>
      </c>
      <c r="G744" s="4">
        <v>757273976</v>
      </c>
      <c r="H744" s="1">
        <v>5.8159999999999998</v>
      </c>
      <c r="I744" s="1">
        <v>-5.3662700000000001</v>
      </c>
      <c r="J744" s="4" t="s">
        <v>2612</v>
      </c>
      <c r="K744" s="1" t="s">
        <v>190</v>
      </c>
      <c r="L744" s="1" t="s">
        <v>3527</v>
      </c>
      <c r="M744" s="1" t="s">
        <v>3756</v>
      </c>
      <c r="N744" s="1">
        <v>2150038910</v>
      </c>
      <c r="O744" s="1352">
        <v>45951</v>
      </c>
      <c r="P744" s="1"/>
      <c r="Q744" s="1352">
        <v>45952</v>
      </c>
      <c r="R744" s="93" t="s">
        <v>2641</v>
      </c>
      <c r="S744" s="1"/>
      <c r="T744" s="1">
        <v>1</v>
      </c>
      <c r="U744" s="728">
        <v>45958</v>
      </c>
      <c r="V744" s="729" t="s">
        <v>310</v>
      </c>
      <c r="W744" s="1">
        <v>150</v>
      </c>
      <c r="X744" s="729" t="s">
        <v>32</v>
      </c>
      <c r="Y744" s="1" t="s">
        <v>228</v>
      </c>
      <c r="Z744" s="26"/>
      <c r="AA744" s="26" t="s">
        <v>532</v>
      </c>
      <c r="AB744" s="26" t="s">
        <v>16</v>
      </c>
      <c r="AC744" s="1038" t="s">
        <v>3666</v>
      </c>
    </row>
    <row r="745" spans="1:29" s="634" customFormat="1" ht="15" customHeight="1">
      <c r="A745" s="885" t="s">
        <v>25</v>
      </c>
      <c r="B745" s="885" t="s">
        <v>25</v>
      </c>
      <c r="C745" s="4" t="s">
        <v>3709</v>
      </c>
      <c r="D745" s="4" t="s">
        <v>3710</v>
      </c>
      <c r="E745" s="169" t="s">
        <v>3400</v>
      </c>
      <c r="F745" s="4">
        <v>757332628</v>
      </c>
      <c r="G745" s="4">
        <v>757332628</v>
      </c>
      <c r="H745" s="1">
        <v>5.8273999999999999</v>
      </c>
      <c r="I745" s="1">
        <v>-3.3647900000000002</v>
      </c>
      <c r="J745" s="4" t="s">
        <v>2612</v>
      </c>
      <c r="K745" s="1" t="s">
        <v>198</v>
      </c>
      <c r="L745" s="1" t="s">
        <v>3738</v>
      </c>
      <c r="M745" s="1" t="s">
        <v>3758</v>
      </c>
      <c r="N745" s="1">
        <v>2150038764</v>
      </c>
      <c r="O745" s="1352">
        <v>45952</v>
      </c>
      <c r="P745" s="1"/>
      <c r="Q745" s="1352">
        <v>45953</v>
      </c>
      <c r="R745" s="93" t="s">
        <v>2641</v>
      </c>
      <c r="S745" s="1"/>
      <c r="T745" s="1">
        <v>1</v>
      </c>
      <c r="U745" s="728">
        <v>45958</v>
      </c>
      <c r="V745" s="729" t="s">
        <v>310</v>
      </c>
      <c r="W745" s="1">
        <v>200</v>
      </c>
      <c r="X745" s="729" t="s">
        <v>32</v>
      </c>
      <c r="Y745" s="1" t="s">
        <v>193</v>
      </c>
      <c r="Z745" s="26"/>
      <c r="AA745" s="26" t="s">
        <v>532</v>
      </c>
      <c r="AB745" s="26" t="s">
        <v>16</v>
      </c>
      <c r="AC745" s="1038" t="s">
        <v>3740</v>
      </c>
    </row>
    <row r="746" spans="1:29" s="634" customFormat="1" ht="15" customHeight="1">
      <c r="A746" s="885" t="s">
        <v>25</v>
      </c>
      <c r="B746" s="885" t="s">
        <v>25</v>
      </c>
      <c r="C746" s="4" t="s">
        <v>3703</v>
      </c>
      <c r="D746" s="4" t="s">
        <v>3289</v>
      </c>
      <c r="E746" s="4" t="s">
        <v>3053</v>
      </c>
      <c r="F746" s="4">
        <v>143858873</v>
      </c>
      <c r="G746" s="4">
        <v>797498896</v>
      </c>
      <c r="H746" s="1">
        <v>5.8127300000000002</v>
      </c>
      <c r="I746" s="1">
        <v>-5.3666200000000002</v>
      </c>
      <c r="J746" s="4" t="s">
        <v>2612</v>
      </c>
      <c r="K746" s="1" t="s">
        <v>203</v>
      </c>
      <c r="L746" s="1" t="s">
        <v>3727</v>
      </c>
      <c r="M746" s="1" t="s">
        <v>3754</v>
      </c>
      <c r="N746" s="1">
        <v>2150038767</v>
      </c>
      <c r="O746" s="1352">
        <v>45952</v>
      </c>
      <c r="P746" s="1"/>
      <c r="Q746" s="1352">
        <v>45953</v>
      </c>
      <c r="R746" s="93" t="s">
        <v>2641</v>
      </c>
      <c r="S746" s="1"/>
      <c r="T746" s="1">
        <v>0</v>
      </c>
      <c r="U746" s="728">
        <v>45958</v>
      </c>
      <c r="V746" s="729" t="s">
        <v>310</v>
      </c>
      <c r="W746" s="1">
        <v>150</v>
      </c>
      <c r="X746" s="729" t="s">
        <v>32</v>
      </c>
      <c r="Y746" s="1" t="s">
        <v>193</v>
      </c>
      <c r="Z746" s="26"/>
      <c r="AA746" s="26" t="s">
        <v>532</v>
      </c>
      <c r="AB746" s="26" t="s">
        <v>16</v>
      </c>
      <c r="AC746" s="1038" t="s">
        <v>3768</v>
      </c>
    </row>
    <row r="747" spans="1:29" s="639" customFormat="1" ht="15" hidden="1" customHeight="1" thickBot="1">
      <c r="A747" s="1778" t="s">
        <v>25</v>
      </c>
      <c r="B747" s="1778" t="s">
        <v>25</v>
      </c>
      <c r="C747" s="1847" t="s">
        <v>3704</v>
      </c>
      <c r="D747" s="1847" t="s">
        <v>3705</v>
      </c>
      <c r="E747" s="1847" t="s">
        <v>3706</v>
      </c>
      <c r="F747" s="1847">
        <v>102706664</v>
      </c>
      <c r="G747" s="1847">
        <v>709111866</v>
      </c>
      <c r="H747" s="1780">
        <v>5.8331600000000003</v>
      </c>
      <c r="I747" s="1780">
        <v>-5.3635999999999999</v>
      </c>
      <c r="J747" s="1847" t="s">
        <v>36</v>
      </c>
      <c r="K747" s="1780" t="s">
        <v>203</v>
      </c>
      <c r="L747" s="1780" t="s">
        <v>408</v>
      </c>
      <c r="M747" s="1780" t="s">
        <v>3755</v>
      </c>
      <c r="N747" s="1780">
        <v>2150038911</v>
      </c>
      <c r="O747" s="1848">
        <v>45952</v>
      </c>
      <c r="P747" s="1780"/>
      <c r="Q747" s="1848">
        <v>45953</v>
      </c>
      <c r="R747" s="1849" t="s">
        <v>2641</v>
      </c>
      <c r="S747" s="1780"/>
      <c r="T747" s="1780">
        <v>0</v>
      </c>
      <c r="U747" s="1850">
        <v>45958</v>
      </c>
      <c r="V747" s="1851" t="s">
        <v>310</v>
      </c>
      <c r="W747" s="1780">
        <v>150</v>
      </c>
      <c r="X747" s="1851" t="s">
        <v>32</v>
      </c>
      <c r="Y747" s="643" t="s">
        <v>533</v>
      </c>
      <c r="Z747" s="640"/>
      <c r="AA747" s="1722" t="s">
        <v>532</v>
      </c>
      <c r="AB747" s="1722" t="s">
        <v>16</v>
      </c>
      <c r="AC747" s="1852" t="s">
        <v>3761</v>
      </c>
    </row>
    <row r="748" spans="1:29" s="634" customFormat="1" ht="15" customHeight="1">
      <c r="A748" s="1332" t="s">
        <v>25</v>
      </c>
      <c r="B748" s="1332" t="s">
        <v>25</v>
      </c>
      <c r="C748" s="48" t="s">
        <v>3707</v>
      </c>
      <c r="D748" s="48" t="s">
        <v>3708</v>
      </c>
      <c r="E748" s="48" t="s">
        <v>3400</v>
      </c>
      <c r="F748" s="48">
        <v>103072822</v>
      </c>
      <c r="G748" s="48">
        <v>707375325</v>
      </c>
      <c r="H748" s="26">
        <v>5.8212400000000004</v>
      </c>
      <c r="I748" s="26">
        <v>-5.3661899999999996</v>
      </c>
      <c r="J748" s="48" t="s">
        <v>2612</v>
      </c>
      <c r="K748" s="26" t="s">
        <v>198</v>
      </c>
      <c r="L748" s="26" t="s">
        <v>3738</v>
      </c>
      <c r="M748" s="26" t="s">
        <v>3770</v>
      </c>
      <c r="N748" s="26">
        <v>2150038771</v>
      </c>
      <c r="O748" s="2227">
        <v>45952</v>
      </c>
      <c r="P748" s="26"/>
      <c r="Q748" s="2227">
        <v>45953</v>
      </c>
      <c r="R748" s="51" t="s">
        <v>2641</v>
      </c>
      <c r="S748" s="26"/>
      <c r="T748" s="26">
        <v>2</v>
      </c>
      <c r="U748" s="45">
        <v>45958</v>
      </c>
      <c r="V748" s="658" t="s">
        <v>310</v>
      </c>
      <c r="W748" s="26">
        <v>250</v>
      </c>
      <c r="X748" s="658" t="s">
        <v>32</v>
      </c>
      <c r="Y748" s="26" t="s">
        <v>193</v>
      </c>
      <c r="Z748" s="179"/>
      <c r="AA748" s="179" t="s">
        <v>532</v>
      </c>
      <c r="AB748" s="179" t="s">
        <v>16</v>
      </c>
      <c r="AC748" s="179" t="s">
        <v>3766</v>
      </c>
    </row>
    <row r="749" spans="1:29" s="639" customFormat="1" ht="15" hidden="1" customHeight="1" thickBot="1">
      <c r="A749" s="1853" t="s">
        <v>25</v>
      </c>
      <c r="B749" s="1853" t="s">
        <v>25</v>
      </c>
      <c r="C749" s="1854" t="s">
        <v>3713</v>
      </c>
      <c r="D749" s="1854" t="s">
        <v>3714</v>
      </c>
      <c r="E749" s="1854" t="s">
        <v>1989</v>
      </c>
      <c r="F749" s="1854">
        <v>707790337</v>
      </c>
      <c r="G749" s="1854">
        <v>707790337</v>
      </c>
      <c r="H749" s="1855">
        <v>5.8479299999999999</v>
      </c>
      <c r="I749" s="1855">
        <v>-5.3476299999999997</v>
      </c>
      <c r="J749" s="1854" t="s">
        <v>189</v>
      </c>
      <c r="K749" s="1855" t="s">
        <v>274</v>
      </c>
      <c r="L749" s="1855" t="s">
        <v>3767</v>
      </c>
      <c r="M749" s="1855" t="s">
        <v>3772</v>
      </c>
      <c r="N749" s="1855">
        <v>2150038756</v>
      </c>
      <c r="O749" s="1856">
        <v>45952</v>
      </c>
      <c r="P749" s="1855"/>
      <c r="Q749" s="1856">
        <v>45953</v>
      </c>
      <c r="R749" s="1857" t="s">
        <v>2641</v>
      </c>
      <c r="S749" s="1855"/>
      <c r="T749" s="1855">
        <v>0</v>
      </c>
      <c r="U749" s="1858">
        <v>45958</v>
      </c>
      <c r="V749" s="1859" t="s">
        <v>310</v>
      </c>
      <c r="W749" s="1855">
        <v>100</v>
      </c>
      <c r="X749" s="1859" t="s">
        <v>32</v>
      </c>
      <c r="Y749" s="640" t="s">
        <v>193</v>
      </c>
      <c r="Z749" s="781"/>
      <c r="AA749" s="1860" t="s">
        <v>532</v>
      </c>
      <c r="AB749" s="1860" t="s">
        <v>16</v>
      </c>
      <c r="AC749" s="1860" t="s">
        <v>3764</v>
      </c>
    </row>
    <row r="750" spans="1:29" s="854" customFormat="1" ht="15" hidden="1" customHeight="1" thickBot="1">
      <c r="A750" s="1080" t="s">
        <v>25</v>
      </c>
      <c r="B750" s="1080" t="s">
        <v>25</v>
      </c>
      <c r="C750" s="1106" t="s">
        <v>3721</v>
      </c>
      <c r="D750" s="1106" t="s">
        <v>3722</v>
      </c>
      <c r="E750" s="1106" t="s">
        <v>3723</v>
      </c>
      <c r="F750" s="1106">
        <v>554121131</v>
      </c>
      <c r="G750" s="1106">
        <v>759256321</v>
      </c>
      <c r="H750" s="1124">
        <v>5.8436300000000001</v>
      </c>
      <c r="I750" s="1124">
        <v>-5.3513000000000002</v>
      </c>
      <c r="J750" s="1106" t="s">
        <v>36</v>
      </c>
      <c r="K750" s="1124" t="s">
        <v>203</v>
      </c>
      <c r="L750" s="1124" t="s">
        <v>1661</v>
      </c>
      <c r="M750" s="1141" t="s">
        <v>3737</v>
      </c>
      <c r="N750" s="1160">
        <v>2150038765</v>
      </c>
      <c r="O750" s="1183">
        <v>45953</v>
      </c>
      <c r="P750" s="1124"/>
      <c r="Q750" s="1183">
        <v>45954</v>
      </c>
      <c r="R750" s="1200" t="s">
        <v>2641</v>
      </c>
      <c r="S750" s="1124"/>
      <c r="T750" s="1124">
        <v>0</v>
      </c>
      <c r="U750" s="1220">
        <v>45958</v>
      </c>
      <c r="V750" s="1228" t="s">
        <v>310</v>
      </c>
      <c r="W750" s="1124">
        <v>100</v>
      </c>
      <c r="X750" s="1228" t="s">
        <v>32</v>
      </c>
      <c r="Y750" s="643" t="s">
        <v>627</v>
      </c>
      <c r="AA750" s="852" t="s">
        <v>532</v>
      </c>
      <c r="AB750" s="853" t="s">
        <v>16</v>
      </c>
      <c r="AC750" s="851" t="s">
        <v>3776</v>
      </c>
    </row>
    <row r="751" spans="1:29" s="854" customFormat="1" ht="15" hidden="1" customHeight="1" thickBot="1">
      <c r="A751" s="1482" t="s">
        <v>25</v>
      </c>
      <c r="B751" s="1482" t="s">
        <v>25</v>
      </c>
      <c r="C751" s="1483" t="s">
        <v>3759</v>
      </c>
      <c r="D751" s="1483" t="s">
        <v>1814</v>
      </c>
      <c r="E751" s="1483" t="s">
        <v>3760</v>
      </c>
      <c r="F751" s="1483">
        <v>102694727</v>
      </c>
      <c r="G751" s="1483">
        <v>757258629</v>
      </c>
      <c r="H751" s="1484">
        <v>5.8547500000000001</v>
      </c>
      <c r="I751" s="1484">
        <v>-5.3479200000000002</v>
      </c>
      <c r="J751" s="1484" t="s">
        <v>189</v>
      </c>
      <c r="K751" s="1484" t="s">
        <v>198</v>
      </c>
      <c r="L751" s="1484" t="s">
        <v>3667</v>
      </c>
      <c r="M751" s="1485" t="s">
        <v>3762</v>
      </c>
      <c r="N751" s="1486">
        <v>2150038757</v>
      </c>
      <c r="O751" s="1487">
        <v>45955</v>
      </c>
      <c r="P751" s="1484"/>
      <c r="Q751" s="1487">
        <v>45957</v>
      </c>
      <c r="R751" s="1484" t="s">
        <v>2641</v>
      </c>
      <c r="S751" s="1484"/>
      <c r="T751" s="1484">
        <v>2</v>
      </c>
      <c r="U751" s="1488">
        <v>45958</v>
      </c>
      <c r="V751" s="1484" t="s">
        <v>310</v>
      </c>
      <c r="W751" s="1484">
        <v>250</v>
      </c>
      <c r="X751" s="1484" t="s">
        <v>32</v>
      </c>
      <c r="Y751" s="640" t="s">
        <v>228</v>
      </c>
      <c r="AA751" s="1489" t="s">
        <v>532</v>
      </c>
      <c r="AB751" s="1490" t="s">
        <v>16</v>
      </c>
      <c r="AC751" s="1491" t="s">
        <v>3778</v>
      </c>
    </row>
    <row r="752" spans="1:29" s="634" customFormat="1" ht="20.399999999999999" customHeight="1">
      <c r="A752" s="2228" t="s">
        <v>25</v>
      </c>
      <c r="B752" s="2228" t="s">
        <v>25</v>
      </c>
      <c r="C752" s="491" t="s">
        <v>3679</v>
      </c>
      <c r="D752" s="491" t="s">
        <v>3680</v>
      </c>
      <c r="E752" s="169" t="s">
        <v>3681</v>
      </c>
      <c r="F752" s="491">
        <v>152862960</v>
      </c>
      <c r="G752" s="491">
        <v>720758835</v>
      </c>
      <c r="H752" s="179">
        <v>5.8112899999999996</v>
      </c>
      <c r="I752" s="179">
        <v>-5.3664199999999997</v>
      </c>
      <c r="J752" s="491" t="s">
        <v>2612</v>
      </c>
      <c r="K752" s="179" t="s">
        <v>203</v>
      </c>
      <c r="L752" s="179" t="s">
        <v>3763</v>
      </c>
      <c r="M752" s="179" t="s">
        <v>3774</v>
      </c>
      <c r="N752" s="179">
        <v>2150038773</v>
      </c>
      <c r="O752" s="800">
        <v>45951</v>
      </c>
      <c r="P752" s="179"/>
      <c r="Q752" s="800">
        <v>45952</v>
      </c>
      <c r="R752" s="724" t="s">
        <v>2641</v>
      </c>
      <c r="S752" s="179"/>
      <c r="T752" s="179">
        <v>1</v>
      </c>
      <c r="U752" s="725">
        <v>45959</v>
      </c>
      <c r="V752" s="726" t="s">
        <v>310</v>
      </c>
      <c r="W752" s="179">
        <v>150</v>
      </c>
      <c r="X752" s="726" t="s">
        <v>32</v>
      </c>
      <c r="Y752" s="179" t="s">
        <v>228</v>
      </c>
      <c r="Z752" s="236"/>
      <c r="AA752" s="237" t="s">
        <v>532</v>
      </c>
      <c r="AB752" s="844" t="s">
        <v>16</v>
      </c>
      <c r="AC752" s="236" t="s">
        <v>3826</v>
      </c>
    </row>
    <row r="753" spans="1:30" s="634" customFormat="1" ht="15" customHeight="1">
      <c r="A753" s="2228" t="s">
        <v>25</v>
      </c>
      <c r="B753" s="2228" t="s">
        <v>25</v>
      </c>
      <c r="C753" s="491" t="s">
        <v>3670</v>
      </c>
      <c r="D753" s="491" t="s">
        <v>3671</v>
      </c>
      <c r="E753" s="169" t="s">
        <v>3053</v>
      </c>
      <c r="F753" s="491">
        <v>506528698</v>
      </c>
      <c r="G753" s="491">
        <v>546665419</v>
      </c>
      <c r="H753" s="179">
        <v>5.8160299999999996</v>
      </c>
      <c r="I753" s="179">
        <v>-5.3689299999999998</v>
      </c>
      <c r="J753" s="491" t="s">
        <v>2612</v>
      </c>
      <c r="K753" s="179" t="s">
        <v>190</v>
      </c>
      <c r="L753" s="179" t="s">
        <v>3765</v>
      </c>
      <c r="M753" s="179" t="s">
        <v>3773</v>
      </c>
      <c r="N753" s="179">
        <v>2150038759</v>
      </c>
      <c r="O753" s="800">
        <v>45950</v>
      </c>
      <c r="P753" s="179"/>
      <c r="Q753" s="800">
        <v>45952</v>
      </c>
      <c r="R753" s="724" t="s">
        <v>2641</v>
      </c>
      <c r="S753" s="179"/>
      <c r="T753" s="179">
        <v>1</v>
      </c>
      <c r="U753" s="725">
        <v>45959</v>
      </c>
      <c r="V753" s="726" t="s">
        <v>310</v>
      </c>
      <c r="W753" s="179">
        <v>200</v>
      </c>
      <c r="X753" s="726" t="s">
        <v>32</v>
      </c>
      <c r="Y753" s="179" t="s">
        <v>193</v>
      </c>
      <c r="Z753" s="236"/>
      <c r="AA753" s="237" t="s">
        <v>532</v>
      </c>
      <c r="AB753" s="844" t="s">
        <v>16</v>
      </c>
      <c r="AC753" s="236" t="s">
        <v>3825</v>
      </c>
    </row>
    <row r="754" spans="1:30" s="634" customFormat="1" ht="15" customHeight="1">
      <c r="A754" s="2229" t="s">
        <v>25</v>
      </c>
      <c r="B754" s="2229" t="s">
        <v>25</v>
      </c>
      <c r="C754" s="202" t="s">
        <v>3677</v>
      </c>
      <c r="D754" s="202" t="s">
        <v>3678</v>
      </c>
      <c r="E754" s="169" t="s">
        <v>3053</v>
      </c>
      <c r="F754" s="202">
        <v>101814615</v>
      </c>
      <c r="G754" s="202">
        <v>748474775</v>
      </c>
      <c r="H754" s="201">
        <v>5.8174700000000001</v>
      </c>
      <c r="I754" s="201">
        <v>-5.3632400000000002</v>
      </c>
      <c r="J754" s="202" t="s">
        <v>2612</v>
      </c>
      <c r="K754" s="201" t="s">
        <v>190</v>
      </c>
      <c r="L754" s="201" t="s">
        <v>3775</v>
      </c>
      <c r="M754" s="201" t="s">
        <v>3802</v>
      </c>
      <c r="N754" s="201">
        <v>2150038758</v>
      </c>
      <c r="O754" s="2230">
        <v>45950</v>
      </c>
      <c r="P754" s="204">
        <f t="shared" ref="P754:P771" ca="1" si="26">TODAY()-Q754</f>
        <v>117</v>
      </c>
      <c r="Q754" s="2230">
        <v>45952</v>
      </c>
      <c r="R754" s="2231" t="s">
        <v>2641</v>
      </c>
      <c r="S754" s="201"/>
      <c r="T754" s="201">
        <v>0</v>
      </c>
      <c r="U754" s="2232">
        <v>45960</v>
      </c>
      <c r="V754" s="2233" t="s">
        <v>310</v>
      </c>
      <c r="W754" s="201">
        <v>150</v>
      </c>
      <c r="X754" s="2233" t="s">
        <v>32</v>
      </c>
      <c r="Y754" s="201" t="s">
        <v>193</v>
      </c>
      <c r="Z754" s="236"/>
      <c r="AA754" s="237" t="s">
        <v>532</v>
      </c>
      <c r="AB754" s="844" t="s">
        <v>16</v>
      </c>
      <c r="AC754" s="236" t="s">
        <v>3823</v>
      </c>
    </row>
    <row r="755" spans="1:30" s="634" customFormat="1" ht="15" customHeight="1">
      <c r="A755" s="2229" t="s">
        <v>25</v>
      </c>
      <c r="B755" s="2229" t="s">
        <v>25</v>
      </c>
      <c r="C755" s="2234" t="s">
        <v>3747</v>
      </c>
      <c r="D755" s="2234" t="s">
        <v>3748</v>
      </c>
      <c r="E755" s="2234" t="s">
        <v>3749</v>
      </c>
      <c r="F755" s="2234">
        <v>170250835</v>
      </c>
      <c r="G755" s="2234">
        <v>747837380</v>
      </c>
      <c r="H755" s="201">
        <v>5.8259699999999999</v>
      </c>
      <c r="I755" s="201">
        <v>-5.3639200000000002</v>
      </c>
      <c r="J755" s="2234" t="s">
        <v>2612</v>
      </c>
      <c r="K755" s="201" t="s">
        <v>190</v>
      </c>
      <c r="L755" s="201" t="s">
        <v>3607</v>
      </c>
      <c r="M755" s="201" t="s">
        <v>3803</v>
      </c>
      <c r="N755" s="201">
        <v>2150038760</v>
      </c>
      <c r="O755" s="2235">
        <v>45953</v>
      </c>
      <c r="P755" s="204">
        <f t="shared" ca="1" si="26"/>
        <v>112</v>
      </c>
      <c r="Q755" s="2235">
        <v>45957</v>
      </c>
      <c r="R755" s="2231" t="s">
        <v>2641</v>
      </c>
      <c r="S755" s="201"/>
      <c r="T755" s="201">
        <v>0</v>
      </c>
      <c r="U755" s="2232">
        <v>45960</v>
      </c>
      <c r="V755" s="2233" t="s">
        <v>310</v>
      </c>
      <c r="W755" s="201">
        <v>250</v>
      </c>
      <c r="X755" s="2233" t="s">
        <v>32</v>
      </c>
      <c r="Y755" s="201" t="s">
        <v>228</v>
      </c>
      <c r="Z755" s="986"/>
      <c r="AA755" s="2236" t="s">
        <v>532</v>
      </c>
      <c r="AB755" s="1348" t="s">
        <v>16</v>
      </c>
      <c r="AC755" s="986" t="s">
        <v>3779</v>
      </c>
    </row>
    <row r="756" spans="1:30" s="634" customFormat="1" ht="15" customHeight="1">
      <c r="A756" s="1311" t="s">
        <v>25</v>
      </c>
      <c r="B756" s="1311" t="s">
        <v>25</v>
      </c>
      <c r="C756" s="235" t="s">
        <v>3791</v>
      </c>
      <c r="D756" s="235" t="s">
        <v>3792</v>
      </c>
      <c r="E756" s="235" t="s">
        <v>3400</v>
      </c>
      <c r="F756" s="235">
        <v>714648310</v>
      </c>
      <c r="G756" s="235">
        <v>778182396</v>
      </c>
      <c r="H756" s="236">
        <v>5.8264699999999996</v>
      </c>
      <c r="I756" s="236">
        <v>-5.3589799999999999</v>
      </c>
      <c r="J756" s="235" t="s">
        <v>2612</v>
      </c>
      <c r="K756" s="236" t="s">
        <v>274</v>
      </c>
      <c r="L756" s="236" t="s">
        <v>3530</v>
      </c>
      <c r="M756" s="236" t="s">
        <v>3846</v>
      </c>
      <c r="N756" s="236">
        <v>2150039227</v>
      </c>
      <c r="O756" s="238">
        <v>45959</v>
      </c>
      <c r="P756" s="1312">
        <f t="shared" ca="1" si="26"/>
        <v>109</v>
      </c>
      <c r="Q756" s="238">
        <v>45960</v>
      </c>
      <c r="R756" s="665" t="s">
        <v>2641</v>
      </c>
      <c r="S756" s="236"/>
      <c r="T756" s="236">
        <v>0</v>
      </c>
      <c r="U756" s="742">
        <v>45961</v>
      </c>
      <c r="V756" s="666" t="s">
        <v>310</v>
      </c>
      <c r="W756" s="236">
        <v>150</v>
      </c>
      <c r="X756" s="666" t="s">
        <v>32</v>
      </c>
      <c r="Y756" s="236" t="s">
        <v>245</v>
      </c>
      <c r="Z756" s="986"/>
      <c r="AA756" s="2236" t="s">
        <v>532</v>
      </c>
      <c r="AB756" s="1348" t="s">
        <v>16</v>
      </c>
      <c r="AC756" s="986" t="s">
        <v>3781</v>
      </c>
    </row>
    <row r="757" spans="1:30" ht="15" customHeight="1">
      <c r="A757" s="1311" t="s">
        <v>25</v>
      </c>
      <c r="B757" s="1311" t="s">
        <v>25</v>
      </c>
      <c r="C757" s="235" t="s">
        <v>3793</v>
      </c>
      <c r="D757" s="235" t="s">
        <v>3794</v>
      </c>
      <c r="E757" s="235" t="s">
        <v>3400</v>
      </c>
      <c r="F757" s="235">
        <v>101432632</v>
      </c>
      <c r="G757" s="235">
        <v>703834575</v>
      </c>
      <c r="H757" s="236">
        <v>5.8223960000000003</v>
      </c>
      <c r="I757" s="236">
        <v>-5.3664560000000003</v>
      </c>
      <c r="J757" s="235" t="s">
        <v>2612</v>
      </c>
      <c r="K757" s="236" t="s">
        <v>198</v>
      </c>
      <c r="L757" s="236" t="s">
        <v>3603</v>
      </c>
      <c r="M757" s="236" t="s">
        <v>3847</v>
      </c>
      <c r="N757" s="236">
        <v>2150039228</v>
      </c>
      <c r="O757" s="238">
        <v>45959</v>
      </c>
      <c r="P757" s="1312">
        <f t="shared" ca="1" si="26"/>
        <v>109</v>
      </c>
      <c r="Q757" s="238">
        <v>45960</v>
      </c>
      <c r="R757" s="665" t="s">
        <v>2641</v>
      </c>
      <c r="S757" s="236"/>
      <c r="T757" s="236">
        <v>0</v>
      </c>
      <c r="U757" s="742">
        <v>45961</v>
      </c>
      <c r="V757" s="666" t="s">
        <v>310</v>
      </c>
      <c r="W757" s="236">
        <v>100</v>
      </c>
      <c r="X757" s="666" t="s">
        <v>32</v>
      </c>
      <c r="Y757" s="236" t="s">
        <v>228</v>
      </c>
      <c r="Z757" s="236"/>
      <c r="AA757" s="237" t="s">
        <v>532</v>
      </c>
      <c r="AB757" s="844" t="s">
        <v>16</v>
      </c>
      <c r="AC757" s="844" t="s">
        <v>3783</v>
      </c>
    </row>
    <row r="758" spans="1:30" ht="15" hidden="1" customHeight="1" thickBot="1">
      <c r="A758" s="1861" t="s">
        <v>25</v>
      </c>
      <c r="B758" s="1861" t="s">
        <v>25</v>
      </c>
      <c r="C758" s="1862" t="s">
        <v>3795</v>
      </c>
      <c r="D758" s="1862" t="s">
        <v>3796</v>
      </c>
      <c r="E758" s="1862" t="s">
        <v>172</v>
      </c>
      <c r="F758" s="1862">
        <v>767674061</v>
      </c>
      <c r="G758" s="1862">
        <v>767674061</v>
      </c>
      <c r="H758" s="1863">
        <v>5.8407559999999998</v>
      </c>
      <c r="I758" s="1863">
        <v>-5.3539399999999997</v>
      </c>
      <c r="J758" s="1862" t="s">
        <v>36</v>
      </c>
      <c r="K758" s="1863" t="s">
        <v>190</v>
      </c>
      <c r="L758" s="1863" t="s">
        <v>601</v>
      </c>
      <c r="M758" s="1863" t="s">
        <v>3848</v>
      </c>
      <c r="N758" s="1863">
        <v>2150039226</v>
      </c>
      <c r="O758" s="1864">
        <v>45959</v>
      </c>
      <c r="P758" s="1865">
        <f t="shared" ca="1" si="26"/>
        <v>109</v>
      </c>
      <c r="Q758" s="1864">
        <v>45960</v>
      </c>
      <c r="R758" s="1866" t="s">
        <v>2641</v>
      </c>
      <c r="S758" s="1863"/>
      <c r="T758" s="1863">
        <v>0</v>
      </c>
      <c r="U758" s="1867">
        <v>45961</v>
      </c>
      <c r="V758" s="1868" t="s">
        <v>310</v>
      </c>
      <c r="W758" s="1863">
        <v>350</v>
      </c>
      <c r="X758" s="1868" t="s">
        <v>32</v>
      </c>
      <c r="Y758" s="642" t="s">
        <v>343</v>
      </c>
      <c r="Z758" s="642"/>
      <c r="AA758" s="1869" t="s">
        <v>532</v>
      </c>
      <c r="AB758" s="1870" t="s">
        <v>16</v>
      </c>
      <c r="AC758" s="1863" t="s">
        <v>3842</v>
      </c>
    </row>
    <row r="759" spans="1:30" ht="15" customHeight="1">
      <c r="A759" s="1350" t="s">
        <v>25</v>
      </c>
      <c r="B759" s="1350" t="s">
        <v>25</v>
      </c>
      <c r="C759" s="2236" t="s">
        <v>3668</v>
      </c>
      <c r="D759" s="2236" t="s">
        <v>3669</v>
      </c>
      <c r="E759" s="169" t="s">
        <v>3400</v>
      </c>
      <c r="F759" s="2236">
        <v>708020443</v>
      </c>
      <c r="G759" s="2236">
        <v>505022989</v>
      </c>
      <c r="H759" s="986">
        <v>5.8265399999999996</v>
      </c>
      <c r="I759" s="986">
        <v>-5.3649399999999998</v>
      </c>
      <c r="J759" s="2236" t="s">
        <v>2612</v>
      </c>
      <c r="K759" s="986" t="s">
        <v>198</v>
      </c>
      <c r="L759" s="986" t="s">
        <v>3467</v>
      </c>
      <c r="M759" s="2236" t="s">
        <v>3806</v>
      </c>
      <c r="N759" s="2236">
        <v>2150039231</v>
      </c>
      <c r="O759" s="2237">
        <v>45951</v>
      </c>
      <c r="P759" s="1351">
        <f t="shared" ca="1" si="26"/>
        <v>117</v>
      </c>
      <c r="Q759" s="2237">
        <v>45952</v>
      </c>
      <c r="R759" s="1328" t="s">
        <v>2641</v>
      </c>
      <c r="S759" s="986"/>
      <c r="T759" s="986">
        <v>1</v>
      </c>
      <c r="U759" s="2238">
        <v>45962</v>
      </c>
      <c r="V759" s="989" t="s">
        <v>310</v>
      </c>
      <c r="W759" s="986">
        <v>150</v>
      </c>
      <c r="X759" s="989" t="s">
        <v>32</v>
      </c>
      <c r="Y759" s="986" t="s">
        <v>228</v>
      </c>
      <c r="Z759" s="236"/>
      <c r="AA759" s="237" t="s">
        <v>532</v>
      </c>
      <c r="AB759" s="844" t="s">
        <v>16</v>
      </c>
      <c r="AC759" s="236" t="s">
        <v>3824</v>
      </c>
    </row>
    <row r="760" spans="1:30" ht="15" customHeight="1">
      <c r="A760" s="1350" t="s">
        <v>25</v>
      </c>
      <c r="B760" s="1350" t="s">
        <v>25</v>
      </c>
      <c r="C760" s="2236" t="s">
        <v>3701</v>
      </c>
      <c r="D760" s="2239" t="s">
        <v>3702</v>
      </c>
      <c r="E760" s="169" t="s">
        <v>3400</v>
      </c>
      <c r="F760" s="2236">
        <v>506897933</v>
      </c>
      <c r="G760" s="2236">
        <v>787286153</v>
      </c>
      <c r="H760" s="986">
        <v>5.8214199999999998</v>
      </c>
      <c r="I760" s="986">
        <v>-5.3658799999999998</v>
      </c>
      <c r="J760" s="2236" t="s">
        <v>2612</v>
      </c>
      <c r="K760" s="986" t="s">
        <v>198</v>
      </c>
      <c r="L760" s="986" t="s">
        <v>3780</v>
      </c>
      <c r="M760" s="2236" t="s">
        <v>3805</v>
      </c>
      <c r="N760" s="2236">
        <v>2150039232</v>
      </c>
      <c r="O760" s="2237">
        <v>45952</v>
      </c>
      <c r="P760" s="1351">
        <f t="shared" ca="1" si="26"/>
        <v>116</v>
      </c>
      <c r="Q760" s="2237">
        <v>45953</v>
      </c>
      <c r="R760" s="1328" t="s">
        <v>2641</v>
      </c>
      <c r="S760" s="986"/>
      <c r="T760" s="986">
        <v>1</v>
      </c>
      <c r="U760" s="2238">
        <v>45962</v>
      </c>
      <c r="V760" s="989" t="s">
        <v>310</v>
      </c>
      <c r="W760" s="986">
        <v>250</v>
      </c>
      <c r="X760" s="989" t="s">
        <v>32</v>
      </c>
      <c r="Y760" s="986" t="s">
        <v>228</v>
      </c>
      <c r="Z760" s="236"/>
      <c r="AA760" s="237" t="s">
        <v>532</v>
      </c>
      <c r="AB760" s="844" t="s">
        <v>16</v>
      </c>
      <c r="AC760" s="236" t="s">
        <v>3845</v>
      </c>
    </row>
    <row r="761" spans="1:30" s="80" customFormat="1" ht="15" hidden="1" customHeight="1" thickBot="1">
      <c r="A761" s="1871" t="s">
        <v>25</v>
      </c>
      <c r="B761" s="1871" t="s">
        <v>25</v>
      </c>
      <c r="C761" s="1872" t="s">
        <v>3674</v>
      </c>
      <c r="D761" s="1872" t="s">
        <v>3675</v>
      </c>
      <c r="E761" s="1872" t="s">
        <v>3676</v>
      </c>
      <c r="F761" s="1872">
        <v>779758724</v>
      </c>
      <c r="G761" s="1872">
        <v>555029007</v>
      </c>
      <c r="H761" s="1873">
        <v>5.8359899999999998</v>
      </c>
      <c r="I761" s="1873">
        <v>-5.3628299999999998</v>
      </c>
      <c r="J761" s="1872" t="s">
        <v>36</v>
      </c>
      <c r="K761" s="1873" t="s">
        <v>203</v>
      </c>
      <c r="L761" s="1873" t="s">
        <v>3782</v>
      </c>
      <c r="M761" s="1874" t="s">
        <v>3804</v>
      </c>
      <c r="N761" s="1875">
        <v>2150039233</v>
      </c>
      <c r="O761" s="1876">
        <v>45951</v>
      </c>
      <c r="P761" s="1877">
        <f t="shared" ca="1" si="26"/>
        <v>117</v>
      </c>
      <c r="Q761" s="1876">
        <v>45952</v>
      </c>
      <c r="R761" s="1878" t="s">
        <v>2641</v>
      </c>
      <c r="S761" s="1873"/>
      <c r="T761" s="1873">
        <v>2</v>
      </c>
      <c r="U761" s="1879">
        <v>45964</v>
      </c>
      <c r="V761" s="1880" t="s">
        <v>310</v>
      </c>
      <c r="W761" s="1873">
        <v>300</v>
      </c>
      <c r="X761" s="1880" t="s">
        <v>32</v>
      </c>
      <c r="Y761" s="1699" t="s">
        <v>193</v>
      </c>
      <c r="Z761" s="1814"/>
      <c r="AA761" s="1881" t="s">
        <v>532</v>
      </c>
      <c r="AB761" s="1882" t="s">
        <v>16</v>
      </c>
      <c r="AC761" s="1883" t="s">
        <v>3863</v>
      </c>
      <c r="AD761" s="850"/>
    </row>
    <row r="762" spans="1:30" s="639" customFormat="1" ht="15" hidden="1" customHeight="1" thickBot="1">
      <c r="A762" s="886" t="s">
        <v>25</v>
      </c>
      <c r="B762" s="886" t="s">
        <v>25</v>
      </c>
      <c r="C762" s="1100" t="s">
        <v>3682</v>
      </c>
      <c r="D762" s="1100" t="s">
        <v>3683</v>
      </c>
      <c r="E762" s="1100" t="s">
        <v>3684</v>
      </c>
      <c r="F762" s="1100">
        <v>758716794</v>
      </c>
      <c r="G762" s="1100">
        <v>758716794</v>
      </c>
      <c r="H762" s="865">
        <v>5.8463700000000003</v>
      </c>
      <c r="I762" s="865">
        <v>-5.3596500000000002</v>
      </c>
      <c r="J762" s="1100" t="s">
        <v>36</v>
      </c>
      <c r="K762" s="865" t="s">
        <v>190</v>
      </c>
      <c r="L762" s="865" t="s">
        <v>3128</v>
      </c>
      <c r="M762" s="390" t="s">
        <v>3854</v>
      </c>
      <c r="N762" s="390">
        <v>2150038763</v>
      </c>
      <c r="O762" s="1174">
        <v>45951</v>
      </c>
      <c r="P762" s="866">
        <f t="shared" ca="1" si="26"/>
        <v>117</v>
      </c>
      <c r="Q762" s="1174">
        <v>45952</v>
      </c>
      <c r="R762" s="922" t="s">
        <v>2641</v>
      </c>
      <c r="S762" s="865"/>
      <c r="T762" s="865">
        <v>4</v>
      </c>
      <c r="U762" s="925">
        <v>45964</v>
      </c>
      <c r="V762" s="929" t="s">
        <v>310</v>
      </c>
      <c r="W762" s="865">
        <v>350</v>
      </c>
      <c r="X762" s="929" t="s">
        <v>32</v>
      </c>
      <c r="Y762" s="642" t="s">
        <v>228</v>
      </c>
      <c r="Z762" s="644"/>
      <c r="AA762" s="863" t="s">
        <v>532</v>
      </c>
      <c r="AB762" s="864" t="s">
        <v>16</v>
      </c>
      <c r="AC762" s="862" t="s">
        <v>3884</v>
      </c>
    </row>
    <row r="763" spans="1:30" s="639" customFormat="1" ht="15" hidden="1" customHeight="1" thickBot="1">
      <c r="A763" s="886" t="s">
        <v>25</v>
      </c>
      <c r="B763" s="886" t="s">
        <v>25</v>
      </c>
      <c r="C763" s="1100" t="s">
        <v>3687</v>
      </c>
      <c r="D763" s="1100" t="s">
        <v>3688</v>
      </c>
      <c r="E763" s="1100" t="s">
        <v>3689</v>
      </c>
      <c r="F763" s="1100">
        <v>707801034</v>
      </c>
      <c r="G763" s="1100">
        <v>707801034</v>
      </c>
      <c r="H763" s="865">
        <v>5.8451300000000002</v>
      </c>
      <c r="I763" s="865">
        <v>-5.3631399999999996</v>
      </c>
      <c r="J763" s="1100" t="s">
        <v>36</v>
      </c>
      <c r="K763" s="865" t="s">
        <v>190</v>
      </c>
      <c r="L763" s="865" t="s">
        <v>1705</v>
      </c>
      <c r="M763" s="390" t="s">
        <v>3855</v>
      </c>
      <c r="N763" s="390">
        <v>2150038762</v>
      </c>
      <c r="O763" s="1174">
        <v>45950</v>
      </c>
      <c r="P763" s="866">
        <f t="shared" ca="1" si="26"/>
        <v>117</v>
      </c>
      <c r="Q763" s="1174">
        <v>45952</v>
      </c>
      <c r="R763" s="922" t="s">
        <v>2641</v>
      </c>
      <c r="S763" s="865"/>
      <c r="T763" s="865">
        <v>1</v>
      </c>
      <c r="U763" s="925">
        <v>45964</v>
      </c>
      <c r="V763" s="929" t="s">
        <v>310</v>
      </c>
      <c r="W763" s="865">
        <v>400</v>
      </c>
      <c r="X763" s="929" t="s">
        <v>32</v>
      </c>
      <c r="Y763" s="642" t="s">
        <v>627</v>
      </c>
      <c r="Z763" s="644"/>
      <c r="AA763" s="863" t="s">
        <v>532</v>
      </c>
      <c r="AB763" s="864" t="s">
        <v>16</v>
      </c>
      <c r="AC763" s="862" t="s">
        <v>3841</v>
      </c>
    </row>
    <row r="764" spans="1:30" s="639" customFormat="1" ht="15" hidden="1" customHeight="1" thickBot="1">
      <c r="A764" s="1492" t="s">
        <v>25</v>
      </c>
      <c r="B764" s="1492" t="s">
        <v>25</v>
      </c>
      <c r="C764" s="1493" t="s">
        <v>3786</v>
      </c>
      <c r="D764" s="1493" t="s">
        <v>3199</v>
      </c>
      <c r="E764" s="1493" t="s">
        <v>3787</v>
      </c>
      <c r="F764" s="1493">
        <v>748574679</v>
      </c>
      <c r="G764" s="1493">
        <v>748574679</v>
      </c>
      <c r="H764" s="1494">
        <v>5.8531500000000003</v>
      </c>
      <c r="I764" s="1494">
        <v>-5.3558700000000004</v>
      </c>
      <c r="J764" s="1493" t="s">
        <v>3843</v>
      </c>
      <c r="K764" s="1494" t="s">
        <v>198</v>
      </c>
      <c r="L764" s="1494" t="s">
        <v>3844</v>
      </c>
      <c r="M764" s="769" t="s">
        <v>3856</v>
      </c>
      <c r="N764" s="769">
        <v>2150039229</v>
      </c>
      <c r="O764" s="1495">
        <v>45952</v>
      </c>
      <c r="P764" s="1496">
        <f t="shared" ca="1" si="26"/>
        <v>109</v>
      </c>
      <c r="Q764" s="1495">
        <v>45960</v>
      </c>
      <c r="R764" s="1497" t="s">
        <v>2641</v>
      </c>
      <c r="S764" s="1494"/>
      <c r="T764" s="1494">
        <v>0</v>
      </c>
      <c r="U764" s="1498">
        <v>45964</v>
      </c>
      <c r="V764" s="1499" t="s">
        <v>310</v>
      </c>
      <c r="W764" s="1494">
        <v>300</v>
      </c>
      <c r="X764" s="1499" t="s">
        <v>32</v>
      </c>
      <c r="Y764" s="642" t="s">
        <v>627</v>
      </c>
      <c r="Z764" s="644"/>
      <c r="AA764" s="1500" t="s">
        <v>532</v>
      </c>
      <c r="AB764" s="1501" t="s">
        <v>16</v>
      </c>
      <c r="AC764" s="1502" t="s">
        <v>3864</v>
      </c>
    </row>
    <row r="765" spans="1:30" s="634" customFormat="1" ht="15" customHeight="1">
      <c r="A765" s="1311" t="s">
        <v>25</v>
      </c>
      <c r="B765" s="1311" t="s">
        <v>25</v>
      </c>
      <c r="C765" s="235" t="s">
        <v>3831</v>
      </c>
      <c r="D765" s="235" t="s">
        <v>3836</v>
      </c>
      <c r="E765" s="235" t="s">
        <v>74</v>
      </c>
      <c r="F765" s="235">
        <v>153743525</v>
      </c>
      <c r="G765" s="235">
        <v>788304127</v>
      </c>
      <c r="H765" s="236">
        <v>5.8407559999999998</v>
      </c>
      <c r="I765" s="236">
        <v>-5.3539399999999997</v>
      </c>
      <c r="J765" s="235" t="s">
        <v>2612</v>
      </c>
      <c r="K765" s="236" t="s">
        <v>198</v>
      </c>
      <c r="L765" s="236" t="s">
        <v>3435</v>
      </c>
      <c r="M765" s="236" t="s">
        <v>3850</v>
      </c>
      <c r="N765" s="236">
        <v>2150038772</v>
      </c>
      <c r="O765" s="238">
        <v>45960</v>
      </c>
      <c r="P765" s="1312">
        <f t="shared" ca="1" si="26"/>
        <v>108</v>
      </c>
      <c r="Q765" s="238">
        <v>45961</v>
      </c>
      <c r="R765" s="665" t="s">
        <v>2641</v>
      </c>
      <c r="S765" s="236"/>
      <c r="T765" s="236">
        <v>0</v>
      </c>
      <c r="U765" s="742">
        <v>45964</v>
      </c>
      <c r="V765" s="666" t="s">
        <v>310</v>
      </c>
      <c r="W765" s="236"/>
      <c r="X765" s="666" t="s">
        <v>32</v>
      </c>
      <c r="Y765" s="236" t="s">
        <v>228</v>
      </c>
      <c r="Z765" s="68"/>
      <c r="AA765" s="77" t="s">
        <v>532</v>
      </c>
      <c r="AB765" s="1306" t="s">
        <v>16</v>
      </c>
      <c r="AC765" s="1306" t="s">
        <v>3860</v>
      </c>
    </row>
    <row r="766" spans="1:30" s="634" customFormat="1" ht="15" customHeight="1">
      <c r="A766" s="1311" t="s">
        <v>25</v>
      </c>
      <c r="B766" s="1311" t="s">
        <v>25</v>
      </c>
      <c r="C766" s="235" t="s">
        <v>3829</v>
      </c>
      <c r="D766" s="235" t="s">
        <v>3834</v>
      </c>
      <c r="E766" s="235" t="s">
        <v>3400</v>
      </c>
      <c r="F766" s="235">
        <v>143163654</v>
      </c>
      <c r="G766" s="235">
        <v>708886880</v>
      </c>
      <c r="H766" s="236">
        <v>5.8268389999999997</v>
      </c>
      <c r="I766" s="236">
        <v>-5.3655010000000001</v>
      </c>
      <c r="J766" s="235" t="s">
        <v>2612</v>
      </c>
      <c r="K766" s="236" t="s">
        <v>198</v>
      </c>
      <c r="L766" s="236" t="s">
        <v>3467</v>
      </c>
      <c r="M766" s="236" t="s">
        <v>3849</v>
      </c>
      <c r="N766" s="236">
        <v>2150038761</v>
      </c>
      <c r="O766" s="238">
        <v>45960</v>
      </c>
      <c r="P766" s="1312">
        <f t="shared" ca="1" si="26"/>
        <v>108</v>
      </c>
      <c r="Q766" s="238">
        <v>45961</v>
      </c>
      <c r="R766" s="665" t="s">
        <v>2641</v>
      </c>
      <c r="S766" s="236"/>
      <c r="T766" s="236">
        <v>0</v>
      </c>
      <c r="U766" s="742">
        <v>45964</v>
      </c>
      <c r="V766" s="666" t="s">
        <v>310</v>
      </c>
      <c r="W766" s="236">
        <v>150</v>
      </c>
      <c r="X766" s="666" t="s">
        <v>32</v>
      </c>
      <c r="Y766" s="236" t="s">
        <v>228</v>
      </c>
      <c r="Z766" s="68"/>
      <c r="AA766" s="77" t="s">
        <v>532</v>
      </c>
      <c r="AB766" s="1306" t="s">
        <v>16</v>
      </c>
      <c r="AC766" s="1306" t="s">
        <v>3862</v>
      </c>
    </row>
    <row r="767" spans="1:30" s="639" customFormat="1" ht="15" hidden="1" customHeight="1" thickBot="1">
      <c r="A767" s="1884" t="s">
        <v>25</v>
      </c>
      <c r="B767" s="1884" t="s">
        <v>25</v>
      </c>
      <c r="C767" s="1885" t="s">
        <v>3812</v>
      </c>
      <c r="D767" s="1885" t="s">
        <v>3853</v>
      </c>
      <c r="E767" s="1885" t="s">
        <v>2810</v>
      </c>
      <c r="F767" s="1885">
        <v>103383212</v>
      </c>
      <c r="G767" s="1885">
        <v>103383212</v>
      </c>
      <c r="H767" s="1886">
        <v>5.8378199999999998</v>
      </c>
      <c r="I767" s="1886">
        <v>-5.3637300000000003</v>
      </c>
      <c r="J767" s="1887" t="s">
        <v>36</v>
      </c>
      <c r="K767" s="1886" t="s">
        <v>203</v>
      </c>
      <c r="L767" s="1886" t="s">
        <v>858</v>
      </c>
      <c r="M767" s="1886" t="s">
        <v>3867</v>
      </c>
      <c r="N767" s="1886">
        <v>2150039224</v>
      </c>
      <c r="O767" s="1888">
        <v>45960</v>
      </c>
      <c r="P767" s="1889">
        <f t="shared" ca="1" si="26"/>
        <v>108</v>
      </c>
      <c r="Q767" s="1888">
        <v>45961</v>
      </c>
      <c r="R767" s="1890" t="s">
        <v>2641</v>
      </c>
      <c r="S767" s="1886"/>
      <c r="T767" s="1886">
        <v>0</v>
      </c>
      <c r="U767" s="1891">
        <v>45965</v>
      </c>
      <c r="V767" s="1892" t="s">
        <v>310</v>
      </c>
      <c r="W767" s="1886">
        <v>200</v>
      </c>
      <c r="X767" s="1892" t="s">
        <v>32</v>
      </c>
      <c r="Y767" s="784" t="s">
        <v>245</v>
      </c>
      <c r="Z767" s="644"/>
      <c r="AA767" s="1893" t="s">
        <v>532</v>
      </c>
      <c r="AB767" s="1894" t="s">
        <v>16</v>
      </c>
      <c r="AC767" s="1895" t="s">
        <v>3840</v>
      </c>
    </row>
    <row r="768" spans="1:30" s="634" customFormat="1" ht="15" customHeight="1">
      <c r="A768" s="2240" t="s">
        <v>25</v>
      </c>
      <c r="B768" s="2240" t="s">
        <v>25</v>
      </c>
      <c r="C768" s="77" t="s">
        <v>3697</v>
      </c>
      <c r="D768" s="77" t="s">
        <v>3698</v>
      </c>
      <c r="E768" s="77" t="s">
        <v>3053</v>
      </c>
      <c r="F768" s="77">
        <v>769757580</v>
      </c>
      <c r="G768" s="77">
        <v>757235050</v>
      </c>
      <c r="H768" s="68">
        <v>5.8086200000000003</v>
      </c>
      <c r="I768" s="68">
        <v>-5.3635900000000003</v>
      </c>
      <c r="J768" s="77" t="s">
        <v>2612</v>
      </c>
      <c r="K768" s="68" t="s">
        <v>203</v>
      </c>
      <c r="L768" s="68" t="s">
        <v>3883</v>
      </c>
      <c r="M768" s="68" t="s">
        <v>3887</v>
      </c>
      <c r="N768" s="68">
        <v>2150039225</v>
      </c>
      <c r="O768" s="1307">
        <v>45952</v>
      </c>
      <c r="P768" s="70">
        <f t="shared" ca="1" si="26"/>
        <v>116</v>
      </c>
      <c r="Q768" s="1307">
        <v>45953</v>
      </c>
      <c r="R768" s="241" t="s">
        <v>2641</v>
      </c>
      <c r="S768" s="68"/>
      <c r="T768" s="68">
        <v>0</v>
      </c>
      <c r="U768" s="2241">
        <v>45966</v>
      </c>
      <c r="V768" s="2242" t="s">
        <v>310</v>
      </c>
      <c r="W768" s="68">
        <v>100</v>
      </c>
      <c r="X768" s="2242" t="s">
        <v>32</v>
      </c>
      <c r="Y768" s="68" t="s">
        <v>193</v>
      </c>
      <c r="Z768" s="1306"/>
      <c r="AA768" s="77" t="s">
        <v>532</v>
      </c>
      <c r="AB768" s="1306" t="s">
        <v>16</v>
      </c>
      <c r="AC768" s="1306" t="s">
        <v>3859</v>
      </c>
    </row>
    <row r="769" spans="1:29" s="639" customFormat="1" ht="15" hidden="1" customHeight="1" thickBot="1">
      <c r="A769" s="1896" t="s">
        <v>25</v>
      </c>
      <c r="B769" s="1896" t="s">
        <v>25</v>
      </c>
      <c r="C769" s="1897" t="s">
        <v>3799</v>
      </c>
      <c r="D769" s="1897" t="s">
        <v>3800</v>
      </c>
      <c r="E769" s="1897" t="s">
        <v>3801</v>
      </c>
      <c r="F769" s="1897">
        <v>506495677</v>
      </c>
      <c r="G769" s="1897">
        <v>749829213</v>
      </c>
      <c r="H769" s="1898"/>
      <c r="I769" s="1898"/>
      <c r="J769" s="1897" t="s">
        <v>189</v>
      </c>
      <c r="K769" s="1898" t="s">
        <v>198</v>
      </c>
      <c r="L769" s="1898" t="s">
        <v>3667</v>
      </c>
      <c r="M769" s="1899" t="s">
        <v>3888</v>
      </c>
      <c r="N769" s="1899">
        <v>2150038934</v>
      </c>
      <c r="O769" s="1900">
        <v>45960</v>
      </c>
      <c r="P769" s="1901">
        <f t="shared" ca="1" si="26"/>
        <v>109</v>
      </c>
      <c r="Q769" s="1900">
        <v>45960</v>
      </c>
      <c r="R769" s="1902" t="s">
        <v>2641</v>
      </c>
      <c r="S769" s="1898"/>
      <c r="T769" s="1898">
        <v>2</v>
      </c>
      <c r="U769" s="1903">
        <v>45966</v>
      </c>
      <c r="V769" s="1904" t="s">
        <v>310</v>
      </c>
      <c r="W769" s="1898">
        <v>350</v>
      </c>
      <c r="X769" s="1904" t="s">
        <v>32</v>
      </c>
      <c r="Y769" s="644" t="s">
        <v>245</v>
      </c>
      <c r="Z769" s="644"/>
      <c r="AA769" s="1893" t="s">
        <v>532</v>
      </c>
      <c r="AB769" s="1894" t="s">
        <v>16</v>
      </c>
      <c r="AC769" s="1905" t="s">
        <v>3839</v>
      </c>
    </row>
    <row r="770" spans="1:29" s="634" customFormat="1" ht="15" customHeight="1">
      <c r="A770" s="2240" t="s">
        <v>25</v>
      </c>
      <c r="B770" s="2240" t="s">
        <v>25</v>
      </c>
      <c r="C770" s="2243" t="s">
        <v>3810</v>
      </c>
      <c r="D770" s="2243" t="s">
        <v>3811</v>
      </c>
      <c r="E770" s="2243" t="s">
        <v>3053</v>
      </c>
      <c r="F770" s="2243">
        <v>757911470</v>
      </c>
      <c r="G770" s="2243">
        <v>555309327</v>
      </c>
      <c r="H770" s="68">
        <v>5.8138500000000004</v>
      </c>
      <c r="I770" s="68">
        <v>-5.3653000000000004</v>
      </c>
      <c r="J770" s="66" t="s">
        <v>2612</v>
      </c>
      <c r="K770" s="68" t="s">
        <v>203</v>
      </c>
      <c r="L770" s="68" t="s">
        <v>3613</v>
      </c>
      <c r="M770" s="68" t="s">
        <v>3889</v>
      </c>
      <c r="N770" s="68">
        <v>2150038942</v>
      </c>
      <c r="O770" s="2244">
        <v>45960</v>
      </c>
      <c r="P770" s="70">
        <f t="shared" ca="1" si="26"/>
        <v>108</v>
      </c>
      <c r="Q770" s="2244">
        <v>45961</v>
      </c>
      <c r="R770" s="241" t="s">
        <v>2641</v>
      </c>
      <c r="S770" s="68"/>
      <c r="T770" s="68">
        <v>0</v>
      </c>
      <c r="U770" s="2241">
        <v>45966</v>
      </c>
      <c r="V770" s="2242" t="s">
        <v>310</v>
      </c>
      <c r="W770" s="68">
        <v>150</v>
      </c>
      <c r="X770" s="2242" t="s">
        <v>32</v>
      </c>
      <c r="Y770" s="68" t="s">
        <v>228</v>
      </c>
      <c r="Z770" s="978"/>
      <c r="AA770" s="353" t="s">
        <v>532</v>
      </c>
      <c r="AB770" s="2245" t="s">
        <v>16</v>
      </c>
      <c r="AC770" s="2245" t="s">
        <v>3777</v>
      </c>
    </row>
    <row r="771" spans="1:29" s="634" customFormat="1" ht="15" customHeight="1">
      <c r="A771" s="2240" t="s">
        <v>25</v>
      </c>
      <c r="B771" s="2240" t="s">
        <v>25</v>
      </c>
      <c r="C771" s="2243" t="s">
        <v>3815</v>
      </c>
      <c r="D771" s="2243" t="s">
        <v>3816</v>
      </c>
      <c r="E771" s="2243" t="s">
        <v>3326</v>
      </c>
      <c r="F771" s="2243">
        <v>747442047</v>
      </c>
      <c r="G771" s="2243">
        <v>747442047</v>
      </c>
      <c r="H771" s="68"/>
      <c r="I771" s="68"/>
      <c r="J771" s="66" t="s">
        <v>2612</v>
      </c>
      <c r="K771" s="68" t="s">
        <v>203</v>
      </c>
      <c r="L771" s="68" t="s">
        <v>3652</v>
      </c>
      <c r="M771" s="68" t="s">
        <v>3890</v>
      </c>
      <c r="N771" s="68">
        <v>2150038913</v>
      </c>
      <c r="O771" s="2244">
        <v>45960</v>
      </c>
      <c r="P771" s="70">
        <f t="shared" ca="1" si="26"/>
        <v>108</v>
      </c>
      <c r="Q771" s="2244">
        <v>45961</v>
      </c>
      <c r="R771" s="241" t="s">
        <v>2641</v>
      </c>
      <c r="S771" s="68"/>
      <c r="T771" s="68">
        <v>0</v>
      </c>
      <c r="U771" s="2241">
        <v>45966</v>
      </c>
      <c r="V771" s="2242" t="s">
        <v>310</v>
      </c>
      <c r="W771" s="68">
        <v>150</v>
      </c>
      <c r="X771" s="2242" t="s">
        <v>32</v>
      </c>
      <c r="Y771" s="68" t="s">
        <v>228</v>
      </c>
      <c r="Z771" s="978"/>
      <c r="AA771" s="353" t="s">
        <v>532</v>
      </c>
      <c r="AB771" s="2245" t="s">
        <v>16</v>
      </c>
      <c r="AC771" s="2245" t="s">
        <v>3898</v>
      </c>
    </row>
    <row r="772" spans="1:29" s="639" customFormat="1" ht="15" hidden="1" customHeight="1" thickBot="1">
      <c r="A772" s="1906" t="s">
        <v>25</v>
      </c>
      <c r="B772" s="1906" t="s">
        <v>25</v>
      </c>
      <c r="C772" s="1906" t="s">
        <v>3827</v>
      </c>
      <c r="D772" s="1906" t="s">
        <v>3832</v>
      </c>
      <c r="E772" s="1906" t="s">
        <v>3276</v>
      </c>
      <c r="F772" s="1906">
        <v>141463439</v>
      </c>
      <c r="G772" s="1906">
        <v>708387486</v>
      </c>
      <c r="H772" s="1907">
        <v>5.8555599999999997</v>
      </c>
      <c r="I772" s="1907">
        <v>-5.3479599999999996</v>
      </c>
      <c r="J772" s="1906" t="s">
        <v>189</v>
      </c>
      <c r="K772" s="1907" t="s">
        <v>198</v>
      </c>
      <c r="L772" s="1907" t="s">
        <v>3667</v>
      </c>
      <c r="M772" s="1907" t="s">
        <v>3964</v>
      </c>
      <c r="N772" s="1907">
        <v>2150038943</v>
      </c>
      <c r="O772" s="1908">
        <v>45957</v>
      </c>
      <c r="P772" s="1907">
        <v>10</v>
      </c>
      <c r="Q772" s="1908">
        <v>45961</v>
      </c>
      <c r="R772" s="1906" t="s">
        <v>2641</v>
      </c>
      <c r="S772" s="1909"/>
      <c r="T772" s="1907">
        <v>1</v>
      </c>
      <c r="U772" s="1908">
        <v>45966</v>
      </c>
      <c r="V772" s="1906" t="s">
        <v>310</v>
      </c>
      <c r="W772" s="1907">
        <v>300</v>
      </c>
      <c r="X772" s="1906" t="s">
        <v>32</v>
      </c>
      <c r="Y772" s="1240" t="s">
        <v>245</v>
      </c>
      <c r="AA772" s="1910" t="s">
        <v>532</v>
      </c>
      <c r="AB772" s="1911" t="s">
        <v>16</v>
      </c>
      <c r="AC772" s="1912" t="s">
        <v>3899</v>
      </c>
    </row>
    <row r="773" spans="1:29" s="634" customFormat="1" ht="15" customHeight="1">
      <c r="A773" s="2240" t="s">
        <v>25</v>
      </c>
      <c r="B773" s="2240" t="s">
        <v>25</v>
      </c>
      <c r="C773" s="210" t="s">
        <v>3817</v>
      </c>
      <c r="D773" s="210" t="s">
        <v>3818</v>
      </c>
      <c r="E773" s="210" t="s">
        <v>3224</v>
      </c>
      <c r="F773" s="210">
        <v>703365717</v>
      </c>
      <c r="G773" s="210">
        <v>787433438</v>
      </c>
      <c r="H773" s="68">
        <v>5.8147599999999997</v>
      </c>
      <c r="I773" s="68">
        <v>-5.3658099999999997</v>
      </c>
      <c r="J773" s="66" t="s">
        <v>2612</v>
      </c>
      <c r="K773" s="68" t="s">
        <v>190</v>
      </c>
      <c r="L773" s="68" t="s">
        <v>3861</v>
      </c>
      <c r="M773" s="68" t="s">
        <v>3891</v>
      </c>
      <c r="N773" s="68">
        <v>2150038941</v>
      </c>
      <c r="O773" s="210" t="s">
        <v>3822</v>
      </c>
      <c r="P773" s="70">
        <f t="shared" ref="P773:P797" ca="1" si="27">TODAY()-Q773</f>
        <v>107</v>
      </c>
      <c r="Q773" s="211">
        <v>45962</v>
      </c>
      <c r="R773" s="241" t="s">
        <v>2641</v>
      </c>
      <c r="S773" s="68"/>
      <c r="T773" s="68">
        <v>0</v>
      </c>
      <c r="U773" s="2241">
        <v>45966</v>
      </c>
      <c r="V773" s="2242" t="s">
        <v>310</v>
      </c>
      <c r="W773" s="68">
        <v>100</v>
      </c>
      <c r="X773" s="2242" t="s">
        <v>32</v>
      </c>
      <c r="Y773" s="68" t="s">
        <v>193</v>
      </c>
      <c r="Z773" s="978"/>
      <c r="AA773" s="353" t="s">
        <v>532</v>
      </c>
      <c r="AB773" s="2245" t="s">
        <v>16</v>
      </c>
      <c r="AC773" s="2245" t="s">
        <v>3886</v>
      </c>
    </row>
    <row r="774" spans="1:29" s="639" customFormat="1" ht="15" hidden="1" customHeight="1" thickBot="1">
      <c r="A774" s="1913" t="s">
        <v>25</v>
      </c>
      <c r="B774" s="1913" t="s">
        <v>25</v>
      </c>
      <c r="C774" s="1914" t="s">
        <v>3699</v>
      </c>
      <c r="D774" s="1914" t="s">
        <v>3700</v>
      </c>
      <c r="E774" s="1914" t="s">
        <v>3248</v>
      </c>
      <c r="F774" s="1914">
        <v>142829777</v>
      </c>
      <c r="G774" s="1914">
        <v>707517259</v>
      </c>
      <c r="H774" s="1915">
        <v>5.8427699999999998</v>
      </c>
      <c r="I774" s="1915">
        <v>-5.3545400000000001</v>
      </c>
      <c r="J774" s="1914" t="s">
        <v>189</v>
      </c>
      <c r="K774" s="1915" t="s">
        <v>198</v>
      </c>
      <c r="L774" s="1915" t="s">
        <v>3365</v>
      </c>
      <c r="M774" s="1914" t="s">
        <v>3892</v>
      </c>
      <c r="N774" s="1914">
        <v>2150038953</v>
      </c>
      <c r="O774" s="1916">
        <v>45952</v>
      </c>
      <c r="P774" s="1917">
        <f t="shared" ca="1" si="27"/>
        <v>116</v>
      </c>
      <c r="Q774" s="1916">
        <v>45953</v>
      </c>
      <c r="R774" s="1918" t="s">
        <v>2641</v>
      </c>
      <c r="S774" s="1915"/>
      <c r="T774" s="1915">
        <v>3</v>
      </c>
      <c r="U774" s="1919">
        <v>45967</v>
      </c>
      <c r="V774" s="1920" t="s">
        <v>310</v>
      </c>
      <c r="W774" s="1915">
        <v>300</v>
      </c>
      <c r="X774" s="1920" t="s">
        <v>32</v>
      </c>
      <c r="Y774" s="639" t="s">
        <v>245</v>
      </c>
      <c r="AA774" s="1921" t="s">
        <v>532</v>
      </c>
      <c r="AB774" s="1922" t="s">
        <v>16</v>
      </c>
      <c r="AC774" s="1923" t="s">
        <v>3894</v>
      </c>
    </row>
    <row r="775" spans="1:29" s="639" customFormat="1" ht="15" hidden="1" customHeight="1" thickBot="1">
      <c r="A775" s="883" t="s">
        <v>25</v>
      </c>
      <c r="B775" s="883" t="s">
        <v>25</v>
      </c>
      <c r="C775" s="895" t="s">
        <v>3750</v>
      </c>
      <c r="D775" s="895" t="s">
        <v>3751</v>
      </c>
      <c r="E775" s="895" t="s">
        <v>3276</v>
      </c>
      <c r="F775" s="895">
        <v>707444784</v>
      </c>
      <c r="G775" s="895">
        <v>140920240</v>
      </c>
      <c r="H775" s="903">
        <v>5.8544099999999997</v>
      </c>
      <c r="I775" s="903">
        <v>-5.3493700000000004</v>
      </c>
      <c r="J775" s="895" t="s">
        <v>189</v>
      </c>
      <c r="K775" s="903" t="s">
        <v>274</v>
      </c>
      <c r="L775" s="903" t="s">
        <v>3667</v>
      </c>
      <c r="M775" s="903" t="s">
        <v>3897</v>
      </c>
      <c r="N775" s="903">
        <v>2150038949</v>
      </c>
      <c r="O775" s="916">
        <v>45954</v>
      </c>
      <c r="P775" s="919">
        <f t="shared" ca="1" si="27"/>
        <v>112</v>
      </c>
      <c r="Q775" s="916">
        <v>45957</v>
      </c>
      <c r="R775" s="921" t="s">
        <v>2641</v>
      </c>
      <c r="S775" s="903"/>
      <c r="T775" s="903">
        <v>1</v>
      </c>
      <c r="U775" s="923">
        <v>45967</v>
      </c>
      <c r="V775" s="927" t="s">
        <v>310</v>
      </c>
      <c r="W775" s="903">
        <v>350</v>
      </c>
      <c r="X775" s="927" t="s">
        <v>32</v>
      </c>
      <c r="Z775" s="640"/>
      <c r="AA775" s="871" t="s">
        <v>532</v>
      </c>
      <c r="AB775" s="872" t="s">
        <v>16</v>
      </c>
      <c r="AC775" s="870" t="s">
        <v>3866</v>
      </c>
    </row>
    <row r="776" spans="1:29" s="639" customFormat="1" ht="15" hidden="1" customHeight="1" thickBot="1">
      <c r="A776" s="883" t="s">
        <v>25</v>
      </c>
      <c r="B776" s="883" t="s">
        <v>25</v>
      </c>
      <c r="C776" s="899" t="s">
        <v>3830</v>
      </c>
      <c r="D776" s="899" t="s">
        <v>3835</v>
      </c>
      <c r="E776" s="899" t="s">
        <v>3838</v>
      </c>
      <c r="F776" s="899">
        <v>153368100</v>
      </c>
      <c r="G776" s="899">
        <v>13368100</v>
      </c>
      <c r="H776" s="903">
        <v>5.8378800000000002</v>
      </c>
      <c r="I776" s="903">
        <v>-5.3562799999999999</v>
      </c>
      <c r="J776" s="899" t="s">
        <v>36</v>
      </c>
      <c r="K776" s="903" t="s">
        <v>190</v>
      </c>
      <c r="L776" s="903" t="s">
        <v>2853</v>
      </c>
      <c r="M776" s="891" t="s">
        <v>3893</v>
      </c>
      <c r="N776" s="891">
        <v>2150038945</v>
      </c>
      <c r="O776" s="918">
        <v>45955</v>
      </c>
      <c r="P776" s="919">
        <f t="shared" ca="1" si="27"/>
        <v>108</v>
      </c>
      <c r="Q776" s="918">
        <v>45961</v>
      </c>
      <c r="R776" s="921" t="s">
        <v>2641</v>
      </c>
      <c r="S776" s="903"/>
      <c r="T776" s="903">
        <v>0</v>
      </c>
      <c r="U776" s="923">
        <v>45967</v>
      </c>
      <c r="V776" s="927" t="s">
        <v>310</v>
      </c>
      <c r="W776" s="903">
        <v>250</v>
      </c>
      <c r="X776" s="927" t="s">
        <v>32</v>
      </c>
      <c r="Y776" s="639" t="s">
        <v>343</v>
      </c>
      <c r="Z776" s="640"/>
      <c r="AA776" s="871" t="s">
        <v>532</v>
      </c>
      <c r="AB776" s="873" t="s">
        <v>16</v>
      </c>
      <c r="AC776" s="872" t="s">
        <v>3923</v>
      </c>
    </row>
    <row r="777" spans="1:29" s="639" customFormat="1" ht="15" hidden="1" customHeight="1" thickBot="1">
      <c r="A777" s="883" t="s">
        <v>25</v>
      </c>
      <c r="B777" s="883" t="s">
        <v>25</v>
      </c>
      <c r="C777" s="890" t="s">
        <v>3851</v>
      </c>
      <c r="D777" s="890" t="s">
        <v>3852</v>
      </c>
      <c r="E777" s="890" t="s">
        <v>375</v>
      </c>
      <c r="F777" s="890">
        <v>777118429</v>
      </c>
      <c r="G777" s="890">
        <v>505712345</v>
      </c>
      <c r="H777" s="903">
        <v>5.8407799999999996</v>
      </c>
      <c r="I777" s="903">
        <v>-5.3706899999999997</v>
      </c>
      <c r="J777" s="890" t="s">
        <v>36</v>
      </c>
      <c r="K777" s="903" t="s">
        <v>203</v>
      </c>
      <c r="L777" s="903" t="s">
        <v>2904</v>
      </c>
      <c r="M777" s="903" t="s">
        <v>3896</v>
      </c>
      <c r="N777" s="903">
        <v>2150038948</v>
      </c>
      <c r="O777" s="911">
        <v>45960</v>
      </c>
      <c r="P777" s="919">
        <f t="shared" ca="1" si="27"/>
        <v>105</v>
      </c>
      <c r="Q777" s="911">
        <v>45964</v>
      </c>
      <c r="R777" s="921" t="s">
        <v>2641</v>
      </c>
      <c r="S777" s="903"/>
      <c r="T777" s="903">
        <v>1</v>
      </c>
      <c r="U777" s="923">
        <v>45967</v>
      </c>
      <c r="V777" s="927" t="s">
        <v>310</v>
      </c>
      <c r="W777" s="903">
        <v>200</v>
      </c>
      <c r="X777" s="927" t="s">
        <v>32</v>
      </c>
      <c r="Y777" s="639" t="s">
        <v>578</v>
      </c>
      <c r="Z777" s="640"/>
      <c r="AA777" s="871" t="s">
        <v>532</v>
      </c>
      <c r="AB777" s="873" t="s">
        <v>16</v>
      </c>
      <c r="AC777" s="872" t="s">
        <v>3922</v>
      </c>
    </row>
    <row r="778" spans="1:29" s="639" customFormat="1" ht="15" hidden="1" customHeight="1" thickBot="1">
      <c r="A778" s="1503" t="s">
        <v>25</v>
      </c>
      <c r="B778" s="1503" t="s">
        <v>25</v>
      </c>
      <c r="C778" s="1504" t="s">
        <v>3868</v>
      </c>
      <c r="D778" s="1504" t="s">
        <v>3869</v>
      </c>
      <c r="E778" s="1504" t="s">
        <v>3870</v>
      </c>
      <c r="F778" s="1504">
        <v>719217239</v>
      </c>
      <c r="G778" s="1504">
        <v>789387011</v>
      </c>
      <c r="H778" s="1505">
        <v>5.8519500000000004</v>
      </c>
      <c r="I778" s="1505">
        <v>-5.3480299999999996</v>
      </c>
      <c r="J778" s="1504" t="s">
        <v>189</v>
      </c>
      <c r="K778" s="1505" t="s">
        <v>198</v>
      </c>
      <c r="L778" s="1505" t="s">
        <v>1085</v>
      </c>
      <c r="M778" s="1505" t="s">
        <v>3895</v>
      </c>
      <c r="N778" s="1505">
        <v>2150038952</v>
      </c>
      <c r="O778" s="1506">
        <v>45965</v>
      </c>
      <c r="P778" s="1507">
        <f t="shared" ca="1" si="27"/>
        <v>103</v>
      </c>
      <c r="Q778" s="1506">
        <v>45966</v>
      </c>
      <c r="R778" s="1508" t="s">
        <v>2641</v>
      </c>
      <c r="S778" s="1505"/>
      <c r="T778" s="1505">
        <v>0</v>
      </c>
      <c r="U778" s="1509">
        <v>45967</v>
      </c>
      <c r="V778" s="1510" t="s">
        <v>310</v>
      </c>
      <c r="W778" s="1505">
        <v>200</v>
      </c>
      <c r="X778" s="1510" t="s">
        <v>32</v>
      </c>
      <c r="Z778" s="640"/>
      <c r="AA778" s="1511" t="s">
        <v>532</v>
      </c>
      <c r="AB778" s="1512" t="s">
        <v>16</v>
      </c>
      <c r="AC778" s="1512" t="s">
        <v>3885</v>
      </c>
    </row>
    <row r="779" spans="1:29" s="634" customFormat="1" ht="15" customHeight="1">
      <c r="A779" s="91" t="s">
        <v>25</v>
      </c>
      <c r="B779" s="91" t="s">
        <v>25</v>
      </c>
      <c r="C779" s="42" t="s">
        <v>3807</v>
      </c>
      <c r="D779" s="42" t="s">
        <v>3808</v>
      </c>
      <c r="E779" s="42" t="s">
        <v>3809</v>
      </c>
      <c r="F779" s="42">
        <v>554124884</v>
      </c>
      <c r="G779" s="42">
        <v>505894428</v>
      </c>
      <c r="H779" s="26">
        <v>5.8243600000000004</v>
      </c>
      <c r="I779" s="26">
        <v>-5.3650599999999997</v>
      </c>
      <c r="J779" s="233" t="s">
        <v>2612</v>
      </c>
      <c r="K779" s="26" t="s">
        <v>198</v>
      </c>
      <c r="L779" s="26" t="s">
        <v>3865</v>
      </c>
      <c r="M779" s="48" t="s">
        <v>3956</v>
      </c>
      <c r="N779" s="48">
        <v>2150038935</v>
      </c>
      <c r="O779" s="315">
        <v>45960</v>
      </c>
      <c r="P779" s="1004">
        <f t="shared" ca="1" si="27"/>
        <v>108</v>
      </c>
      <c r="Q779" s="315">
        <v>45961</v>
      </c>
      <c r="R779" s="42" t="s">
        <v>2641</v>
      </c>
      <c r="S779" s="26"/>
      <c r="T779" s="26">
        <v>0</v>
      </c>
      <c r="U779" s="315">
        <v>45968</v>
      </c>
      <c r="V779" s="48" t="s">
        <v>310</v>
      </c>
      <c r="W779" s="26">
        <v>100</v>
      </c>
      <c r="X779" s="48" t="s">
        <v>32</v>
      </c>
      <c r="Y779" s="26" t="s">
        <v>696</v>
      </c>
      <c r="Z779" s="232"/>
      <c r="AA779" s="89" t="s">
        <v>532</v>
      </c>
      <c r="AB779" s="90" t="s">
        <v>16</v>
      </c>
      <c r="AC779" s="90" t="s">
        <v>3882</v>
      </c>
    </row>
    <row r="780" spans="1:29" ht="15" hidden="1" customHeight="1" thickBot="1">
      <c r="A780" s="1924" t="s">
        <v>25</v>
      </c>
      <c r="B780" s="1924" t="s">
        <v>25</v>
      </c>
      <c r="C780" s="1925" t="s">
        <v>3828</v>
      </c>
      <c r="D780" s="1925" t="s">
        <v>3833</v>
      </c>
      <c r="E780" s="1925" t="s">
        <v>3837</v>
      </c>
      <c r="F780" s="1925">
        <v>769186221</v>
      </c>
      <c r="G780" s="1925">
        <v>769186221</v>
      </c>
      <c r="H780" s="1926">
        <v>5.8534800000000002</v>
      </c>
      <c r="I780" s="1926">
        <v>-5.3537499999999998</v>
      </c>
      <c r="J780" s="1925" t="s">
        <v>189</v>
      </c>
      <c r="K780" s="1926" t="s">
        <v>198</v>
      </c>
      <c r="L780" s="1926" t="s">
        <v>1210</v>
      </c>
      <c r="M780" s="1927" t="s">
        <v>3959</v>
      </c>
      <c r="N780" s="1928">
        <v>2150038951</v>
      </c>
      <c r="O780" s="1929">
        <v>45957</v>
      </c>
      <c r="P780" s="1930">
        <f t="shared" ca="1" si="27"/>
        <v>108</v>
      </c>
      <c r="Q780" s="1929">
        <v>45961</v>
      </c>
      <c r="R780" s="1931" t="s">
        <v>2641</v>
      </c>
      <c r="S780" s="1926"/>
      <c r="T780" s="1926">
        <v>1</v>
      </c>
      <c r="U780" s="1932">
        <v>45968</v>
      </c>
      <c r="V780" s="1933" t="s">
        <v>310</v>
      </c>
      <c r="W780" s="1926">
        <v>350</v>
      </c>
      <c r="X780" s="1933" t="s">
        <v>32</v>
      </c>
      <c r="Y780" s="640" t="s">
        <v>533</v>
      </c>
      <c r="Z780" s="647"/>
      <c r="AA780" s="1934" t="s">
        <v>532</v>
      </c>
      <c r="AB780" s="1935" t="s">
        <v>16</v>
      </c>
      <c r="AC780" s="1936" t="s">
        <v>3933</v>
      </c>
    </row>
    <row r="781" spans="1:29" s="639" customFormat="1" ht="15" hidden="1" customHeight="1" thickBot="1">
      <c r="A781" s="887" t="s">
        <v>25</v>
      </c>
      <c r="B781" s="887" t="s">
        <v>25</v>
      </c>
      <c r="C781" s="896" t="s">
        <v>3904</v>
      </c>
      <c r="D781" s="900" t="s">
        <v>339</v>
      </c>
      <c r="E781" s="900" t="s">
        <v>3905</v>
      </c>
      <c r="F781" s="900">
        <v>102620694</v>
      </c>
      <c r="G781" s="900">
        <v>102620694</v>
      </c>
      <c r="H781" s="870">
        <v>5.84009</v>
      </c>
      <c r="I781" s="870">
        <v>-5.3564999999999996</v>
      </c>
      <c r="J781" s="870" t="s">
        <v>36</v>
      </c>
      <c r="K781" s="870" t="s">
        <v>190</v>
      </c>
      <c r="L781" s="870" t="s">
        <v>2853</v>
      </c>
      <c r="M781" s="909" t="s">
        <v>3957</v>
      </c>
      <c r="N781" s="909">
        <v>2150038947</v>
      </c>
      <c r="O781" s="917">
        <v>45966</v>
      </c>
      <c r="P781" s="920">
        <f t="shared" ca="1" si="27"/>
        <v>102</v>
      </c>
      <c r="Q781" s="917">
        <v>45967</v>
      </c>
      <c r="R781" s="873" t="s">
        <v>2641</v>
      </c>
      <c r="S781" s="897"/>
      <c r="T781" s="897">
        <v>0</v>
      </c>
      <c r="U781" s="915">
        <v>45968</v>
      </c>
      <c r="V781" s="897" t="s">
        <v>310</v>
      </c>
      <c r="W781" s="909">
        <v>350</v>
      </c>
      <c r="X781" s="909" t="s">
        <v>32</v>
      </c>
      <c r="Y781" s="640" t="s">
        <v>578</v>
      </c>
      <c r="Z781" s="663"/>
      <c r="AA781" s="932" t="s">
        <v>532</v>
      </c>
      <c r="AB781" s="931" t="s">
        <v>16</v>
      </c>
      <c r="AC781" s="930" t="s">
        <v>3935</v>
      </c>
    </row>
    <row r="782" spans="1:29" s="639" customFormat="1" ht="15" hidden="1" customHeight="1" thickBot="1">
      <c r="A782" s="1513" t="s">
        <v>25</v>
      </c>
      <c r="B782" s="1513" t="s">
        <v>25</v>
      </c>
      <c r="C782" s="1514" t="s">
        <v>3919</v>
      </c>
      <c r="D782" s="1515" t="s">
        <v>339</v>
      </c>
      <c r="E782" s="1515" t="s">
        <v>3905</v>
      </c>
      <c r="F782" s="1515">
        <v>102620694</v>
      </c>
      <c r="G782" s="1515">
        <v>103620694</v>
      </c>
      <c r="H782" s="1516">
        <v>5.84009</v>
      </c>
      <c r="I782" s="1516">
        <v>-5.3564999999999996</v>
      </c>
      <c r="J782" s="1516" t="s">
        <v>36</v>
      </c>
      <c r="K782" s="1516" t="s">
        <v>190</v>
      </c>
      <c r="L782" s="1516" t="s">
        <v>2853</v>
      </c>
      <c r="M782" s="1517" t="s">
        <v>3958</v>
      </c>
      <c r="N782" s="1517">
        <v>2150038946</v>
      </c>
      <c r="O782" s="1518">
        <v>45966</v>
      </c>
      <c r="P782" s="1519">
        <f t="shared" ca="1" si="27"/>
        <v>102</v>
      </c>
      <c r="Q782" s="1518">
        <v>45967</v>
      </c>
      <c r="R782" s="1520" t="s">
        <v>2641</v>
      </c>
      <c r="S782" s="1521"/>
      <c r="T782" s="1521">
        <v>0</v>
      </c>
      <c r="U782" s="1522">
        <v>45968</v>
      </c>
      <c r="V782" s="1521" t="s">
        <v>310</v>
      </c>
      <c r="W782" s="1517">
        <v>350</v>
      </c>
      <c r="X782" s="1517" t="s">
        <v>32</v>
      </c>
      <c r="Y782" s="640" t="s">
        <v>627</v>
      </c>
      <c r="Z782" s="796"/>
      <c r="AA782" s="1523" t="s">
        <v>532</v>
      </c>
      <c r="AB782" s="1524" t="s">
        <v>16</v>
      </c>
      <c r="AC782" s="1525" t="s">
        <v>3930</v>
      </c>
    </row>
    <row r="783" spans="1:29" s="634" customFormat="1" ht="15" customHeight="1">
      <c r="A783" s="1009" t="s">
        <v>25</v>
      </c>
      <c r="B783" s="1009" t="s">
        <v>25</v>
      </c>
      <c r="C783" s="263" t="s">
        <v>3880</v>
      </c>
      <c r="D783" s="263" t="s">
        <v>3881</v>
      </c>
      <c r="E783" s="263" t="s">
        <v>3166</v>
      </c>
      <c r="F783" s="263">
        <v>709052730</v>
      </c>
      <c r="G783" s="263">
        <v>506734044</v>
      </c>
      <c r="H783" s="232"/>
      <c r="I783" s="232"/>
      <c r="J783" s="263" t="s">
        <v>2612</v>
      </c>
      <c r="K783" s="232" t="s">
        <v>190</v>
      </c>
      <c r="L783" s="232" t="s">
        <v>3092</v>
      </c>
      <c r="M783" s="89" t="s">
        <v>3960</v>
      </c>
      <c r="N783" s="89">
        <v>2150038944</v>
      </c>
      <c r="O783" s="2246">
        <v>45965</v>
      </c>
      <c r="P783" s="1010">
        <f t="shared" ca="1" si="27"/>
        <v>102</v>
      </c>
      <c r="Q783" s="2247">
        <v>45967</v>
      </c>
      <c r="R783" s="264" t="s">
        <v>2641</v>
      </c>
      <c r="S783" s="232"/>
      <c r="T783" s="232">
        <v>1</v>
      </c>
      <c r="U783" s="265">
        <v>45969</v>
      </c>
      <c r="V783" s="89" t="s">
        <v>310</v>
      </c>
      <c r="W783" s="232">
        <v>200</v>
      </c>
      <c r="X783" s="89" t="s">
        <v>32</v>
      </c>
      <c r="Y783" s="232" t="s">
        <v>697</v>
      </c>
      <c r="Z783" s="1017"/>
      <c r="AA783" s="962" t="s">
        <v>532</v>
      </c>
      <c r="AB783" s="961" t="s">
        <v>16</v>
      </c>
      <c r="AC783" s="1017" t="s">
        <v>3932</v>
      </c>
    </row>
    <row r="784" spans="1:29" s="634" customFormat="1" ht="15" customHeight="1" thickBot="1">
      <c r="A784" s="1009" t="s">
        <v>25</v>
      </c>
      <c r="B784" s="1009" t="s">
        <v>25</v>
      </c>
      <c r="C784" s="89" t="s">
        <v>3917</v>
      </c>
      <c r="D784" s="89" t="s">
        <v>3918</v>
      </c>
      <c r="E784" s="89" t="s">
        <v>3546</v>
      </c>
      <c r="F784" s="89">
        <v>716346752</v>
      </c>
      <c r="G784" s="89">
        <v>748972646</v>
      </c>
      <c r="H784" s="232">
        <v>5.8208399999999996</v>
      </c>
      <c r="I784" s="232">
        <v>-5.35778</v>
      </c>
      <c r="J784" s="232" t="s">
        <v>2612</v>
      </c>
      <c r="K784" s="232" t="s">
        <v>198</v>
      </c>
      <c r="L784" s="232" t="s">
        <v>3780</v>
      </c>
      <c r="M784" s="89" t="s">
        <v>3960</v>
      </c>
      <c r="N784" s="89">
        <v>2150038944</v>
      </c>
      <c r="O784" s="2246">
        <v>45965</v>
      </c>
      <c r="P784" s="1010">
        <f t="shared" ca="1" si="27"/>
        <v>102</v>
      </c>
      <c r="Q784" s="2247">
        <v>45967</v>
      </c>
      <c r="R784" s="1009" t="s">
        <v>2641</v>
      </c>
      <c r="S784" s="264"/>
      <c r="T784" s="264">
        <v>0</v>
      </c>
      <c r="U784" s="2246">
        <v>45969</v>
      </c>
      <c r="V784" s="264" t="s">
        <v>310</v>
      </c>
      <c r="W784" s="89">
        <v>200</v>
      </c>
      <c r="X784" s="89" t="s">
        <v>32</v>
      </c>
      <c r="Y784" s="232" t="s">
        <v>696</v>
      </c>
      <c r="Z784" s="1017"/>
      <c r="AA784" s="964" t="s">
        <v>532</v>
      </c>
      <c r="AB784" s="798" t="s">
        <v>16</v>
      </c>
      <c r="AC784" s="1017" t="s">
        <v>3857</v>
      </c>
    </row>
    <row r="785" spans="1:30" s="861" customFormat="1" ht="15" hidden="1" customHeight="1" thickBot="1">
      <c r="A785" s="1937" t="s">
        <v>25</v>
      </c>
      <c r="B785" s="1937" t="s">
        <v>25</v>
      </c>
      <c r="C785" s="1938" t="s">
        <v>3912</v>
      </c>
      <c r="D785" s="1939" t="s">
        <v>3913</v>
      </c>
      <c r="E785" s="1939" t="s">
        <v>2057</v>
      </c>
      <c r="F785" s="1939">
        <v>777582953</v>
      </c>
      <c r="G785" s="1939">
        <v>707174316</v>
      </c>
      <c r="H785" s="1940">
        <v>5.8522499999999997</v>
      </c>
      <c r="I785" s="1940">
        <v>-5.3492800000000003</v>
      </c>
      <c r="J785" s="1940" t="s">
        <v>189</v>
      </c>
      <c r="K785" s="1940" t="s">
        <v>198</v>
      </c>
      <c r="L785" s="1940" t="s">
        <v>712</v>
      </c>
      <c r="M785" s="1941" t="s">
        <v>3967</v>
      </c>
      <c r="N785" s="1942">
        <v>2150038433</v>
      </c>
      <c r="O785" s="1943">
        <v>45965</v>
      </c>
      <c r="P785" s="1944">
        <f t="shared" ca="1" si="27"/>
        <v>102</v>
      </c>
      <c r="Q785" s="1945">
        <v>45967</v>
      </c>
      <c r="R785" s="1946" t="s">
        <v>2641</v>
      </c>
      <c r="S785" s="1947"/>
      <c r="T785" s="1947">
        <v>0</v>
      </c>
      <c r="U785" s="1948">
        <v>45971</v>
      </c>
      <c r="V785" s="1947" t="s">
        <v>310</v>
      </c>
      <c r="W785" s="1949">
        <v>200</v>
      </c>
      <c r="X785" s="1949" t="s">
        <v>32</v>
      </c>
      <c r="Y785" s="1940" t="s">
        <v>578</v>
      </c>
      <c r="Z785" s="1898"/>
      <c r="AA785" s="1950" t="s">
        <v>532</v>
      </c>
      <c r="AB785" s="1951" t="s">
        <v>16</v>
      </c>
      <c r="AC785" s="1952" t="s">
        <v>3994</v>
      </c>
    </row>
    <row r="786" spans="1:30" s="1051" customFormat="1" ht="15" customHeight="1" thickBot="1">
      <c r="A786" s="961" t="s">
        <v>25</v>
      </c>
      <c r="B786" s="961" t="s">
        <v>25</v>
      </c>
      <c r="C786" s="964" t="s">
        <v>3914</v>
      </c>
      <c r="D786" s="964" t="s">
        <v>3915</v>
      </c>
      <c r="E786" s="964" t="s">
        <v>3916</v>
      </c>
      <c r="F786" s="964">
        <v>713474195</v>
      </c>
      <c r="G786" s="964">
        <v>769126438</v>
      </c>
      <c r="H786" s="1017">
        <v>5.8182799999999997</v>
      </c>
      <c r="I786" s="1017">
        <v>-5.3629199999999999</v>
      </c>
      <c r="J786" s="1017" t="s">
        <v>2612</v>
      </c>
      <c r="K786" s="1017" t="s">
        <v>190</v>
      </c>
      <c r="L786" s="1017" t="s">
        <v>3300</v>
      </c>
      <c r="M786" s="964" t="s">
        <v>3969</v>
      </c>
      <c r="N786" s="964">
        <v>2150038424</v>
      </c>
      <c r="O786" s="963">
        <v>45965</v>
      </c>
      <c r="P786" s="1018">
        <f t="shared" ca="1" si="27"/>
        <v>102</v>
      </c>
      <c r="Q786" s="1020">
        <v>45967</v>
      </c>
      <c r="R786" s="961" t="s">
        <v>2641</v>
      </c>
      <c r="S786" s="962"/>
      <c r="T786" s="962">
        <v>1</v>
      </c>
      <c r="U786" s="2248">
        <v>45972</v>
      </c>
      <c r="V786" s="962" t="s">
        <v>310</v>
      </c>
      <c r="W786" s="964">
        <v>200</v>
      </c>
      <c r="X786" s="964" t="s">
        <v>32</v>
      </c>
      <c r="Y786" s="1017" t="s">
        <v>696</v>
      </c>
      <c r="Z786" s="68"/>
      <c r="AA786" s="77" t="s">
        <v>532</v>
      </c>
      <c r="AB786" s="78" t="s">
        <v>16</v>
      </c>
      <c r="AC786" s="68" t="s">
        <v>3928</v>
      </c>
      <c r="AD786" s="1052"/>
    </row>
    <row r="787" spans="1:30" s="1051" customFormat="1" ht="15" customHeight="1" thickBot="1">
      <c r="A787" s="961" t="s">
        <v>25</v>
      </c>
      <c r="B787" s="961" t="s">
        <v>25</v>
      </c>
      <c r="C787" s="964" t="s">
        <v>3920</v>
      </c>
      <c r="D787" s="964" t="s">
        <v>3921</v>
      </c>
      <c r="E787" s="964" t="s">
        <v>3546</v>
      </c>
      <c r="F787" s="964">
        <v>759489957</v>
      </c>
      <c r="G787" s="964">
        <v>504160333</v>
      </c>
      <c r="H787" s="1017">
        <v>5.8212700000000002</v>
      </c>
      <c r="I787" s="1017">
        <v>-5.3661899999999996</v>
      </c>
      <c r="J787" s="1017" t="s">
        <v>2612</v>
      </c>
      <c r="K787" s="1017" t="s">
        <v>198</v>
      </c>
      <c r="L787" s="1017" t="s">
        <v>3931</v>
      </c>
      <c r="M787" s="964" t="s">
        <v>3966</v>
      </c>
      <c r="N787" s="964">
        <v>2150038432</v>
      </c>
      <c r="O787" s="963">
        <v>45965</v>
      </c>
      <c r="P787" s="1018">
        <f t="shared" ca="1" si="27"/>
        <v>102</v>
      </c>
      <c r="Q787" s="1020">
        <v>45967</v>
      </c>
      <c r="R787" s="961" t="s">
        <v>2641</v>
      </c>
      <c r="S787" s="962"/>
      <c r="T787" s="962">
        <v>0</v>
      </c>
      <c r="U787" s="2248">
        <v>45972</v>
      </c>
      <c r="V787" s="962" t="s">
        <v>310</v>
      </c>
      <c r="W787" s="964">
        <v>200</v>
      </c>
      <c r="X787" s="964" t="s">
        <v>32</v>
      </c>
      <c r="Y787" s="1017" t="s">
        <v>697</v>
      </c>
      <c r="Z787" s="68"/>
      <c r="AA787" s="77" t="s">
        <v>532</v>
      </c>
      <c r="AB787" s="78" t="s">
        <v>16</v>
      </c>
      <c r="AC787" s="68" t="s">
        <v>3961</v>
      </c>
      <c r="AD787" s="1052"/>
    </row>
    <row r="788" spans="1:30" s="1051" customFormat="1" ht="15" customHeight="1" thickBot="1">
      <c r="A788" s="961" t="s">
        <v>25</v>
      </c>
      <c r="B788" s="961" t="s">
        <v>25</v>
      </c>
      <c r="C788" s="1019" t="s">
        <v>3784</v>
      </c>
      <c r="D788" s="1019" t="s">
        <v>3785</v>
      </c>
      <c r="E788" s="1019" t="s">
        <v>3053</v>
      </c>
      <c r="F788" s="1019">
        <v>101009090</v>
      </c>
      <c r="G788" s="1019">
        <v>707942938</v>
      </c>
      <c r="H788" s="1017">
        <v>5.8175100000000004</v>
      </c>
      <c r="I788" s="1017">
        <v>-5.3631200000000003</v>
      </c>
      <c r="J788" s="1019" t="s">
        <v>2612</v>
      </c>
      <c r="K788" s="1017" t="s">
        <v>190</v>
      </c>
      <c r="L788" s="1017" t="s">
        <v>3775</v>
      </c>
      <c r="M788" s="964" t="s">
        <v>3968</v>
      </c>
      <c r="N788" s="964">
        <v>2150038425</v>
      </c>
      <c r="O788" s="963">
        <v>45952</v>
      </c>
      <c r="P788" s="1018">
        <f t="shared" ca="1" si="27"/>
        <v>109</v>
      </c>
      <c r="Q788" s="963">
        <v>45960</v>
      </c>
      <c r="R788" s="962" t="s">
        <v>2641</v>
      </c>
      <c r="S788" s="1017"/>
      <c r="T788" s="1017">
        <v>0</v>
      </c>
      <c r="U788" s="2248">
        <v>45972</v>
      </c>
      <c r="V788" s="964" t="s">
        <v>310</v>
      </c>
      <c r="W788" s="1017">
        <v>100</v>
      </c>
      <c r="X788" s="964" t="s">
        <v>32</v>
      </c>
      <c r="Y788" s="1017" t="s">
        <v>697</v>
      </c>
      <c r="Z788" s="68"/>
      <c r="AA788" s="77" t="s">
        <v>532</v>
      </c>
      <c r="AB788" s="78" t="s">
        <v>16</v>
      </c>
      <c r="AC788" s="68" t="s">
        <v>3929</v>
      </c>
      <c r="AD788" s="1052"/>
    </row>
    <row r="789" spans="1:30" s="1051" customFormat="1" ht="15" customHeight="1" thickBot="1">
      <c r="A789" s="78" t="s">
        <v>25</v>
      </c>
      <c r="B789" s="78" t="s">
        <v>25</v>
      </c>
      <c r="C789" s="67" t="s">
        <v>3752</v>
      </c>
      <c r="D789" s="67" t="s">
        <v>3753</v>
      </c>
      <c r="E789" s="67" t="s">
        <v>3400</v>
      </c>
      <c r="F789" s="67">
        <v>709111272</v>
      </c>
      <c r="G789" s="67">
        <v>709111272</v>
      </c>
      <c r="H789" s="68"/>
      <c r="I789" s="68"/>
      <c r="J789" s="67" t="s">
        <v>2612</v>
      </c>
      <c r="K789" s="68" t="s">
        <v>274</v>
      </c>
      <c r="L789" s="68" t="s">
        <v>3993</v>
      </c>
      <c r="M789" s="68" t="s">
        <v>3992</v>
      </c>
      <c r="N789" s="68">
        <v>2150038419</v>
      </c>
      <c r="O789" s="254">
        <v>45954</v>
      </c>
      <c r="P789" s="2249">
        <f t="shared" ca="1" si="27"/>
        <v>112</v>
      </c>
      <c r="Q789" s="254">
        <v>45957</v>
      </c>
      <c r="R789" s="67" t="s">
        <v>2641</v>
      </c>
      <c r="S789" s="68"/>
      <c r="T789" s="68">
        <v>0</v>
      </c>
      <c r="U789" s="254">
        <v>45973</v>
      </c>
      <c r="V789" s="77" t="s">
        <v>310</v>
      </c>
      <c r="W789" s="68"/>
      <c r="X789" s="77" t="s">
        <v>32</v>
      </c>
      <c r="Y789" s="68"/>
      <c r="Z789" s="68"/>
      <c r="AA789" s="77" t="s">
        <v>532</v>
      </c>
      <c r="AB789" s="68" t="s">
        <v>16</v>
      </c>
      <c r="AC789" s="1306" t="s">
        <v>3742</v>
      </c>
      <c r="AD789" s="1052"/>
    </row>
    <row r="790" spans="1:30" s="1051" customFormat="1" ht="15" customHeight="1" thickBot="1">
      <c r="A790" s="78" t="s">
        <v>25</v>
      </c>
      <c r="B790" s="78" t="s">
        <v>25</v>
      </c>
      <c r="C790" s="77" t="s">
        <v>3906</v>
      </c>
      <c r="D790" s="77" t="s">
        <v>3907</v>
      </c>
      <c r="E790" s="77" t="s">
        <v>3400</v>
      </c>
      <c r="F790" s="77">
        <v>700836684</v>
      </c>
      <c r="G790" s="77">
        <v>505160006</v>
      </c>
      <c r="H790" s="68">
        <v>5.8276500000000002</v>
      </c>
      <c r="I790" s="68">
        <v>-5.3639400000000004</v>
      </c>
      <c r="J790" s="68" t="s">
        <v>2612</v>
      </c>
      <c r="K790" s="68" t="s">
        <v>274</v>
      </c>
      <c r="L790" s="68" t="s">
        <v>3927</v>
      </c>
      <c r="M790" s="77" t="s">
        <v>3979</v>
      </c>
      <c r="N790" s="77">
        <v>2150038417</v>
      </c>
      <c r="O790" s="258">
        <v>45965</v>
      </c>
      <c r="P790" s="2249">
        <f t="shared" ca="1" si="27"/>
        <v>102</v>
      </c>
      <c r="Q790" s="1307">
        <v>45967</v>
      </c>
      <c r="R790" s="78" t="s">
        <v>2641</v>
      </c>
      <c r="S790" s="67"/>
      <c r="T790" s="67">
        <v>1</v>
      </c>
      <c r="U790" s="254">
        <v>45973</v>
      </c>
      <c r="V790" s="67" t="s">
        <v>310</v>
      </c>
      <c r="W790" s="77">
        <v>150</v>
      </c>
      <c r="X790" s="77" t="s">
        <v>32</v>
      </c>
      <c r="Y790" s="68"/>
      <c r="Z790" s="1047"/>
      <c r="AA790" s="1047" t="s">
        <v>532</v>
      </c>
      <c r="AB790" s="949" t="s">
        <v>16</v>
      </c>
      <c r="AC790" s="1050" t="s">
        <v>3995</v>
      </c>
      <c r="AD790" s="1052"/>
    </row>
    <row r="791" spans="1:30" s="1051" customFormat="1" ht="15" customHeight="1" thickBot="1">
      <c r="A791" s="78" t="s">
        <v>25</v>
      </c>
      <c r="B791" s="78" t="s">
        <v>25</v>
      </c>
      <c r="C791" s="78" t="s">
        <v>3954</v>
      </c>
      <c r="D791" s="78" t="s">
        <v>3955</v>
      </c>
      <c r="E791" s="78" t="s">
        <v>3326</v>
      </c>
      <c r="F791" s="78">
        <v>143300609</v>
      </c>
      <c r="G791" s="78">
        <v>748368627</v>
      </c>
      <c r="H791" s="68">
        <v>5.81182</v>
      </c>
      <c r="I791" s="68">
        <v>-5.3653500000000003</v>
      </c>
      <c r="J791" s="78" t="s">
        <v>2612</v>
      </c>
      <c r="K791" s="68" t="s">
        <v>203</v>
      </c>
      <c r="L791" s="68" t="s">
        <v>3652</v>
      </c>
      <c r="M791" s="77" t="s">
        <v>3972</v>
      </c>
      <c r="N791" s="77">
        <v>2150038414</v>
      </c>
      <c r="O791" s="79">
        <v>45968</v>
      </c>
      <c r="P791" s="2249">
        <f t="shared" ca="1" si="27"/>
        <v>100</v>
      </c>
      <c r="Q791" s="79">
        <v>45969</v>
      </c>
      <c r="R791" s="78" t="s">
        <v>2641</v>
      </c>
      <c r="S791" s="67"/>
      <c r="T791" s="67">
        <v>0</v>
      </c>
      <c r="U791" s="254">
        <v>45973</v>
      </c>
      <c r="V791" s="67" t="s">
        <v>310</v>
      </c>
      <c r="W791" s="77">
        <v>300</v>
      </c>
      <c r="X791" s="77" t="s">
        <v>32</v>
      </c>
      <c r="Y791" s="68"/>
      <c r="Z791" s="1047"/>
      <c r="AA791" s="950" t="s">
        <v>532</v>
      </c>
      <c r="AB791" s="949" t="s">
        <v>16</v>
      </c>
      <c r="AC791" s="1047" t="s">
        <v>3934</v>
      </c>
      <c r="AD791" s="1052"/>
    </row>
    <row r="792" spans="1:30" s="1051" customFormat="1" ht="15" customHeight="1" thickBot="1">
      <c r="A792" s="78" t="s">
        <v>25</v>
      </c>
      <c r="B792" s="78" t="s">
        <v>25</v>
      </c>
      <c r="C792" s="77" t="s">
        <v>3908</v>
      </c>
      <c r="D792" s="77" t="s">
        <v>3909</v>
      </c>
      <c r="E792" s="77" t="s">
        <v>3400</v>
      </c>
      <c r="F792" s="77">
        <v>710591813</v>
      </c>
      <c r="G792" s="77">
        <v>506551795</v>
      </c>
      <c r="H792" s="68">
        <v>5.8277299999999999</v>
      </c>
      <c r="I792" s="68">
        <v>-5.3631000000000002</v>
      </c>
      <c r="J792" s="68" t="s">
        <v>2612</v>
      </c>
      <c r="K792" s="68" t="s">
        <v>274</v>
      </c>
      <c r="L792" s="68" t="s">
        <v>3471</v>
      </c>
      <c r="M792" s="77" t="s">
        <v>3970</v>
      </c>
      <c r="N792" s="77">
        <v>2150038416</v>
      </c>
      <c r="O792" s="258">
        <v>45965</v>
      </c>
      <c r="P792" s="2249">
        <f t="shared" ca="1" si="27"/>
        <v>102</v>
      </c>
      <c r="Q792" s="1307">
        <v>45967</v>
      </c>
      <c r="R792" s="78" t="s">
        <v>2641</v>
      </c>
      <c r="S792" s="67"/>
      <c r="T792" s="67">
        <v>1</v>
      </c>
      <c r="U792" s="254">
        <v>45973</v>
      </c>
      <c r="V792" s="67" t="s">
        <v>310</v>
      </c>
      <c r="W792" s="77">
        <v>250</v>
      </c>
      <c r="X792" s="77" t="s">
        <v>32</v>
      </c>
      <c r="Y792" s="68"/>
      <c r="Z792" s="1047"/>
      <c r="AA792" s="950" t="s">
        <v>532</v>
      </c>
      <c r="AB792" s="949" t="s">
        <v>16</v>
      </c>
      <c r="AC792" s="1047" t="s">
        <v>3963</v>
      </c>
      <c r="AD792" s="1052"/>
    </row>
    <row r="793" spans="1:30" s="1051" customFormat="1" ht="15" customHeight="1" thickBot="1">
      <c r="A793" s="78" t="s">
        <v>25</v>
      </c>
      <c r="B793" s="78" t="s">
        <v>25</v>
      </c>
      <c r="C793" s="77" t="s">
        <v>3711</v>
      </c>
      <c r="D793" s="77" t="s">
        <v>3431</v>
      </c>
      <c r="E793" s="77" t="s">
        <v>3712</v>
      </c>
      <c r="F793" s="77">
        <v>797767106</v>
      </c>
      <c r="G793" s="77">
        <v>709808586</v>
      </c>
      <c r="H793" s="68">
        <v>5.8269799999999998</v>
      </c>
      <c r="I793" s="68">
        <v>-5.3575100000000004</v>
      </c>
      <c r="J793" s="77" t="s">
        <v>2612</v>
      </c>
      <c r="K793" s="68" t="s">
        <v>274</v>
      </c>
      <c r="L793" s="68" t="s">
        <v>3741</v>
      </c>
      <c r="M793" s="77" t="s">
        <v>3979</v>
      </c>
      <c r="N793" s="77">
        <v>2150038417</v>
      </c>
      <c r="O793" s="1307">
        <v>45952</v>
      </c>
      <c r="P793" s="2249">
        <f t="shared" ca="1" si="27"/>
        <v>116</v>
      </c>
      <c r="Q793" s="1307">
        <v>45953</v>
      </c>
      <c r="R793" s="67" t="s">
        <v>2641</v>
      </c>
      <c r="S793" s="68"/>
      <c r="T793" s="68">
        <v>1</v>
      </c>
      <c r="U793" s="254">
        <v>45973</v>
      </c>
      <c r="V793" s="77" t="s">
        <v>310</v>
      </c>
      <c r="W793" s="68">
        <v>300</v>
      </c>
      <c r="X793" s="77" t="s">
        <v>32</v>
      </c>
      <c r="Y793" s="68"/>
      <c r="Z793" s="1047"/>
      <c r="AA793" s="950" t="s">
        <v>532</v>
      </c>
      <c r="AB793" s="949" t="s">
        <v>16</v>
      </c>
      <c r="AC793" s="1050" t="s">
        <v>3998</v>
      </c>
      <c r="AD793" s="1052"/>
    </row>
    <row r="794" spans="1:30" ht="15" hidden="1" customHeight="1" thickBot="1">
      <c r="A794" s="1953" t="s">
        <v>25</v>
      </c>
      <c r="B794" s="1954" t="s">
        <v>25</v>
      </c>
      <c r="C794" s="1954" t="s">
        <v>2000</v>
      </c>
      <c r="D794" s="1954" t="s">
        <v>2001</v>
      </c>
      <c r="E794" s="1954" t="s">
        <v>46</v>
      </c>
      <c r="F794" s="1955">
        <v>142334207</v>
      </c>
      <c r="G794" s="1954">
        <v>707633119</v>
      </c>
      <c r="H794" s="1956">
        <v>5.849145</v>
      </c>
      <c r="I794" s="1956">
        <v>-5.35886</v>
      </c>
      <c r="J794" s="1956" t="s">
        <v>189</v>
      </c>
      <c r="K794" s="1956" t="s">
        <v>198</v>
      </c>
      <c r="L794" s="1956" t="s">
        <v>2218</v>
      </c>
      <c r="M794" s="1957" t="s">
        <v>3997</v>
      </c>
      <c r="N794" s="1958">
        <v>2150038418</v>
      </c>
      <c r="O794" s="1959">
        <v>45789</v>
      </c>
      <c r="P794" s="1960">
        <f t="shared" ca="1" si="27"/>
        <v>278</v>
      </c>
      <c r="Q794" s="1959">
        <v>45791</v>
      </c>
      <c r="R794" s="1956" t="s">
        <v>273</v>
      </c>
      <c r="S794" s="1956"/>
      <c r="T794" s="1956">
        <v>4</v>
      </c>
      <c r="U794" s="1961">
        <v>45974</v>
      </c>
      <c r="V794" s="1956" t="s">
        <v>310</v>
      </c>
      <c r="W794" s="1956">
        <v>350</v>
      </c>
      <c r="X794" s="1954" t="s">
        <v>32</v>
      </c>
      <c r="Y794" s="1957" t="s">
        <v>627</v>
      </c>
      <c r="Z794" s="1962"/>
      <c r="AA794" s="1963" t="s">
        <v>532</v>
      </c>
      <c r="AB794" s="1963" t="s">
        <v>16</v>
      </c>
      <c r="AC794" s="1964" t="s">
        <v>4044</v>
      </c>
    </row>
    <row r="795" spans="1:30" ht="15" hidden="1" customHeight="1" thickBot="1">
      <c r="A795" s="1072" t="s">
        <v>25</v>
      </c>
      <c r="B795" s="1086" t="s">
        <v>25</v>
      </c>
      <c r="C795" s="1111" t="s">
        <v>3910</v>
      </c>
      <c r="D795" s="1023" t="s">
        <v>3911</v>
      </c>
      <c r="E795" s="1023" t="s">
        <v>621</v>
      </c>
      <c r="F795" s="1023">
        <v>748663657</v>
      </c>
      <c r="G795" s="1023">
        <v>554040702</v>
      </c>
      <c r="H795" s="1118">
        <v>5.8204099999999999</v>
      </c>
      <c r="I795" s="1118">
        <v>-5.3598400000000002</v>
      </c>
      <c r="J795" s="1118" t="s">
        <v>189</v>
      </c>
      <c r="K795" s="1118" t="s">
        <v>198</v>
      </c>
      <c r="L795" s="1118" t="s">
        <v>888</v>
      </c>
      <c r="M795" s="1135" t="s">
        <v>3971</v>
      </c>
      <c r="N795" s="1156">
        <v>2150038415</v>
      </c>
      <c r="O795" s="1188">
        <v>45965</v>
      </c>
      <c r="P795" s="1191">
        <f t="shared" ca="1" si="27"/>
        <v>102</v>
      </c>
      <c r="Q795" s="1025">
        <v>45967</v>
      </c>
      <c r="R795" s="1091" t="s">
        <v>2641</v>
      </c>
      <c r="S795" s="1202"/>
      <c r="T795" s="1202">
        <v>1</v>
      </c>
      <c r="U795" s="1214">
        <v>45974</v>
      </c>
      <c r="V795" s="1202" t="s">
        <v>310</v>
      </c>
      <c r="W795" s="1024">
        <v>350</v>
      </c>
      <c r="X795" s="1024" t="s">
        <v>32</v>
      </c>
      <c r="Y795" s="1138" t="s">
        <v>193</v>
      </c>
      <c r="Z795" s="936"/>
      <c r="AA795" s="937" t="s">
        <v>532</v>
      </c>
      <c r="AB795" s="937" t="s">
        <v>16</v>
      </c>
      <c r="AC795" s="938" t="s">
        <v>4045</v>
      </c>
    </row>
    <row r="796" spans="1:30" ht="15" hidden="1" customHeight="1" thickBot="1">
      <c r="A796" s="1072" t="s">
        <v>25</v>
      </c>
      <c r="B796" s="1086" t="s">
        <v>25</v>
      </c>
      <c r="C796" s="1096" t="s">
        <v>3936</v>
      </c>
      <c r="D796" s="1096" t="s">
        <v>3937</v>
      </c>
      <c r="E796" s="1096" t="s">
        <v>3938</v>
      </c>
      <c r="F796" s="1096">
        <v>103440088</v>
      </c>
      <c r="G796" s="1096">
        <v>707003303</v>
      </c>
      <c r="H796" s="1118">
        <v>5.8345200000000004</v>
      </c>
      <c r="I796" s="1118">
        <v>-5.3659699999999999</v>
      </c>
      <c r="J796" s="1096" t="s">
        <v>36</v>
      </c>
      <c r="K796" s="1118" t="s">
        <v>203</v>
      </c>
      <c r="L796" s="1118" t="s">
        <v>3962</v>
      </c>
      <c r="M796" s="1135" t="s">
        <v>3978</v>
      </c>
      <c r="N796" s="1156">
        <v>2150038421</v>
      </c>
      <c r="O796" s="1168">
        <v>45968</v>
      </c>
      <c r="P796" s="1191">
        <f t="shared" ca="1" si="27"/>
        <v>100</v>
      </c>
      <c r="Q796" s="1168">
        <v>45969</v>
      </c>
      <c r="R796" s="1091" t="s">
        <v>2641</v>
      </c>
      <c r="S796" s="1202"/>
      <c r="T796" s="1202">
        <v>1</v>
      </c>
      <c r="U796" s="1214">
        <v>45974</v>
      </c>
      <c r="V796" s="1202" t="s">
        <v>310</v>
      </c>
      <c r="W796" s="1024">
        <v>200</v>
      </c>
      <c r="X796" s="1024" t="s">
        <v>32</v>
      </c>
      <c r="Y796" s="1138" t="s">
        <v>193</v>
      </c>
      <c r="Z796" s="936"/>
      <c r="AA796" s="937" t="s">
        <v>532</v>
      </c>
      <c r="AB796" s="937" t="s">
        <v>16</v>
      </c>
      <c r="AC796" s="938" t="s">
        <v>4047</v>
      </c>
    </row>
    <row r="797" spans="1:30" ht="15" hidden="1" customHeight="1" thickBot="1">
      <c r="A797" s="1072" t="s">
        <v>25</v>
      </c>
      <c r="B797" s="1086" t="s">
        <v>25</v>
      </c>
      <c r="C797" s="1096" t="s">
        <v>3947</v>
      </c>
      <c r="D797" s="1096" t="s">
        <v>3948</v>
      </c>
      <c r="E797" s="1096" t="s">
        <v>46</v>
      </c>
      <c r="F797" s="1096">
        <v>141608256</v>
      </c>
      <c r="G797" s="1096">
        <v>707897957</v>
      </c>
      <c r="H797" s="1118"/>
      <c r="I797" s="1118"/>
      <c r="J797" s="1096" t="s">
        <v>189</v>
      </c>
      <c r="K797" s="1118" t="s">
        <v>198</v>
      </c>
      <c r="L797" s="1118" t="s">
        <v>2218</v>
      </c>
      <c r="M797" s="1138" t="s">
        <v>3996</v>
      </c>
      <c r="N797" s="1158">
        <v>2150038420</v>
      </c>
      <c r="O797" s="1168">
        <v>45968</v>
      </c>
      <c r="P797" s="1191">
        <f t="shared" ca="1" si="27"/>
        <v>100</v>
      </c>
      <c r="Q797" s="1168">
        <v>45969</v>
      </c>
      <c r="R797" s="1091" t="s">
        <v>2641</v>
      </c>
      <c r="S797" s="1202"/>
      <c r="T797" s="1202">
        <v>4</v>
      </c>
      <c r="U797" s="1214">
        <v>45974</v>
      </c>
      <c r="V797" s="1202" t="s">
        <v>310</v>
      </c>
      <c r="W797" s="1024">
        <v>350</v>
      </c>
      <c r="X797" s="1024" t="s">
        <v>32</v>
      </c>
      <c r="Y797" s="1138" t="s">
        <v>3048</v>
      </c>
      <c r="Z797" s="936"/>
      <c r="AA797" s="937" t="s">
        <v>532</v>
      </c>
      <c r="AB797" s="937" t="s">
        <v>16</v>
      </c>
      <c r="AC797" s="938" t="s">
        <v>4048</v>
      </c>
    </row>
    <row r="798" spans="1:30" s="80" customFormat="1" ht="15" hidden="1" customHeight="1">
      <c r="A798" s="1071" t="s">
        <v>25</v>
      </c>
      <c r="B798" s="1071" t="s">
        <v>25</v>
      </c>
      <c r="C798" s="1095" t="s">
        <v>3974</v>
      </c>
      <c r="D798" s="1095" t="s">
        <v>3975</v>
      </c>
      <c r="E798" s="1095" t="s">
        <v>97</v>
      </c>
      <c r="F798" s="1095">
        <v>787051229</v>
      </c>
      <c r="G798" s="1095">
        <v>719239720</v>
      </c>
      <c r="H798" s="1120">
        <v>5.8402250000000002</v>
      </c>
      <c r="I798" s="1120">
        <v>-5.3510900000000001</v>
      </c>
      <c r="J798" s="1095" t="s">
        <v>189</v>
      </c>
      <c r="K798" s="1120" t="s">
        <v>190</v>
      </c>
      <c r="L798" s="1120" t="s">
        <v>530</v>
      </c>
      <c r="M798" s="1134" t="s">
        <v>3965</v>
      </c>
      <c r="N798" s="1134">
        <v>2150038431</v>
      </c>
      <c r="O798" s="1167">
        <v>45971</v>
      </c>
      <c r="P798" s="1117"/>
      <c r="Q798" s="1167">
        <v>45972</v>
      </c>
      <c r="R798" s="1071" t="s">
        <v>2641</v>
      </c>
      <c r="S798" s="1134"/>
      <c r="T798" s="1071">
        <v>0</v>
      </c>
      <c r="U798" s="1213">
        <v>45975</v>
      </c>
      <c r="V798" s="1071" t="s">
        <v>310</v>
      </c>
      <c r="W798" s="1071">
        <v>100</v>
      </c>
      <c r="X798" s="1071" t="s">
        <v>32</v>
      </c>
      <c r="Y798" s="1134"/>
      <c r="Z798" s="473"/>
      <c r="AA798" s="199" t="s">
        <v>532</v>
      </c>
      <c r="AB798" s="943" t="s">
        <v>16</v>
      </c>
      <c r="AC798" s="473" t="s">
        <v>3858</v>
      </c>
    </row>
    <row r="799" spans="1:30" s="80" customFormat="1" ht="15" hidden="1" customHeight="1">
      <c r="A799" s="1071" t="s">
        <v>25</v>
      </c>
      <c r="B799" s="1071" t="s">
        <v>25</v>
      </c>
      <c r="C799" s="1095" t="s">
        <v>3990</v>
      </c>
      <c r="D799" s="1095" t="s">
        <v>3991</v>
      </c>
      <c r="E799" s="1095" t="s">
        <v>621</v>
      </c>
      <c r="F799" s="1095">
        <v>505271349</v>
      </c>
      <c r="G799" s="1095">
        <v>749146811</v>
      </c>
      <c r="H799" s="1117"/>
      <c r="I799" s="1117"/>
      <c r="J799" s="1095" t="s">
        <v>189</v>
      </c>
      <c r="K799" s="1120" t="s">
        <v>198</v>
      </c>
      <c r="L799" s="1120" t="s">
        <v>3365</v>
      </c>
      <c r="M799" s="1134" t="s">
        <v>4043</v>
      </c>
      <c r="N799" s="1134">
        <v>2150038754</v>
      </c>
      <c r="O799" s="1167">
        <v>45971</v>
      </c>
      <c r="P799" s="1120">
        <v>2</v>
      </c>
      <c r="Q799" s="1167">
        <v>45973</v>
      </c>
      <c r="R799" s="1071" t="s">
        <v>2641</v>
      </c>
      <c r="S799" s="1134"/>
      <c r="T799" s="1071">
        <v>0</v>
      </c>
      <c r="U799" s="1213">
        <v>45975</v>
      </c>
      <c r="V799" s="1071" t="s">
        <v>310</v>
      </c>
      <c r="W799" s="1071">
        <v>150</v>
      </c>
      <c r="X799" s="1071" t="s">
        <v>32</v>
      </c>
      <c r="Y799" s="1134"/>
      <c r="Z799" s="473"/>
      <c r="AA799" s="199" t="s">
        <v>532</v>
      </c>
      <c r="AB799" s="208" t="s">
        <v>16</v>
      </c>
      <c r="AC799" s="945" t="s">
        <v>4025</v>
      </c>
    </row>
    <row r="800" spans="1:30" s="80" customFormat="1" ht="15" hidden="1" customHeight="1">
      <c r="A800" s="1071" t="s">
        <v>25</v>
      </c>
      <c r="B800" s="1071" t="s">
        <v>25</v>
      </c>
      <c r="C800" s="1095" t="s">
        <v>3980</v>
      </c>
      <c r="D800" s="1095" t="s">
        <v>3981</v>
      </c>
      <c r="E800" s="1095" t="s">
        <v>2209</v>
      </c>
      <c r="F800" s="1095">
        <v>707770713</v>
      </c>
      <c r="G800" s="1095">
        <v>505325786</v>
      </c>
      <c r="H800" s="1117"/>
      <c r="I800" s="1117"/>
      <c r="J800" s="1095" t="s">
        <v>189</v>
      </c>
      <c r="K800" s="1120" t="s">
        <v>203</v>
      </c>
      <c r="L800" s="1120" t="s">
        <v>411</v>
      </c>
      <c r="M800" s="1134" t="s">
        <v>4046</v>
      </c>
      <c r="N800" s="1134">
        <v>2150038427</v>
      </c>
      <c r="O800" s="1167">
        <v>45972</v>
      </c>
      <c r="P800" s="1120">
        <v>2</v>
      </c>
      <c r="Q800" s="1167">
        <v>45973</v>
      </c>
      <c r="R800" s="1071" t="s">
        <v>2641</v>
      </c>
      <c r="S800" s="1134"/>
      <c r="T800" s="1071">
        <v>0</v>
      </c>
      <c r="U800" s="1213">
        <v>45975</v>
      </c>
      <c r="V800" s="1071" t="s">
        <v>310</v>
      </c>
      <c r="W800" s="1071">
        <v>150</v>
      </c>
      <c r="X800" s="1071" t="s">
        <v>32</v>
      </c>
      <c r="Y800" s="1134"/>
      <c r="Z800" s="473"/>
      <c r="AA800" s="199" t="s">
        <v>532</v>
      </c>
      <c r="AB800" s="208" t="s">
        <v>16</v>
      </c>
      <c r="AC800" s="945" t="s">
        <v>4026</v>
      </c>
    </row>
    <row r="801" spans="1:30" s="80" customFormat="1" ht="15" hidden="1" customHeight="1">
      <c r="A801" s="1071" t="s">
        <v>25</v>
      </c>
      <c r="B801" s="1071" t="s">
        <v>25</v>
      </c>
      <c r="C801" s="1099" t="s">
        <v>3942</v>
      </c>
      <c r="D801" s="1099" t="s">
        <v>3943</v>
      </c>
      <c r="E801" s="1099" t="s">
        <v>3276</v>
      </c>
      <c r="F801" s="1099">
        <v>150322932</v>
      </c>
      <c r="G801" s="1099">
        <v>757903394</v>
      </c>
      <c r="H801" s="1120">
        <v>5.8548790000000004</v>
      </c>
      <c r="I801" s="1120">
        <v>-5.3483200000000002</v>
      </c>
      <c r="J801" s="1099" t="s">
        <v>189</v>
      </c>
      <c r="K801" s="1120" t="s">
        <v>198</v>
      </c>
      <c r="L801" s="1120" t="s">
        <v>3667</v>
      </c>
      <c r="M801" s="1134" t="s">
        <v>4042</v>
      </c>
      <c r="N801" s="1134">
        <v>2150038430</v>
      </c>
      <c r="O801" s="1173">
        <v>45968</v>
      </c>
      <c r="P801" s="1120">
        <v>6</v>
      </c>
      <c r="Q801" s="1173">
        <v>45969</v>
      </c>
      <c r="R801" s="1071" t="s">
        <v>2641</v>
      </c>
      <c r="S801" s="1134"/>
      <c r="T801" s="1071">
        <v>1</v>
      </c>
      <c r="U801" s="1213">
        <v>45975</v>
      </c>
      <c r="V801" s="1071" t="s">
        <v>310</v>
      </c>
      <c r="W801" s="1071">
        <v>150</v>
      </c>
      <c r="X801" s="1071" t="s">
        <v>32</v>
      </c>
      <c r="Y801" s="1134"/>
      <c r="Z801" s="473"/>
      <c r="AA801" s="199" t="s">
        <v>532</v>
      </c>
      <c r="AB801" s="208" t="s">
        <v>16</v>
      </c>
      <c r="AC801" s="945" t="s">
        <v>4024</v>
      </c>
    </row>
    <row r="802" spans="1:30" s="80" customFormat="1" ht="15" hidden="1" customHeight="1">
      <c r="A802" s="480" t="s">
        <v>25</v>
      </c>
      <c r="B802" s="480" t="s">
        <v>25</v>
      </c>
      <c r="C802" s="935" t="s">
        <v>3788</v>
      </c>
      <c r="D802" s="935" t="s">
        <v>3789</v>
      </c>
      <c r="E802" s="935" t="s">
        <v>3790</v>
      </c>
      <c r="F802" s="935">
        <v>172942468</v>
      </c>
      <c r="G802" s="935">
        <v>172942468</v>
      </c>
      <c r="H802" s="473">
        <v>5.8519899999999998</v>
      </c>
      <c r="I802" s="473">
        <v>-5.3518800000000004</v>
      </c>
      <c r="J802" s="935" t="s">
        <v>189</v>
      </c>
      <c r="K802" s="473" t="s">
        <v>198</v>
      </c>
      <c r="L802" s="473" t="s">
        <v>282</v>
      </c>
      <c r="M802" s="939" t="s">
        <v>4041</v>
      </c>
      <c r="N802" s="940">
        <v>2150038939</v>
      </c>
      <c r="O802" s="941">
        <v>45955</v>
      </c>
      <c r="P802" s="942">
        <f t="shared" ref="P802:P827" ca="1" si="28">TODAY()-Q802</f>
        <v>109</v>
      </c>
      <c r="Q802" s="941">
        <v>45960</v>
      </c>
      <c r="R802" s="471" t="s">
        <v>2641</v>
      </c>
      <c r="S802" s="473"/>
      <c r="T802" s="473">
        <v>1</v>
      </c>
      <c r="U802" s="941">
        <v>45976</v>
      </c>
      <c r="V802" s="474" t="s">
        <v>310</v>
      </c>
      <c r="W802" s="473">
        <v>250</v>
      </c>
      <c r="X802" s="474" t="s">
        <v>32</v>
      </c>
      <c r="Y802" s="473" t="s">
        <v>3048</v>
      </c>
      <c r="Z802" s="473"/>
      <c r="AA802" s="199" t="s">
        <v>532</v>
      </c>
      <c r="AB802" s="208" t="s">
        <v>16</v>
      </c>
      <c r="AC802" s="945" t="s">
        <v>4031</v>
      </c>
    </row>
    <row r="803" spans="1:30" s="80" customFormat="1" ht="15" hidden="1" customHeight="1">
      <c r="A803" s="480" t="s">
        <v>25</v>
      </c>
      <c r="B803" s="480" t="s">
        <v>25</v>
      </c>
      <c r="C803" s="933" t="s">
        <v>3982</v>
      </c>
      <c r="D803" s="933" t="s">
        <v>3983</v>
      </c>
      <c r="E803" s="933" t="s">
        <v>3984</v>
      </c>
      <c r="F803" s="933">
        <v>153507130</v>
      </c>
      <c r="G803" s="933">
        <v>797380463</v>
      </c>
      <c r="H803" s="473">
        <v>5.83256</v>
      </c>
      <c r="I803" s="473">
        <v>-5.3608599999999997</v>
      </c>
      <c r="J803" s="933" t="s">
        <v>36</v>
      </c>
      <c r="K803" s="473" t="s">
        <v>198</v>
      </c>
      <c r="L803" s="473" t="s">
        <v>1978</v>
      </c>
      <c r="M803" s="939" t="s">
        <v>4049</v>
      </c>
      <c r="N803" s="940">
        <v>2150038441</v>
      </c>
      <c r="O803" s="944">
        <v>45972</v>
      </c>
      <c r="P803" s="942">
        <f t="shared" ca="1" si="28"/>
        <v>96</v>
      </c>
      <c r="Q803" s="944">
        <v>45973</v>
      </c>
      <c r="R803" s="208" t="s">
        <v>2641</v>
      </c>
      <c r="S803" s="199"/>
      <c r="T803" s="199">
        <v>0</v>
      </c>
      <c r="U803" s="941">
        <v>45976</v>
      </c>
      <c r="V803" s="199" t="s">
        <v>310</v>
      </c>
      <c r="W803" s="202">
        <v>350</v>
      </c>
      <c r="X803" s="202" t="s">
        <v>32</v>
      </c>
      <c r="Y803" s="473" t="s">
        <v>533</v>
      </c>
      <c r="Z803" s="565"/>
      <c r="AA803" s="950" t="s">
        <v>532</v>
      </c>
      <c r="AB803" s="949" t="s">
        <v>16</v>
      </c>
      <c r="AC803" s="953" t="s">
        <v>4027</v>
      </c>
      <c r="AD803" s="850"/>
    </row>
    <row r="804" spans="1:30" s="80" customFormat="1" ht="15" hidden="1" customHeight="1">
      <c r="A804" s="480" t="s">
        <v>25</v>
      </c>
      <c r="B804" s="480" t="s">
        <v>25</v>
      </c>
      <c r="C804" s="933" t="s">
        <v>3987</v>
      </c>
      <c r="D804" s="933" t="s">
        <v>3988</v>
      </c>
      <c r="E804" s="933" t="s">
        <v>3989</v>
      </c>
      <c r="F804" s="933">
        <v>768256657</v>
      </c>
      <c r="G804" s="933">
        <v>757057824</v>
      </c>
      <c r="H804" s="473">
        <v>5.83263</v>
      </c>
      <c r="I804" s="473">
        <v>-5.3597599999999996</v>
      </c>
      <c r="J804" s="933" t="s">
        <v>36</v>
      </c>
      <c r="K804" s="473" t="s">
        <v>198</v>
      </c>
      <c r="L804" s="473" t="s">
        <v>716</v>
      </c>
      <c r="M804" s="473" t="s">
        <v>4051</v>
      </c>
      <c r="N804" s="473">
        <v>2150038442</v>
      </c>
      <c r="O804" s="944">
        <v>45971</v>
      </c>
      <c r="P804" s="942">
        <f t="shared" ca="1" si="28"/>
        <v>96</v>
      </c>
      <c r="Q804" s="944">
        <v>45973</v>
      </c>
      <c r="R804" s="208" t="s">
        <v>2641</v>
      </c>
      <c r="S804" s="199"/>
      <c r="T804" s="199">
        <v>0</v>
      </c>
      <c r="U804" s="941">
        <v>45976</v>
      </c>
      <c r="V804" s="199" t="s">
        <v>310</v>
      </c>
      <c r="W804" s="202">
        <v>350</v>
      </c>
      <c r="X804" s="202" t="s">
        <v>32</v>
      </c>
      <c r="Y804" s="473" t="s">
        <v>627</v>
      </c>
      <c r="Z804" s="565"/>
      <c r="AA804" s="950" t="s">
        <v>532</v>
      </c>
      <c r="AB804" s="949" t="s">
        <v>16</v>
      </c>
      <c r="AC804" s="953" t="s">
        <v>4032</v>
      </c>
      <c r="AD804" s="850"/>
    </row>
    <row r="805" spans="1:30" s="80" customFormat="1" ht="15" hidden="1" customHeight="1">
      <c r="A805" s="480" t="s">
        <v>25</v>
      </c>
      <c r="B805" s="480" t="s">
        <v>25</v>
      </c>
      <c r="C805" s="934" t="s">
        <v>4007</v>
      </c>
      <c r="D805" s="934" t="s">
        <v>4008</v>
      </c>
      <c r="E805" s="934" t="s">
        <v>130</v>
      </c>
      <c r="F805" s="934">
        <v>544122035</v>
      </c>
      <c r="G805" s="934">
        <v>758054540</v>
      </c>
      <c r="H805" s="473">
        <v>5.83467</v>
      </c>
      <c r="I805" s="473">
        <v>-5.3533600000000003</v>
      </c>
      <c r="J805" s="933" t="s">
        <v>36</v>
      </c>
      <c r="K805" s="473" t="s">
        <v>274</v>
      </c>
      <c r="L805" s="473" t="s">
        <v>1032</v>
      </c>
      <c r="M805" s="939" t="s">
        <v>4050</v>
      </c>
      <c r="N805" s="940">
        <v>2150038443</v>
      </c>
      <c r="O805" s="946">
        <v>45973</v>
      </c>
      <c r="P805" s="942">
        <f t="shared" ca="1" si="28"/>
        <v>95</v>
      </c>
      <c r="Q805" s="946">
        <v>45974</v>
      </c>
      <c r="R805" s="208" t="s">
        <v>2641</v>
      </c>
      <c r="S805" s="199"/>
      <c r="T805" s="199">
        <v>0</v>
      </c>
      <c r="U805" s="941">
        <v>45976</v>
      </c>
      <c r="V805" s="199" t="s">
        <v>310</v>
      </c>
      <c r="W805" s="202">
        <v>200</v>
      </c>
      <c r="X805" s="202" t="s">
        <v>32</v>
      </c>
      <c r="Y805" s="473" t="s">
        <v>697</v>
      </c>
      <c r="Z805" s="565"/>
      <c r="AA805" s="950" t="s">
        <v>532</v>
      </c>
      <c r="AB805" s="949" t="s">
        <v>16</v>
      </c>
      <c r="AC805" s="953" t="s">
        <v>4030</v>
      </c>
      <c r="AD805" s="850"/>
    </row>
    <row r="806" spans="1:30" s="80" customFormat="1" ht="15" hidden="1" customHeight="1">
      <c r="A806" s="480" t="s">
        <v>25</v>
      </c>
      <c r="B806" s="480" t="s">
        <v>25</v>
      </c>
      <c r="C806" s="934" t="s">
        <v>4015</v>
      </c>
      <c r="D806" s="934" t="s">
        <v>4016</v>
      </c>
      <c r="E806" s="934" t="s">
        <v>41</v>
      </c>
      <c r="F806" s="934">
        <v>101030266</v>
      </c>
      <c r="G806" s="934">
        <v>101030622</v>
      </c>
      <c r="H806" s="473">
        <v>5.8435600000000001</v>
      </c>
      <c r="I806" s="473">
        <v>-5.3508399999999998</v>
      </c>
      <c r="J806" s="934" t="s">
        <v>189</v>
      </c>
      <c r="K806" s="473" t="s">
        <v>203</v>
      </c>
      <c r="L806" s="473" t="s">
        <v>344</v>
      </c>
      <c r="M806" s="473" t="s">
        <v>4040</v>
      </c>
      <c r="N806" s="473">
        <v>2150038423</v>
      </c>
      <c r="O806" s="946">
        <v>45973</v>
      </c>
      <c r="P806" s="942">
        <f t="shared" ca="1" si="28"/>
        <v>94</v>
      </c>
      <c r="Q806" s="946">
        <v>45975</v>
      </c>
      <c r="R806" s="208" t="s">
        <v>2641</v>
      </c>
      <c r="S806" s="199"/>
      <c r="T806" s="199">
        <v>0</v>
      </c>
      <c r="U806" s="941">
        <v>45976</v>
      </c>
      <c r="V806" s="199" t="s">
        <v>310</v>
      </c>
      <c r="W806" s="202">
        <v>200</v>
      </c>
      <c r="X806" s="202" t="s">
        <v>32</v>
      </c>
      <c r="Y806" s="473" t="s">
        <v>1521</v>
      </c>
      <c r="Z806" s="565"/>
      <c r="AA806" s="950" t="s">
        <v>532</v>
      </c>
      <c r="AB806" s="949" t="s">
        <v>16</v>
      </c>
      <c r="AC806" s="953" t="s">
        <v>4039</v>
      </c>
      <c r="AD806" s="850"/>
    </row>
    <row r="807" spans="1:30" s="80" customFormat="1" ht="15" hidden="1" customHeight="1">
      <c r="A807" s="1526" t="s">
        <v>25</v>
      </c>
      <c r="B807" s="1526" t="s">
        <v>25</v>
      </c>
      <c r="C807" s="1527" t="s">
        <v>3939</v>
      </c>
      <c r="D807" s="1527" t="s">
        <v>3940</v>
      </c>
      <c r="E807" s="1527" t="s">
        <v>3941</v>
      </c>
      <c r="F807" s="1527">
        <v>505068355</v>
      </c>
      <c r="G807" s="1527">
        <v>758870800</v>
      </c>
      <c r="H807" s="1528">
        <v>5.8340399999999999</v>
      </c>
      <c r="I807" s="1528">
        <v>-5.3507800000000003</v>
      </c>
      <c r="J807" s="1527" t="s">
        <v>36</v>
      </c>
      <c r="K807" s="1528" t="s">
        <v>274</v>
      </c>
      <c r="L807" s="1528" t="s">
        <v>1030</v>
      </c>
      <c r="M807" s="1529" t="s">
        <v>4054</v>
      </c>
      <c r="N807" s="1530">
        <v>2150038440</v>
      </c>
      <c r="O807" s="1531">
        <v>45968</v>
      </c>
      <c r="P807" s="1532">
        <f t="shared" ca="1" si="28"/>
        <v>100</v>
      </c>
      <c r="Q807" s="1531">
        <v>45969</v>
      </c>
      <c r="R807" s="1533" t="s">
        <v>2641</v>
      </c>
      <c r="S807" s="1534"/>
      <c r="T807" s="1534">
        <v>1</v>
      </c>
      <c r="U807" s="1535">
        <v>45978</v>
      </c>
      <c r="V807" s="1534" t="s">
        <v>310</v>
      </c>
      <c r="W807" s="1536">
        <v>350</v>
      </c>
      <c r="X807" s="1536" t="s">
        <v>32</v>
      </c>
      <c r="Y807" s="1528" t="s">
        <v>627</v>
      </c>
      <c r="Z807" s="1528"/>
      <c r="AA807" s="1534" t="s">
        <v>532</v>
      </c>
      <c r="AB807" s="1533" t="s">
        <v>16</v>
      </c>
      <c r="AC807" s="1537" t="s">
        <v>4038</v>
      </c>
      <c r="AD807" s="850"/>
    </row>
    <row r="808" spans="1:30" s="978" customFormat="1" ht="15" customHeight="1">
      <c r="A808" s="949" t="s">
        <v>25</v>
      </c>
      <c r="B808" s="949" t="s">
        <v>25</v>
      </c>
      <c r="C808" s="1360" t="s">
        <v>3976</v>
      </c>
      <c r="D808" s="1360" t="s">
        <v>3977</v>
      </c>
      <c r="E808" s="1360" t="s">
        <v>3326</v>
      </c>
      <c r="F808" s="1360">
        <v>768946703</v>
      </c>
      <c r="G808" s="1360">
        <v>544813050</v>
      </c>
      <c r="H808" s="1047">
        <v>5.8113400000000004</v>
      </c>
      <c r="I808" s="1047">
        <v>-5.3655799999999996</v>
      </c>
      <c r="J808" s="1360" t="s">
        <v>2612</v>
      </c>
      <c r="K808" s="1047" t="s">
        <v>203</v>
      </c>
      <c r="L808" s="1047" t="s">
        <v>3652</v>
      </c>
      <c r="M808" s="952" t="s">
        <v>4055</v>
      </c>
      <c r="N808" s="952">
        <v>2150038453</v>
      </c>
      <c r="O808" s="1361">
        <v>45971</v>
      </c>
      <c r="P808" s="1353">
        <f t="shared" ca="1" si="28"/>
        <v>97</v>
      </c>
      <c r="Q808" s="1361">
        <v>45972</v>
      </c>
      <c r="R808" s="949" t="s">
        <v>2641</v>
      </c>
      <c r="S808" s="950"/>
      <c r="T808" s="950">
        <v>0</v>
      </c>
      <c r="U808" s="951">
        <v>45978</v>
      </c>
      <c r="V808" s="950" t="s">
        <v>310</v>
      </c>
      <c r="W808" s="952">
        <v>100</v>
      </c>
      <c r="X808" s="952" t="s">
        <v>32</v>
      </c>
      <c r="Y808" s="1047" t="s">
        <v>343</v>
      </c>
      <c r="Z808" s="1047"/>
      <c r="AA808" s="950" t="s">
        <v>532</v>
      </c>
      <c r="AB808" s="949" t="s">
        <v>16</v>
      </c>
      <c r="AC808" s="1050" t="s">
        <v>4034</v>
      </c>
      <c r="AD808" s="1032"/>
    </row>
    <row r="809" spans="1:30" ht="15" hidden="1" customHeight="1">
      <c r="A809" s="1965" t="s">
        <v>25</v>
      </c>
      <c r="B809" s="1965" t="s">
        <v>25</v>
      </c>
      <c r="C809" s="1966" t="s">
        <v>3985</v>
      </c>
      <c r="D809" s="1966" t="s">
        <v>3986</v>
      </c>
      <c r="E809" s="1966" t="s">
        <v>402</v>
      </c>
      <c r="F809" s="1966">
        <v>173631881</v>
      </c>
      <c r="G809" s="1966">
        <v>757740957</v>
      </c>
      <c r="H809" s="1967">
        <v>5.84497</v>
      </c>
      <c r="I809" s="1967">
        <v>-5.3639400000000004</v>
      </c>
      <c r="J809" s="1966" t="s">
        <v>36</v>
      </c>
      <c r="K809" s="1967" t="s">
        <v>190</v>
      </c>
      <c r="L809" s="1967" t="s">
        <v>1705</v>
      </c>
      <c r="M809" s="1968" t="s">
        <v>4056</v>
      </c>
      <c r="N809" s="1969">
        <v>2150038437</v>
      </c>
      <c r="O809" s="1970">
        <v>45971</v>
      </c>
      <c r="P809" s="1971">
        <f t="shared" ca="1" si="28"/>
        <v>96</v>
      </c>
      <c r="Q809" s="1970">
        <v>45973</v>
      </c>
      <c r="R809" s="1972" t="s">
        <v>2641</v>
      </c>
      <c r="S809" s="1973"/>
      <c r="T809" s="1973">
        <v>1</v>
      </c>
      <c r="U809" s="1974">
        <v>45978</v>
      </c>
      <c r="V809" s="1973" t="s">
        <v>310</v>
      </c>
      <c r="W809" s="1975">
        <v>400</v>
      </c>
      <c r="X809" s="1975" t="s">
        <v>32</v>
      </c>
      <c r="Y809" s="648" t="s">
        <v>1521</v>
      </c>
      <c r="Z809" s="957"/>
      <c r="AA809" s="1973" t="s">
        <v>532</v>
      </c>
      <c r="AB809" s="1972" t="s">
        <v>16</v>
      </c>
      <c r="AC809" s="1976" t="s">
        <v>4094</v>
      </c>
    </row>
    <row r="810" spans="1:30" ht="15" customHeight="1">
      <c r="A810" s="949" t="s">
        <v>25</v>
      </c>
      <c r="B810" s="949" t="s">
        <v>25</v>
      </c>
      <c r="C810" s="1360" t="s">
        <v>4002</v>
      </c>
      <c r="D810" s="1360" t="s">
        <v>4003</v>
      </c>
      <c r="E810" s="1360" t="s">
        <v>4004</v>
      </c>
      <c r="F810" s="1360">
        <v>709255838</v>
      </c>
      <c r="G810" s="1360">
        <v>501194014</v>
      </c>
      <c r="H810" s="1047">
        <v>5.8245399999999998</v>
      </c>
      <c r="I810" s="1047">
        <v>-5.3555000000000001</v>
      </c>
      <c r="J810" s="1362" t="s">
        <v>4036</v>
      </c>
      <c r="K810" s="1047" t="s">
        <v>203</v>
      </c>
      <c r="L810" s="1047" t="s">
        <v>4037</v>
      </c>
      <c r="M810" s="952" t="s">
        <v>4052</v>
      </c>
      <c r="N810" s="952">
        <v>2150038451</v>
      </c>
      <c r="O810" s="1361">
        <v>45973</v>
      </c>
      <c r="P810" s="1353">
        <f t="shared" ca="1" si="28"/>
        <v>95</v>
      </c>
      <c r="Q810" s="1361">
        <v>45974</v>
      </c>
      <c r="R810" s="1047" t="s">
        <v>2641</v>
      </c>
      <c r="S810" s="950"/>
      <c r="T810" s="950">
        <v>0</v>
      </c>
      <c r="U810" s="951">
        <v>45978</v>
      </c>
      <c r="V810" s="950" t="s">
        <v>310</v>
      </c>
      <c r="W810" s="952">
        <v>100</v>
      </c>
      <c r="X810" s="952" t="s">
        <v>32</v>
      </c>
      <c r="Y810" s="1047" t="s">
        <v>228</v>
      </c>
      <c r="Z810" s="1017"/>
      <c r="AA810" s="962" t="s">
        <v>532</v>
      </c>
      <c r="AB810" s="961" t="s">
        <v>16</v>
      </c>
      <c r="AC810" s="798" t="s">
        <v>4093</v>
      </c>
    </row>
    <row r="811" spans="1:30" ht="15" customHeight="1">
      <c r="A811" s="949" t="s">
        <v>25</v>
      </c>
      <c r="B811" s="949" t="s">
        <v>25</v>
      </c>
      <c r="C811" s="1360" t="s">
        <v>4012</v>
      </c>
      <c r="D811" s="1360" t="s">
        <v>4013</v>
      </c>
      <c r="E811" s="1360" t="s">
        <v>4014</v>
      </c>
      <c r="F811" s="1360">
        <v>586910732</v>
      </c>
      <c r="G811" s="1360">
        <v>759819862</v>
      </c>
      <c r="H811" s="1047">
        <v>5.8245399999999998</v>
      </c>
      <c r="I811" s="1047">
        <v>-5.3555700000000002</v>
      </c>
      <c r="J811" s="1360" t="s">
        <v>4036</v>
      </c>
      <c r="K811" s="1047" t="s">
        <v>203</v>
      </c>
      <c r="L811" s="1047" t="s">
        <v>4037</v>
      </c>
      <c r="M811" s="952" t="s">
        <v>4053</v>
      </c>
      <c r="N811" s="952">
        <v>2150038452</v>
      </c>
      <c r="O811" s="1361">
        <v>45972</v>
      </c>
      <c r="P811" s="1353">
        <f t="shared" ca="1" si="28"/>
        <v>94</v>
      </c>
      <c r="Q811" s="1361">
        <v>45975</v>
      </c>
      <c r="R811" s="949" t="s">
        <v>2641</v>
      </c>
      <c r="S811" s="950"/>
      <c r="T811" s="950">
        <v>0</v>
      </c>
      <c r="U811" s="951">
        <v>45978</v>
      </c>
      <c r="V811" s="950" t="s">
        <v>310</v>
      </c>
      <c r="W811" s="952">
        <v>150</v>
      </c>
      <c r="X811" s="952" t="s">
        <v>32</v>
      </c>
      <c r="Y811" s="1047" t="s">
        <v>193</v>
      </c>
      <c r="Z811" s="1017"/>
      <c r="AA811" s="962" t="s">
        <v>532</v>
      </c>
      <c r="AB811" s="962" t="s">
        <v>16</v>
      </c>
      <c r="AC811" s="798" t="s">
        <v>4098</v>
      </c>
    </row>
    <row r="812" spans="1:30" ht="15" customHeight="1">
      <c r="A812" s="949" t="s">
        <v>25</v>
      </c>
      <c r="B812" s="949" t="s">
        <v>25</v>
      </c>
      <c r="C812" s="1360" t="s">
        <v>4017</v>
      </c>
      <c r="D812" s="1360" t="s">
        <v>3881</v>
      </c>
      <c r="E812" s="1360" t="s">
        <v>4018</v>
      </c>
      <c r="F812" s="1360">
        <v>151940540</v>
      </c>
      <c r="G812" s="1360">
        <v>502133649</v>
      </c>
      <c r="H812" s="1047">
        <v>5.8110499999999998</v>
      </c>
      <c r="I812" s="1047">
        <v>-5.3657399999999997</v>
      </c>
      <c r="J812" s="1360" t="s">
        <v>2612</v>
      </c>
      <c r="K812" s="1047" t="s">
        <v>203</v>
      </c>
      <c r="L812" s="1047" t="s">
        <v>4033</v>
      </c>
      <c r="M812" s="952" t="s">
        <v>4058</v>
      </c>
      <c r="N812" s="952">
        <v>2150038438</v>
      </c>
      <c r="O812" s="1361">
        <v>45974</v>
      </c>
      <c r="P812" s="1353">
        <f t="shared" ca="1" si="28"/>
        <v>94</v>
      </c>
      <c r="Q812" s="1361">
        <v>45975</v>
      </c>
      <c r="R812" s="949" t="s">
        <v>2641</v>
      </c>
      <c r="S812" s="950"/>
      <c r="T812" s="950">
        <v>1</v>
      </c>
      <c r="U812" s="951">
        <v>45978</v>
      </c>
      <c r="V812" s="950" t="s">
        <v>310</v>
      </c>
      <c r="W812" s="952">
        <v>300</v>
      </c>
      <c r="X812" s="952" t="s">
        <v>32</v>
      </c>
      <c r="Y812" s="1047" t="s">
        <v>193</v>
      </c>
      <c r="Z812" s="1017"/>
      <c r="AA812" s="962" t="s">
        <v>532</v>
      </c>
      <c r="AB812" s="961" t="s">
        <v>16</v>
      </c>
      <c r="AC812" s="798" t="s">
        <v>4035</v>
      </c>
    </row>
    <row r="813" spans="1:30" ht="15" customHeight="1">
      <c r="A813" s="949" t="s">
        <v>25</v>
      </c>
      <c r="B813" s="949" t="s">
        <v>25</v>
      </c>
      <c r="C813" s="1360" t="s">
        <v>4074</v>
      </c>
      <c r="D813" s="1360" t="s">
        <v>4075</v>
      </c>
      <c r="E813" s="1360" t="s">
        <v>3326</v>
      </c>
      <c r="F813" s="1360">
        <v>789119561</v>
      </c>
      <c r="G813" s="1360">
        <v>789119561</v>
      </c>
      <c r="H813" s="1047">
        <v>5.8116000000000003</v>
      </c>
      <c r="I813" s="1047">
        <v>-5.3654700000000002</v>
      </c>
      <c r="J813" s="1360" t="s">
        <v>2612</v>
      </c>
      <c r="K813" s="1047" t="s">
        <v>198</v>
      </c>
      <c r="L813" s="1047" t="s">
        <v>3652</v>
      </c>
      <c r="M813" s="1047" t="s">
        <v>4100</v>
      </c>
      <c r="N813" s="1047">
        <v>2150038450</v>
      </c>
      <c r="O813" s="1361">
        <v>45975</v>
      </c>
      <c r="P813" s="1353">
        <f t="shared" ca="1" si="28"/>
        <v>91</v>
      </c>
      <c r="Q813" s="1361">
        <v>45978</v>
      </c>
      <c r="R813" s="949" t="s">
        <v>2641</v>
      </c>
      <c r="S813" s="950"/>
      <c r="T813" s="950">
        <v>0</v>
      </c>
      <c r="U813" s="951">
        <v>45978</v>
      </c>
      <c r="V813" s="950" t="s">
        <v>310</v>
      </c>
      <c r="W813" s="952">
        <v>250</v>
      </c>
      <c r="X813" s="952" t="s">
        <v>32</v>
      </c>
      <c r="Y813" s="950" t="s">
        <v>533</v>
      </c>
      <c r="Z813" s="1017"/>
      <c r="AA813" s="962" t="s">
        <v>532</v>
      </c>
      <c r="AB813" s="961" t="s">
        <v>16</v>
      </c>
      <c r="AC813" s="798" t="s">
        <v>4099</v>
      </c>
    </row>
    <row r="814" spans="1:30" ht="15" hidden="1" customHeight="1" thickBot="1">
      <c r="A814" s="1977" t="s">
        <v>25</v>
      </c>
      <c r="B814" s="1977" t="s">
        <v>25</v>
      </c>
      <c r="C814" s="1751" t="s">
        <v>4088</v>
      </c>
      <c r="D814" s="1751" t="s">
        <v>4089</v>
      </c>
      <c r="E814" s="1751" t="s">
        <v>4090</v>
      </c>
      <c r="F814" s="1751">
        <v>709592902</v>
      </c>
      <c r="G814" s="1751">
        <v>709592902</v>
      </c>
      <c r="H814" s="1752">
        <v>5.8525700000000001</v>
      </c>
      <c r="I814" s="1752">
        <v>-5.3563799999999997</v>
      </c>
      <c r="J814" s="1751" t="s">
        <v>189</v>
      </c>
      <c r="K814" s="1752" t="s">
        <v>198</v>
      </c>
      <c r="L814" s="1752" t="s">
        <v>1307</v>
      </c>
      <c r="M814" s="1978" t="s">
        <v>4101</v>
      </c>
      <c r="N814" s="1979">
        <v>2150038445</v>
      </c>
      <c r="O814" s="1980">
        <v>45975</v>
      </c>
      <c r="P814" s="1981">
        <f t="shared" ca="1" si="28"/>
        <v>91</v>
      </c>
      <c r="Q814" s="1980">
        <v>45978</v>
      </c>
      <c r="R814" s="1982" t="s">
        <v>2641</v>
      </c>
      <c r="S814" s="1983"/>
      <c r="T814" s="1983">
        <v>2</v>
      </c>
      <c r="U814" s="1984">
        <v>45979</v>
      </c>
      <c r="V814" s="1983" t="s">
        <v>310</v>
      </c>
      <c r="W814" s="1985">
        <v>250</v>
      </c>
      <c r="X814" s="1985" t="s">
        <v>32</v>
      </c>
      <c r="Y814" s="796" t="s">
        <v>1521</v>
      </c>
      <c r="Z814" s="796"/>
      <c r="AA814" s="1983" t="s">
        <v>532</v>
      </c>
      <c r="AB814" s="1982" t="s">
        <v>16</v>
      </c>
      <c r="AC814" s="1752" t="s">
        <v>4109</v>
      </c>
    </row>
    <row r="815" spans="1:30" s="634" customFormat="1" ht="15" customHeight="1">
      <c r="A815" s="961" t="s">
        <v>25</v>
      </c>
      <c r="B815" s="961" t="s">
        <v>25</v>
      </c>
      <c r="C815" s="1019" t="s">
        <v>3200</v>
      </c>
      <c r="D815" s="1019" t="s">
        <v>3201</v>
      </c>
      <c r="E815" s="1019" t="s">
        <v>3202</v>
      </c>
      <c r="F815" s="1019">
        <v>709561924</v>
      </c>
      <c r="G815" s="1019">
        <v>545584975</v>
      </c>
      <c r="H815" s="1017">
        <v>5.8297499999999998</v>
      </c>
      <c r="I815" s="1017">
        <v>-5.3583999999999996</v>
      </c>
      <c r="J815" s="1019" t="s">
        <v>4036</v>
      </c>
      <c r="K815" s="1017" t="s">
        <v>203</v>
      </c>
      <c r="L815" s="1017" t="s">
        <v>4097</v>
      </c>
      <c r="M815" s="964" t="s">
        <v>4102</v>
      </c>
      <c r="N815" s="964">
        <v>2150038446</v>
      </c>
      <c r="O815" s="963">
        <v>45925</v>
      </c>
      <c r="P815" s="1018">
        <f t="shared" ca="1" si="28"/>
        <v>142</v>
      </c>
      <c r="Q815" s="963">
        <v>45927</v>
      </c>
      <c r="R815" s="962" t="s">
        <v>273</v>
      </c>
      <c r="S815" s="962"/>
      <c r="T815" s="962">
        <v>4</v>
      </c>
      <c r="U815" s="963">
        <v>45979</v>
      </c>
      <c r="V815" s="964" t="s">
        <v>310</v>
      </c>
      <c r="W815" s="962">
        <v>300</v>
      </c>
      <c r="X815" s="964" t="s">
        <v>32</v>
      </c>
      <c r="Y815" s="1017" t="s">
        <v>193</v>
      </c>
      <c r="Z815" s="1355"/>
      <c r="AA815" s="966" t="s">
        <v>532</v>
      </c>
      <c r="AB815" s="965" t="s">
        <v>16</v>
      </c>
      <c r="AC815" s="1354" t="s">
        <v>4104</v>
      </c>
    </row>
    <row r="816" spans="1:30" s="634" customFormat="1" ht="15" customHeight="1">
      <c r="A816" s="961" t="s">
        <v>25</v>
      </c>
      <c r="B816" s="961" t="s">
        <v>25</v>
      </c>
      <c r="C816" s="1016" t="s">
        <v>4022</v>
      </c>
      <c r="D816" s="1016" t="s">
        <v>4023</v>
      </c>
      <c r="E816" s="1016" t="s">
        <v>3053</v>
      </c>
      <c r="F816" s="1016">
        <v>778319171</v>
      </c>
      <c r="G816" s="1016">
        <v>546058967</v>
      </c>
      <c r="H816" s="1017">
        <v>5.8188700000000004</v>
      </c>
      <c r="I816" s="1017">
        <v>-5.3641800000000002</v>
      </c>
      <c r="J816" s="1016" t="s">
        <v>2612</v>
      </c>
      <c r="K816" s="1017" t="s">
        <v>190</v>
      </c>
      <c r="L816" s="1017" t="s">
        <v>3192</v>
      </c>
      <c r="M816" s="964" t="s">
        <v>4057</v>
      </c>
      <c r="N816" s="964">
        <v>2150038439</v>
      </c>
      <c r="O816" s="795">
        <v>45974</v>
      </c>
      <c r="P816" s="1018">
        <f t="shared" ca="1" si="28"/>
        <v>94</v>
      </c>
      <c r="Q816" s="795">
        <v>45975</v>
      </c>
      <c r="R816" s="961" t="s">
        <v>2641</v>
      </c>
      <c r="S816" s="962"/>
      <c r="T816" s="962"/>
      <c r="U816" s="963">
        <v>45979</v>
      </c>
      <c r="V816" s="962" t="s">
        <v>310</v>
      </c>
      <c r="W816" s="964">
        <v>150</v>
      </c>
      <c r="X816" s="964" t="s">
        <v>32</v>
      </c>
      <c r="Y816" s="1017" t="s">
        <v>627</v>
      </c>
      <c r="Z816" s="1355"/>
      <c r="AA816" s="966" t="s">
        <v>532</v>
      </c>
      <c r="AB816" s="965" t="s">
        <v>16</v>
      </c>
      <c r="AC816" s="1354" t="s">
        <v>4096</v>
      </c>
    </row>
    <row r="817" spans="1:29" s="639" customFormat="1" ht="15" hidden="1" customHeight="1">
      <c r="A817" s="1977" t="s">
        <v>25</v>
      </c>
      <c r="B817" s="1977" t="s">
        <v>25</v>
      </c>
      <c r="C817" s="1751" t="s">
        <v>4081</v>
      </c>
      <c r="D817" s="1751" t="s">
        <v>4082</v>
      </c>
      <c r="E817" s="1751" t="s">
        <v>117</v>
      </c>
      <c r="F817" s="1751">
        <v>585320030</v>
      </c>
      <c r="G817" s="1751">
        <v>585320030</v>
      </c>
      <c r="H817" s="1752">
        <v>5.8456400000000004</v>
      </c>
      <c r="I817" s="1752">
        <v>-5.3533900000000001</v>
      </c>
      <c r="J817" s="1751" t="s">
        <v>189</v>
      </c>
      <c r="K817" s="1752" t="s">
        <v>203</v>
      </c>
      <c r="L817" s="1752" t="s">
        <v>2143</v>
      </c>
      <c r="M817" s="1978" t="s">
        <v>4103</v>
      </c>
      <c r="N817" s="1979">
        <v>2150038444</v>
      </c>
      <c r="O817" s="1980">
        <v>45975</v>
      </c>
      <c r="P817" s="1981">
        <f t="shared" ca="1" si="28"/>
        <v>91</v>
      </c>
      <c r="Q817" s="1980">
        <v>45978</v>
      </c>
      <c r="R817" s="1982" t="s">
        <v>2641</v>
      </c>
      <c r="S817" s="1983"/>
      <c r="T817" s="1983">
        <v>0</v>
      </c>
      <c r="U817" s="1984">
        <v>45979</v>
      </c>
      <c r="V817" s="1983" t="s">
        <v>310</v>
      </c>
      <c r="W817" s="1985">
        <v>250</v>
      </c>
      <c r="X817" s="1985" t="s">
        <v>32</v>
      </c>
      <c r="Y817" s="796" t="s">
        <v>3048</v>
      </c>
      <c r="Z817" s="796"/>
      <c r="AA817" s="1983" t="s">
        <v>1427</v>
      </c>
      <c r="AB817" s="1982" t="s">
        <v>16</v>
      </c>
      <c r="AC817" s="1752" t="s">
        <v>4139</v>
      </c>
    </row>
    <row r="818" spans="1:29" s="634" customFormat="1" ht="15" customHeight="1">
      <c r="A818" s="961" t="s">
        <v>25</v>
      </c>
      <c r="B818" s="961" t="s">
        <v>25</v>
      </c>
      <c r="C818" s="1016" t="s">
        <v>4107</v>
      </c>
      <c r="D818" s="1016" t="s">
        <v>4108</v>
      </c>
      <c r="E818" s="1016" t="s">
        <v>3053</v>
      </c>
      <c r="F818" s="1016">
        <v>545664515</v>
      </c>
      <c r="G818" s="1016">
        <v>759586225</v>
      </c>
      <c r="H818" s="1017">
        <v>5.8101500000000001</v>
      </c>
      <c r="I818" s="1017">
        <v>-5.3671300000000004</v>
      </c>
      <c r="J818" s="1016" t="s">
        <v>2612</v>
      </c>
      <c r="K818" s="1017" t="s">
        <v>203</v>
      </c>
      <c r="L818" s="1017" t="s">
        <v>3617</v>
      </c>
      <c r="M818" s="1017" t="s">
        <v>4114</v>
      </c>
      <c r="N818" s="1017">
        <v>2150038434</v>
      </c>
      <c r="O818" s="795">
        <v>45965</v>
      </c>
      <c r="P818" s="1018">
        <f t="shared" ca="1" si="28"/>
        <v>90</v>
      </c>
      <c r="Q818" s="795">
        <v>45979</v>
      </c>
      <c r="R818" s="1017" t="s">
        <v>2641</v>
      </c>
      <c r="S818" s="962"/>
      <c r="T818" s="962">
        <v>1</v>
      </c>
      <c r="U818" s="963">
        <v>45979</v>
      </c>
      <c r="V818" s="962" t="s">
        <v>310</v>
      </c>
      <c r="W818" s="964">
        <v>150</v>
      </c>
      <c r="X818" s="964" t="s">
        <v>32</v>
      </c>
      <c r="Y818" s="1017" t="s">
        <v>228</v>
      </c>
      <c r="Z818" s="1017"/>
      <c r="AA818" s="962" t="s">
        <v>1427</v>
      </c>
      <c r="AB818" s="973" t="s">
        <v>16</v>
      </c>
      <c r="AC818" s="1017" t="s">
        <v>4142</v>
      </c>
    </row>
    <row r="819" spans="1:29" s="639" customFormat="1" ht="15" hidden="1" customHeight="1">
      <c r="A819" s="1986" t="s">
        <v>25</v>
      </c>
      <c r="B819" s="1986" t="s">
        <v>25</v>
      </c>
      <c r="C819" s="1987" t="s">
        <v>4064</v>
      </c>
      <c r="D819" s="1987" t="s">
        <v>4065</v>
      </c>
      <c r="E819" s="1987" t="s">
        <v>4066</v>
      </c>
      <c r="F819" s="1987">
        <v>151610950</v>
      </c>
      <c r="G819" s="1987">
        <v>710147366</v>
      </c>
      <c r="H819" s="1988">
        <v>5.8336399999999999</v>
      </c>
      <c r="I819" s="1988">
        <v>-5.3617900000000001</v>
      </c>
      <c r="J819" s="1987" t="s">
        <v>36</v>
      </c>
      <c r="K819" s="1988" t="s">
        <v>198</v>
      </c>
      <c r="L819" s="1988" t="s">
        <v>734</v>
      </c>
      <c r="M819" s="1989" t="s">
        <v>4115</v>
      </c>
      <c r="N819" s="1990">
        <v>2150038436</v>
      </c>
      <c r="O819" s="1991">
        <v>45973</v>
      </c>
      <c r="P819" s="1992">
        <f t="shared" ca="1" si="28"/>
        <v>91</v>
      </c>
      <c r="Q819" s="1991">
        <v>45978</v>
      </c>
      <c r="R819" s="1993" t="s">
        <v>2641</v>
      </c>
      <c r="S819" s="1994"/>
      <c r="T819" s="1994">
        <v>0</v>
      </c>
      <c r="U819" s="1995">
        <v>45980</v>
      </c>
      <c r="V819" s="1994" t="s">
        <v>310</v>
      </c>
      <c r="W819" s="1996">
        <v>400</v>
      </c>
      <c r="X819" s="1996" t="s">
        <v>32</v>
      </c>
      <c r="Y819" s="649" t="s">
        <v>343</v>
      </c>
      <c r="Z819" s="796"/>
      <c r="AA819" s="1983" t="s">
        <v>1427</v>
      </c>
      <c r="AB819" s="1997" t="s">
        <v>16</v>
      </c>
      <c r="AC819" s="1752" t="s">
        <v>4141</v>
      </c>
    </row>
    <row r="820" spans="1:29" s="634" customFormat="1" ht="15" customHeight="1">
      <c r="A820" s="965" t="s">
        <v>25</v>
      </c>
      <c r="B820" s="965" t="s">
        <v>25</v>
      </c>
      <c r="C820" s="1363" t="s">
        <v>4059</v>
      </c>
      <c r="D820" s="1363" t="s">
        <v>4060</v>
      </c>
      <c r="E820" s="1363" t="s">
        <v>4061</v>
      </c>
      <c r="F820" s="1363">
        <v>152322265</v>
      </c>
      <c r="G820" s="1363">
        <v>506477666</v>
      </c>
      <c r="H820" s="1355">
        <v>5.8304900000000002</v>
      </c>
      <c r="I820" s="1355">
        <v>-5.3585799999999999</v>
      </c>
      <c r="J820" s="1363" t="s">
        <v>3172</v>
      </c>
      <c r="K820" s="1355" t="s">
        <v>190</v>
      </c>
      <c r="L820" s="1355" t="s">
        <v>4095</v>
      </c>
      <c r="M820" s="968" t="s">
        <v>4116</v>
      </c>
      <c r="N820" s="968">
        <v>2150038435</v>
      </c>
      <c r="O820" s="1364">
        <v>45974</v>
      </c>
      <c r="P820" s="1356">
        <f t="shared" ca="1" si="28"/>
        <v>91</v>
      </c>
      <c r="Q820" s="1364">
        <v>45978</v>
      </c>
      <c r="R820" s="965" t="s">
        <v>2641</v>
      </c>
      <c r="S820" s="966"/>
      <c r="T820" s="966">
        <v>1</v>
      </c>
      <c r="U820" s="967">
        <v>45980</v>
      </c>
      <c r="V820" s="966" t="s">
        <v>310</v>
      </c>
      <c r="W820" s="968">
        <v>350</v>
      </c>
      <c r="X820" s="968" t="s">
        <v>32</v>
      </c>
      <c r="Y820" s="1355" t="s">
        <v>193</v>
      </c>
      <c r="Z820" s="2250"/>
      <c r="AA820" s="976" t="s">
        <v>1427</v>
      </c>
      <c r="AB820" s="976" t="s">
        <v>16</v>
      </c>
      <c r="AC820" s="842" t="s">
        <v>4147</v>
      </c>
    </row>
    <row r="821" spans="1:29" s="639" customFormat="1" ht="15" hidden="1" customHeight="1">
      <c r="A821" s="1998" t="s">
        <v>25</v>
      </c>
      <c r="B821" s="1998" t="s">
        <v>25</v>
      </c>
      <c r="C821" s="1760" t="s">
        <v>4076</v>
      </c>
      <c r="D821" s="1760" t="s">
        <v>3275</v>
      </c>
      <c r="E821" s="1760" t="s">
        <v>4077</v>
      </c>
      <c r="F821" s="1760">
        <v>767664200</v>
      </c>
      <c r="G821" s="1760">
        <v>767664200</v>
      </c>
      <c r="H821" s="1761">
        <v>5.8564600000000002</v>
      </c>
      <c r="I821" s="1761">
        <v>-5.3470599999999999</v>
      </c>
      <c r="J821" s="1760" t="s">
        <v>189</v>
      </c>
      <c r="K821" s="1761" t="s">
        <v>198</v>
      </c>
      <c r="L821" s="1761" t="s">
        <v>3365</v>
      </c>
      <c r="M821" s="1761" t="s">
        <v>4144</v>
      </c>
      <c r="N821" s="1761">
        <v>2150049979</v>
      </c>
      <c r="O821" s="1999">
        <v>45975</v>
      </c>
      <c r="P821" s="2000">
        <f t="shared" ca="1" si="28"/>
        <v>91</v>
      </c>
      <c r="Q821" s="1999">
        <v>45978</v>
      </c>
      <c r="R821" s="2001" t="s">
        <v>2641</v>
      </c>
      <c r="S821" s="2002"/>
      <c r="T821" s="2002">
        <v>0</v>
      </c>
      <c r="U821" s="2003">
        <v>45982</v>
      </c>
      <c r="V821" s="2002" t="s">
        <v>310</v>
      </c>
      <c r="W821" s="2004">
        <v>100</v>
      </c>
      <c r="X821" s="2004" t="s">
        <v>32</v>
      </c>
      <c r="Y821" s="796" t="s">
        <v>3048</v>
      </c>
      <c r="Z821" s="975"/>
      <c r="AA821" s="2005" t="s">
        <v>1427</v>
      </c>
      <c r="AB821" s="2005" t="s">
        <v>16</v>
      </c>
      <c r="AC821" s="2006" t="s">
        <v>4149</v>
      </c>
    </row>
    <row r="822" spans="1:29" s="639" customFormat="1" ht="15" hidden="1" customHeight="1">
      <c r="A822" s="958" t="s">
        <v>25</v>
      </c>
      <c r="B822" s="958" t="s">
        <v>25</v>
      </c>
      <c r="C822" s="793" t="s">
        <v>4117</v>
      </c>
      <c r="D822" s="793" t="s">
        <v>4118</v>
      </c>
      <c r="E822" s="793" t="s">
        <v>295</v>
      </c>
      <c r="F822" s="793">
        <v>101012857</v>
      </c>
      <c r="G822" s="793">
        <v>759787800</v>
      </c>
      <c r="H822" s="794">
        <v>5.83474</v>
      </c>
      <c r="I822" s="969">
        <v>-5.3506200000000002</v>
      </c>
      <c r="J822" s="793" t="s">
        <v>36</v>
      </c>
      <c r="K822" s="794" t="s">
        <v>274</v>
      </c>
      <c r="L822" s="794" t="s">
        <v>1030</v>
      </c>
      <c r="M822" s="794" t="s">
        <v>4146</v>
      </c>
      <c r="N822" s="794">
        <v>2150038449</v>
      </c>
      <c r="O822" s="959">
        <v>45980</v>
      </c>
      <c r="P822" s="960">
        <f t="shared" ca="1" si="28"/>
        <v>88</v>
      </c>
      <c r="Q822" s="959">
        <v>45981</v>
      </c>
      <c r="R822" s="970" t="s">
        <v>2641</v>
      </c>
      <c r="S822" s="971"/>
      <c r="T822" s="971">
        <v>0</v>
      </c>
      <c r="U822" s="972">
        <v>45982</v>
      </c>
      <c r="V822" s="970" t="s">
        <v>310</v>
      </c>
      <c r="W822" s="971">
        <v>250</v>
      </c>
      <c r="X822" s="971" t="s">
        <v>32</v>
      </c>
      <c r="Y822" s="796" t="s">
        <v>1521</v>
      </c>
      <c r="Z822" s="975"/>
      <c r="AA822" s="976" t="s">
        <v>1427</v>
      </c>
      <c r="AB822" s="976" t="s">
        <v>16</v>
      </c>
      <c r="AC822" s="977" t="s">
        <v>4154</v>
      </c>
    </row>
    <row r="823" spans="1:29" s="639" customFormat="1" ht="15" hidden="1" customHeight="1" thickBot="1">
      <c r="A823" s="958" t="s">
        <v>25</v>
      </c>
      <c r="B823" s="958" t="s">
        <v>25</v>
      </c>
      <c r="C823" s="793" t="s">
        <v>4122</v>
      </c>
      <c r="D823" s="793" t="s">
        <v>3688</v>
      </c>
      <c r="E823" s="793" t="s">
        <v>4123</v>
      </c>
      <c r="F823" s="793">
        <v>707801034</v>
      </c>
      <c r="G823" s="793">
        <v>707801034</v>
      </c>
      <c r="H823" s="794">
        <v>5.8472200000000001</v>
      </c>
      <c r="I823" s="974">
        <v>-5.3535599999999999</v>
      </c>
      <c r="J823" s="793" t="s">
        <v>189</v>
      </c>
      <c r="K823" s="794" t="s">
        <v>203</v>
      </c>
      <c r="L823" s="794" t="s">
        <v>1422</v>
      </c>
      <c r="M823" s="794" t="s">
        <v>4145</v>
      </c>
      <c r="N823" s="794">
        <v>2150049980</v>
      </c>
      <c r="O823" s="959">
        <v>45980</v>
      </c>
      <c r="P823" s="960">
        <f t="shared" ca="1" si="28"/>
        <v>88</v>
      </c>
      <c r="Q823" s="959">
        <v>45981</v>
      </c>
      <c r="R823" s="970" t="s">
        <v>2641</v>
      </c>
      <c r="S823" s="971"/>
      <c r="T823" s="971">
        <v>0</v>
      </c>
      <c r="U823" s="972">
        <v>45982</v>
      </c>
      <c r="V823" s="970" t="s">
        <v>310</v>
      </c>
      <c r="W823" s="971">
        <v>100</v>
      </c>
      <c r="X823" s="971" t="s">
        <v>32</v>
      </c>
      <c r="Y823" s="796" t="s">
        <v>228</v>
      </c>
      <c r="Z823" s="975"/>
      <c r="AA823" s="976" t="s">
        <v>1427</v>
      </c>
      <c r="AB823" s="976" t="s">
        <v>16</v>
      </c>
      <c r="AC823" s="977" t="s">
        <v>4155</v>
      </c>
    </row>
    <row r="824" spans="1:29" ht="15" hidden="1" customHeight="1" thickBot="1">
      <c r="A824" s="1538" t="s">
        <v>25</v>
      </c>
      <c r="B824" s="1539" t="s">
        <v>25</v>
      </c>
      <c r="C824" s="1540" t="s">
        <v>4129</v>
      </c>
      <c r="D824" s="1540" t="s">
        <v>4130</v>
      </c>
      <c r="E824" s="1540" t="s">
        <v>1591</v>
      </c>
      <c r="F824" s="1541">
        <v>709058543</v>
      </c>
      <c r="G824" s="1541">
        <v>747733945</v>
      </c>
      <c r="H824" s="1542">
        <v>5.8498679999999998</v>
      </c>
      <c r="I824" s="1542">
        <v>-5.3493240000000002</v>
      </c>
      <c r="J824" s="1542" t="s">
        <v>189</v>
      </c>
      <c r="K824" s="1542" t="s">
        <v>198</v>
      </c>
      <c r="L824" s="1542" t="s">
        <v>1962</v>
      </c>
      <c r="M824" s="1542" t="s">
        <v>4159</v>
      </c>
      <c r="N824" s="1542">
        <v>2150038448</v>
      </c>
      <c r="O824" s="1543">
        <v>45981</v>
      </c>
      <c r="P824" s="1544">
        <f t="shared" ca="1" si="28"/>
        <v>88</v>
      </c>
      <c r="Q824" s="1543">
        <v>45981</v>
      </c>
      <c r="R824" s="1545" t="s">
        <v>2641</v>
      </c>
      <c r="S824" s="1546"/>
      <c r="T824" s="1546">
        <v>1</v>
      </c>
      <c r="U824" s="1547">
        <v>45982</v>
      </c>
      <c r="V824" s="1545" t="s">
        <v>310</v>
      </c>
      <c r="W824" s="1546">
        <v>250</v>
      </c>
      <c r="X824" s="1546" t="s">
        <v>32</v>
      </c>
      <c r="Y824" s="1548" t="s">
        <v>578</v>
      </c>
      <c r="Z824" s="1549"/>
      <c r="AA824" s="1550" t="s">
        <v>532</v>
      </c>
      <c r="AB824" s="1550" t="s">
        <v>16</v>
      </c>
      <c r="AC824" s="1551" t="s">
        <v>4140</v>
      </c>
    </row>
    <row r="825" spans="1:29" ht="15" customHeight="1">
      <c r="A825" s="2251" t="s">
        <v>25</v>
      </c>
      <c r="B825" s="2251" t="s">
        <v>25</v>
      </c>
      <c r="C825" s="2251" t="s">
        <v>4131</v>
      </c>
      <c r="D825" s="2251" t="s">
        <v>4132</v>
      </c>
      <c r="E825" s="2251" t="s">
        <v>4133</v>
      </c>
      <c r="F825" s="2251">
        <v>797284826</v>
      </c>
      <c r="G825" s="2251">
        <v>797284826</v>
      </c>
      <c r="H825" s="2250">
        <v>5.822298</v>
      </c>
      <c r="I825" s="2250">
        <v>-5.3541340000000002</v>
      </c>
      <c r="J825" s="2251" t="s">
        <v>4036</v>
      </c>
      <c r="K825" s="2250" t="s">
        <v>198</v>
      </c>
      <c r="L825" s="2250" t="s">
        <v>4148</v>
      </c>
      <c r="M825" s="2250" t="s">
        <v>4156</v>
      </c>
      <c r="N825" s="2250">
        <v>2150049975</v>
      </c>
      <c r="O825" s="2252">
        <v>45980</v>
      </c>
      <c r="P825" s="2253">
        <f t="shared" ca="1" si="28"/>
        <v>88</v>
      </c>
      <c r="Q825" s="2252">
        <v>45981</v>
      </c>
      <c r="R825" s="2254" t="s">
        <v>2641</v>
      </c>
      <c r="S825" s="2255"/>
      <c r="T825" s="2255">
        <v>0</v>
      </c>
      <c r="U825" s="2256">
        <v>45982</v>
      </c>
      <c r="V825" s="2254" t="s">
        <v>310</v>
      </c>
      <c r="W825" s="2255">
        <v>150</v>
      </c>
      <c r="X825" s="2255" t="s">
        <v>32</v>
      </c>
      <c r="Y825" s="2250" t="s">
        <v>1293</v>
      </c>
      <c r="Z825" s="237"/>
      <c r="AA825" s="237" t="s">
        <v>532</v>
      </c>
      <c r="AB825" s="237" t="s">
        <v>16</v>
      </c>
      <c r="AC825" s="844"/>
    </row>
    <row r="826" spans="1:29" ht="15" customHeight="1">
      <c r="A826" s="2251" t="s">
        <v>25</v>
      </c>
      <c r="B826" s="2251" t="s">
        <v>25</v>
      </c>
      <c r="C826" s="2251" t="s">
        <v>4136</v>
      </c>
      <c r="D826" s="2251" t="s">
        <v>4137</v>
      </c>
      <c r="E826" s="2251" t="s">
        <v>4138</v>
      </c>
      <c r="F826" s="2251">
        <v>101500619</v>
      </c>
      <c r="G826" s="2251">
        <v>101500619</v>
      </c>
      <c r="H826" s="2250">
        <v>5.8133600000000003</v>
      </c>
      <c r="I826" s="2250">
        <v>-5.36754</v>
      </c>
      <c r="J826" s="2251" t="s">
        <v>2612</v>
      </c>
      <c r="K826" s="2250" t="s">
        <v>203</v>
      </c>
      <c r="L826" s="2250" t="s">
        <v>3487</v>
      </c>
      <c r="M826" s="2250" t="s">
        <v>4157</v>
      </c>
      <c r="N826" s="2250">
        <v>2150049978</v>
      </c>
      <c r="O826" s="2252">
        <v>45980</v>
      </c>
      <c r="P826" s="2253">
        <f t="shared" ca="1" si="28"/>
        <v>88</v>
      </c>
      <c r="Q826" s="2252">
        <v>45981</v>
      </c>
      <c r="R826" s="2254" t="s">
        <v>2641</v>
      </c>
      <c r="S826" s="2255"/>
      <c r="T826" s="2255">
        <v>0</v>
      </c>
      <c r="U826" s="2256">
        <v>45982</v>
      </c>
      <c r="V826" s="2254" t="s">
        <v>310</v>
      </c>
      <c r="W826" s="2255">
        <v>200</v>
      </c>
      <c r="X826" s="2255" t="s">
        <v>32</v>
      </c>
      <c r="Y826" s="2250" t="s">
        <v>1293</v>
      </c>
      <c r="Z826" s="237"/>
      <c r="AA826" s="237" t="s">
        <v>532</v>
      </c>
      <c r="AB826" s="237" t="s">
        <v>16</v>
      </c>
      <c r="AC826" s="844" t="s">
        <v>4172</v>
      </c>
    </row>
    <row r="827" spans="1:29" ht="15" customHeight="1">
      <c r="A827" s="2251" t="s">
        <v>25</v>
      </c>
      <c r="B827" s="2251" t="s">
        <v>25</v>
      </c>
      <c r="C827" s="2257" t="s">
        <v>4150</v>
      </c>
      <c r="D827" s="2257" t="s">
        <v>4151</v>
      </c>
      <c r="E827" s="2257" t="s">
        <v>4071</v>
      </c>
      <c r="F827" s="2257">
        <v>769030230</v>
      </c>
      <c r="G827" s="2257">
        <v>769030230</v>
      </c>
      <c r="H827" s="2250">
        <v>5.82233</v>
      </c>
      <c r="I827" s="2250">
        <v>-5.3661500000000002</v>
      </c>
      <c r="J827" s="2257" t="s">
        <v>2612</v>
      </c>
      <c r="K827" s="2250" t="s">
        <v>198</v>
      </c>
      <c r="L827" s="2250" t="s">
        <v>3599</v>
      </c>
      <c r="M827" s="2250" t="s">
        <v>4158</v>
      </c>
      <c r="N827" s="2250">
        <v>2150049973</v>
      </c>
      <c r="O827" s="2258">
        <v>45981</v>
      </c>
      <c r="P827" s="2253">
        <f t="shared" ca="1" si="28"/>
        <v>87</v>
      </c>
      <c r="Q827" s="2258">
        <v>45982</v>
      </c>
      <c r="R827" s="2250" t="s">
        <v>2641</v>
      </c>
      <c r="S827" s="2250"/>
      <c r="T827" s="2255">
        <v>0</v>
      </c>
      <c r="U827" s="2256">
        <v>45982</v>
      </c>
      <c r="V827" s="2254" t="s">
        <v>310</v>
      </c>
      <c r="W827" s="2255">
        <v>100</v>
      </c>
      <c r="X827" s="2255" t="s">
        <v>32</v>
      </c>
      <c r="Y827" s="2250" t="s">
        <v>1293</v>
      </c>
      <c r="Z827" s="237"/>
      <c r="AA827" s="237" t="s">
        <v>532</v>
      </c>
      <c r="AB827" s="237" t="s">
        <v>16</v>
      </c>
      <c r="AC827" s="844" t="s">
        <v>4173</v>
      </c>
    </row>
    <row r="828" spans="1:29" s="639" customFormat="1" ht="15" hidden="1" customHeight="1">
      <c r="A828" s="2007" t="s">
        <v>25</v>
      </c>
      <c r="B828" s="2007" t="s">
        <v>25</v>
      </c>
      <c r="C828" s="2008" t="s">
        <v>3952</v>
      </c>
      <c r="D828" s="2008" t="s">
        <v>3953</v>
      </c>
      <c r="E828" s="2008" t="s">
        <v>41</v>
      </c>
      <c r="F828" s="2008">
        <v>101442727</v>
      </c>
      <c r="G828" s="2008">
        <v>758584658</v>
      </c>
      <c r="H828" s="2009">
        <v>5.8431199999999999</v>
      </c>
      <c r="I828" s="2009">
        <v>-5.3513999999999999</v>
      </c>
      <c r="J828" s="2008" t="s">
        <v>189</v>
      </c>
      <c r="K828" s="2009" t="s">
        <v>203</v>
      </c>
      <c r="L828" s="2009" t="s">
        <v>450</v>
      </c>
      <c r="M828" s="2009" t="s">
        <v>4160</v>
      </c>
      <c r="N828" s="2009">
        <v>2150049974</v>
      </c>
      <c r="O828" s="2010">
        <v>45960</v>
      </c>
      <c r="P828" s="2009">
        <v>14</v>
      </c>
      <c r="Q828" s="2010">
        <v>45969</v>
      </c>
      <c r="R828" s="2007" t="s">
        <v>2641</v>
      </c>
      <c r="S828" s="2011"/>
      <c r="T828" s="2007">
        <v>1</v>
      </c>
      <c r="U828" s="2012">
        <v>45983</v>
      </c>
      <c r="V828" s="2007" t="s">
        <v>310</v>
      </c>
      <c r="W828" s="2007">
        <v>350</v>
      </c>
      <c r="X828" s="2007" t="s">
        <v>32</v>
      </c>
      <c r="Y828" s="1239"/>
      <c r="Z828" s="796"/>
      <c r="AA828" s="1977" t="s">
        <v>532</v>
      </c>
      <c r="AB828" s="1977" t="s">
        <v>16</v>
      </c>
      <c r="AC828" s="1752" t="s">
        <v>4163</v>
      </c>
    </row>
    <row r="829" spans="1:29" s="634" customFormat="1" ht="15" customHeight="1">
      <c r="A829" s="237" t="s">
        <v>25</v>
      </c>
      <c r="B829" s="237" t="s">
        <v>25</v>
      </c>
      <c r="C829" s="237" t="s">
        <v>4127</v>
      </c>
      <c r="D829" s="237" t="s">
        <v>4128</v>
      </c>
      <c r="E829" s="237" t="s">
        <v>3400</v>
      </c>
      <c r="F829" s="237">
        <v>505186298</v>
      </c>
      <c r="G829" s="237">
        <v>759180314</v>
      </c>
      <c r="H829" s="844"/>
      <c r="I829" s="844"/>
      <c r="J829" s="237" t="s">
        <v>2612</v>
      </c>
      <c r="K829" s="844" t="s">
        <v>198</v>
      </c>
      <c r="L829" s="844" t="s">
        <v>3554</v>
      </c>
      <c r="M829" s="237" t="s">
        <v>4171</v>
      </c>
      <c r="N829" s="237">
        <v>2150049989</v>
      </c>
      <c r="O829" s="846">
        <v>45965</v>
      </c>
      <c r="P829" s="844">
        <v>2</v>
      </c>
      <c r="Q829" s="846">
        <v>45981</v>
      </c>
      <c r="R829" s="237" t="s">
        <v>2641</v>
      </c>
      <c r="S829" s="237"/>
      <c r="T829" s="237">
        <v>0</v>
      </c>
      <c r="U829" s="846">
        <v>45983</v>
      </c>
      <c r="V829" s="237" t="s">
        <v>310</v>
      </c>
      <c r="W829" s="237"/>
      <c r="X829" s="237" t="s">
        <v>32</v>
      </c>
      <c r="Y829" s="237"/>
      <c r="Z829" s="1017"/>
      <c r="AA829" s="961" t="s">
        <v>532</v>
      </c>
      <c r="AB829" s="961" t="s">
        <v>16</v>
      </c>
      <c r="AC829" s="1017" t="s">
        <v>4165</v>
      </c>
    </row>
    <row r="830" spans="1:29" s="634" customFormat="1" ht="15" customHeight="1">
      <c r="A830" s="237" t="s">
        <v>25</v>
      </c>
      <c r="B830" s="237" t="s">
        <v>25</v>
      </c>
      <c r="C830" s="843" t="s">
        <v>4119</v>
      </c>
      <c r="D830" s="843" t="s">
        <v>4120</v>
      </c>
      <c r="E830" s="843" t="s">
        <v>4121</v>
      </c>
      <c r="F830" s="843">
        <v>789501622</v>
      </c>
      <c r="G830" s="843">
        <v>767674735</v>
      </c>
      <c r="H830" s="844">
        <v>5.81663</v>
      </c>
      <c r="I830" s="237">
        <v>-5.3640299999999996</v>
      </c>
      <c r="J830" s="843" t="s">
        <v>2612</v>
      </c>
      <c r="K830" s="844" t="s">
        <v>190</v>
      </c>
      <c r="L830" s="844" t="s">
        <v>4143</v>
      </c>
      <c r="M830" s="844" t="s">
        <v>4161</v>
      </c>
      <c r="N830" s="844">
        <v>2150049976</v>
      </c>
      <c r="O830" s="845">
        <v>45980</v>
      </c>
      <c r="P830" s="844">
        <v>2</v>
      </c>
      <c r="Q830" s="845">
        <v>45981</v>
      </c>
      <c r="R830" s="237" t="s">
        <v>2641</v>
      </c>
      <c r="S830" s="237"/>
      <c r="T830" s="237">
        <v>1</v>
      </c>
      <c r="U830" s="846">
        <v>45983</v>
      </c>
      <c r="V830" s="237" t="s">
        <v>310</v>
      </c>
      <c r="W830" s="237">
        <v>150</v>
      </c>
      <c r="X830" s="237" t="s">
        <v>32</v>
      </c>
      <c r="Y830" s="237"/>
      <c r="Z830" s="1017"/>
      <c r="AA830" s="961" t="s">
        <v>532</v>
      </c>
      <c r="AB830" s="961" t="s">
        <v>16</v>
      </c>
      <c r="AC830" s="1017" t="s">
        <v>4166</v>
      </c>
    </row>
    <row r="831" spans="1:29" s="639" customFormat="1" ht="15" hidden="1" customHeight="1">
      <c r="A831" s="2007" t="s">
        <v>25</v>
      </c>
      <c r="B831" s="2007" t="s">
        <v>25</v>
      </c>
      <c r="C831" s="2013" t="s">
        <v>4124</v>
      </c>
      <c r="D831" s="2013" t="s">
        <v>4125</v>
      </c>
      <c r="E831" s="2013" t="s">
        <v>4126</v>
      </c>
      <c r="F831" s="2013">
        <v>749953727</v>
      </c>
      <c r="G831" s="2013">
        <v>502793748</v>
      </c>
      <c r="H831" s="2009">
        <v>5.8387200000000004</v>
      </c>
      <c r="I831" s="2008">
        <v>-5.3478300000000001</v>
      </c>
      <c r="J831" s="2013" t="s">
        <v>189</v>
      </c>
      <c r="K831" s="2009" t="s">
        <v>190</v>
      </c>
      <c r="L831" s="2009" t="s">
        <v>625</v>
      </c>
      <c r="M831" s="2009" t="s">
        <v>4162</v>
      </c>
      <c r="N831" s="2009">
        <v>2150049972</v>
      </c>
      <c r="O831" s="2014">
        <v>45980</v>
      </c>
      <c r="P831" s="2009">
        <v>2</v>
      </c>
      <c r="Q831" s="2014">
        <v>45981</v>
      </c>
      <c r="R831" s="2007" t="s">
        <v>2641</v>
      </c>
      <c r="S831" s="2011"/>
      <c r="T831" s="2007">
        <v>1</v>
      </c>
      <c r="U831" s="2012">
        <v>45983</v>
      </c>
      <c r="V831" s="2007" t="s">
        <v>310</v>
      </c>
      <c r="W831" s="2007">
        <v>350</v>
      </c>
      <c r="X831" s="2007" t="s">
        <v>32</v>
      </c>
      <c r="Y831" s="1239"/>
      <c r="Z831" s="796"/>
      <c r="AA831" s="1977" t="s">
        <v>532</v>
      </c>
      <c r="AB831" s="1982" t="s">
        <v>16</v>
      </c>
      <c r="AC831" s="1752" t="s">
        <v>4167</v>
      </c>
    </row>
    <row r="832" spans="1:29" s="634" customFormat="1" ht="15" customHeight="1">
      <c r="A832" s="961" t="s">
        <v>25</v>
      </c>
      <c r="B832" s="961" t="s">
        <v>25</v>
      </c>
      <c r="C832" s="961" t="s">
        <v>113</v>
      </c>
      <c r="D832" s="961" t="s">
        <v>112</v>
      </c>
      <c r="E832" s="961" t="s">
        <v>114</v>
      </c>
      <c r="F832" s="1357">
        <v>748344226</v>
      </c>
      <c r="G832" s="961">
        <v>140508321</v>
      </c>
      <c r="H832" s="1017">
        <v>5.8307099999999998</v>
      </c>
      <c r="I832" s="1017">
        <v>-5.3603699999999996</v>
      </c>
      <c r="J832" s="961" t="s">
        <v>2612</v>
      </c>
      <c r="K832" s="961" t="s">
        <v>274</v>
      </c>
      <c r="L832" s="961" t="s">
        <v>2614</v>
      </c>
      <c r="M832" s="964" t="s">
        <v>4193</v>
      </c>
      <c r="N832" s="964">
        <v>2150049983</v>
      </c>
      <c r="O832" s="1358">
        <v>45686</v>
      </c>
      <c r="P832" s="1018">
        <f t="shared" ref="P832:P872" ca="1" si="29">TODAY()-Q832</f>
        <v>382</v>
      </c>
      <c r="Q832" s="1358">
        <v>45687</v>
      </c>
      <c r="R832" s="961" t="s">
        <v>273</v>
      </c>
      <c r="S832" s="961"/>
      <c r="T832" s="961">
        <v>4</v>
      </c>
      <c r="U832" s="963">
        <v>45985</v>
      </c>
      <c r="V832" s="1017" t="s">
        <v>310</v>
      </c>
      <c r="W832" s="961">
        <v>350</v>
      </c>
      <c r="X832" s="961" t="s">
        <v>32</v>
      </c>
      <c r="Y832" s="1017" t="s">
        <v>193</v>
      </c>
      <c r="Z832" s="1017"/>
      <c r="AA832" s="961" t="s">
        <v>532</v>
      </c>
      <c r="AB832" s="961" t="s">
        <v>16</v>
      </c>
      <c r="AC832" s="1017" t="s">
        <v>4168</v>
      </c>
    </row>
    <row r="833" spans="1:29" s="634" customFormat="1" ht="15" customHeight="1">
      <c r="A833" s="961" t="s">
        <v>25</v>
      </c>
      <c r="B833" s="961" t="s">
        <v>25</v>
      </c>
      <c r="C833" s="1016" t="s">
        <v>3999</v>
      </c>
      <c r="D833" s="1016" t="s">
        <v>3396</v>
      </c>
      <c r="E833" s="1016" t="s">
        <v>3400</v>
      </c>
      <c r="F833" s="1016">
        <v>141968679</v>
      </c>
      <c r="G833" s="1016">
        <v>708086139</v>
      </c>
      <c r="H833" s="1017">
        <v>5.8265599999999997</v>
      </c>
      <c r="I833" s="1017">
        <v>-5.3663100000000004</v>
      </c>
      <c r="J833" s="1015" t="s">
        <v>2612</v>
      </c>
      <c r="K833" s="1017" t="s">
        <v>198</v>
      </c>
      <c r="L833" s="1017" t="s">
        <v>3433</v>
      </c>
      <c r="M833" s="964" t="s">
        <v>4194</v>
      </c>
      <c r="N833" s="964">
        <v>2150049981</v>
      </c>
      <c r="O833" s="795">
        <v>45972</v>
      </c>
      <c r="P833" s="1018">
        <f t="shared" ca="1" si="29"/>
        <v>95</v>
      </c>
      <c r="Q833" s="795">
        <v>45974</v>
      </c>
      <c r="R833" s="961" t="s">
        <v>2641</v>
      </c>
      <c r="S833" s="962"/>
      <c r="T833" s="962">
        <v>0</v>
      </c>
      <c r="U833" s="963">
        <v>45985</v>
      </c>
      <c r="V833" s="962" t="s">
        <v>310</v>
      </c>
      <c r="W833" s="964">
        <v>150</v>
      </c>
      <c r="X833" s="964" t="s">
        <v>32</v>
      </c>
      <c r="Y833" s="1017" t="s">
        <v>245</v>
      </c>
      <c r="Z833" s="168"/>
      <c r="AA833" s="167" t="s">
        <v>532</v>
      </c>
      <c r="AB833" s="174" t="s">
        <v>16</v>
      </c>
      <c r="AC833" s="168" t="s">
        <v>4170</v>
      </c>
    </row>
    <row r="834" spans="1:29" s="634" customFormat="1" ht="15" customHeight="1">
      <c r="A834" s="961" t="s">
        <v>25</v>
      </c>
      <c r="B834" s="961" t="s">
        <v>25</v>
      </c>
      <c r="C834" s="1016" t="s">
        <v>4005</v>
      </c>
      <c r="D834" s="1016" t="s">
        <v>4006</v>
      </c>
      <c r="E834" s="1016" t="s">
        <v>3400</v>
      </c>
      <c r="F834" s="1016">
        <v>102629153</v>
      </c>
      <c r="G834" s="1016">
        <v>709808586</v>
      </c>
      <c r="H834" s="1017">
        <v>5.8324999999999996</v>
      </c>
      <c r="I834" s="1017">
        <v>-5.3636999999999997</v>
      </c>
      <c r="J834" s="1015" t="s">
        <v>2612</v>
      </c>
      <c r="K834" s="1017" t="s">
        <v>198</v>
      </c>
      <c r="L834" s="1017" t="s">
        <v>3725</v>
      </c>
      <c r="M834" s="964" t="s">
        <v>4195</v>
      </c>
      <c r="N834" s="964">
        <v>2150049984</v>
      </c>
      <c r="O834" s="795">
        <v>45973</v>
      </c>
      <c r="P834" s="1018">
        <f t="shared" ca="1" si="29"/>
        <v>95</v>
      </c>
      <c r="Q834" s="795">
        <v>45974</v>
      </c>
      <c r="R834" s="961" t="s">
        <v>2641</v>
      </c>
      <c r="S834" s="962"/>
      <c r="T834" s="962">
        <v>0</v>
      </c>
      <c r="U834" s="963">
        <v>45985</v>
      </c>
      <c r="V834" s="962" t="s">
        <v>310</v>
      </c>
      <c r="W834" s="964">
        <v>250</v>
      </c>
      <c r="X834" s="964" t="s">
        <v>32</v>
      </c>
      <c r="Y834" s="1017" t="s">
        <v>245</v>
      </c>
      <c r="Z834" s="168"/>
      <c r="AA834" s="167" t="s">
        <v>532</v>
      </c>
      <c r="AB834" s="174" t="s">
        <v>16</v>
      </c>
      <c r="AC834" s="168" t="s">
        <v>4164</v>
      </c>
    </row>
    <row r="835" spans="1:29" s="634" customFormat="1" ht="15" customHeight="1">
      <c r="A835" s="961" t="s">
        <v>25</v>
      </c>
      <c r="B835" s="961" t="s">
        <v>25</v>
      </c>
      <c r="C835" s="1016" t="s">
        <v>4009</v>
      </c>
      <c r="D835" s="1016" t="s">
        <v>4010</v>
      </c>
      <c r="E835" s="1016" t="s">
        <v>4011</v>
      </c>
      <c r="F835" s="1016">
        <v>767674816</v>
      </c>
      <c r="G835" s="1016">
        <v>767674816</v>
      </c>
      <c r="H835" s="1017">
        <v>5.8215199999999996</v>
      </c>
      <c r="I835" s="1017">
        <v>-5.3667600000000002</v>
      </c>
      <c r="J835" s="1015" t="s">
        <v>2612</v>
      </c>
      <c r="K835" s="1017" t="s">
        <v>198</v>
      </c>
      <c r="L835" s="1017" t="s">
        <v>3629</v>
      </c>
      <c r="M835" s="964" t="s">
        <v>4196</v>
      </c>
      <c r="N835" s="964">
        <v>2150049988</v>
      </c>
      <c r="O835" s="795">
        <v>45970</v>
      </c>
      <c r="P835" s="1018">
        <f t="shared" ca="1" si="29"/>
        <v>95</v>
      </c>
      <c r="Q835" s="795">
        <v>45974</v>
      </c>
      <c r="R835" s="961" t="s">
        <v>2641</v>
      </c>
      <c r="S835" s="962"/>
      <c r="T835" s="962">
        <v>1</v>
      </c>
      <c r="U835" s="963">
        <v>45985</v>
      </c>
      <c r="V835" s="962" t="s">
        <v>310</v>
      </c>
      <c r="W835" s="964">
        <v>200</v>
      </c>
      <c r="X835" s="964" t="s">
        <v>32</v>
      </c>
      <c r="Y835" s="1017" t="s">
        <v>228</v>
      </c>
      <c r="Z835" s="168"/>
      <c r="AA835" s="167" t="s">
        <v>532</v>
      </c>
      <c r="AB835" s="662" t="s">
        <v>16</v>
      </c>
      <c r="AC835" s="168" t="s">
        <v>4188</v>
      </c>
    </row>
    <row r="836" spans="1:29" s="634" customFormat="1" ht="15" customHeight="1">
      <c r="A836" s="961" t="s">
        <v>25</v>
      </c>
      <c r="B836" s="961" t="s">
        <v>25</v>
      </c>
      <c r="C836" s="1016" t="s">
        <v>4069</v>
      </c>
      <c r="D836" s="1016" t="s">
        <v>4070</v>
      </c>
      <c r="E836" s="1016" t="s">
        <v>4071</v>
      </c>
      <c r="F836" s="1016">
        <v>748578838</v>
      </c>
      <c r="G836" s="1016">
        <v>506648895</v>
      </c>
      <c r="H836" s="1017">
        <v>5.8203800000000001</v>
      </c>
      <c r="I836" s="1017">
        <v>-5.36043</v>
      </c>
      <c r="J836" s="1016" t="s">
        <v>2612</v>
      </c>
      <c r="K836" s="1017" t="s">
        <v>198</v>
      </c>
      <c r="L836" s="1017" t="s">
        <v>3780</v>
      </c>
      <c r="M836" s="964" t="s">
        <v>4197</v>
      </c>
      <c r="N836" s="964">
        <v>2150038447</v>
      </c>
      <c r="O836" s="795">
        <v>45965</v>
      </c>
      <c r="P836" s="1018">
        <f t="shared" ca="1" si="29"/>
        <v>91</v>
      </c>
      <c r="Q836" s="795">
        <v>45978</v>
      </c>
      <c r="R836" s="961" t="s">
        <v>2641</v>
      </c>
      <c r="S836" s="962"/>
      <c r="T836" s="962">
        <v>0</v>
      </c>
      <c r="U836" s="963">
        <v>45985</v>
      </c>
      <c r="V836" s="962" t="s">
        <v>310</v>
      </c>
      <c r="W836" s="964">
        <v>200</v>
      </c>
      <c r="X836" s="964" t="s">
        <v>32</v>
      </c>
      <c r="Y836" s="1017" t="s">
        <v>228</v>
      </c>
      <c r="Z836" s="168"/>
      <c r="AA836" s="167" t="s">
        <v>532</v>
      </c>
      <c r="AB836" s="174" t="s">
        <v>16</v>
      </c>
      <c r="AC836" s="168" t="s">
        <v>4190</v>
      </c>
    </row>
    <row r="837" spans="1:29" s="634" customFormat="1" ht="15" customHeight="1">
      <c r="A837" s="174" t="s">
        <v>25</v>
      </c>
      <c r="B837" s="174" t="s">
        <v>25</v>
      </c>
      <c r="C837" s="1365" t="s">
        <v>4105</v>
      </c>
      <c r="D837" s="1365" t="s">
        <v>4106</v>
      </c>
      <c r="E837" s="1365" t="s">
        <v>3500</v>
      </c>
      <c r="F837" s="1365">
        <v>707803677</v>
      </c>
      <c r="G837" s="1365">
        <v>778387345</v>
      </c>
      <c r="H837" s="168">
        <v>5.8165800000000001</v>
      </c>
      <c r="I837" s="168">
        <v>-5.3645300000000002</v>
      </c>
      <c r="J837" s="1365" t="s">
        <v>2612</v>
      </c>
      <c r="K837" s="168" t="s">
        <v>190</v>
      </c>
      <c r="L837" s="168" t="s">
        <v>4143</v>
      </c>
      <c r="M837" s="169" t="s">
        <v>4200</v>
      </c>
      <c r="N837" s="169">
        <v>2150049982</v>
      </c>
      <c r="O837" s="1366">
        <v>45973</v>
      </c>
      <c r="P837" s="1000">
        <f t="shared" ca="1" si="29"/>
        <v>90</v>
      </c>
      <c r="Q837" s="1366">
        <v>45979</v>
      </c>
      <c r="R837" s="174" t="s">
        <v>2641</v>
      </c>
      <c r="S837" s="167"/>
      <c r="T837" s="167">
        <v>1</v>
      </c>
      <c r="U837" s="299">
        <v>45986</v>
      </c>
      <c r="V837" s="167" t="s">
        <v>310</v>
      </c>
      <c r="W837" s="174">
        <v>100</v>
      </c>
      <c r="X837" s="174" t="s">
        <v>32</v>
      </c>
      <c r="Y837" s="168" t="s">
        <v>245</v>
      </c>
      <c r="Z837" s="986"/>
      <c r="AA837" s="989" t="s">
        <v>532</v>
      </c>
      <c r="AB837" s="989" t="s">
        <v>16</v>
      </c>
      <c r="AC837" s="986" t="s">
        <v>4224</v>
      </c>
    </row>
    <row r="838" spans="1:29" s="634" customFormat="1" ht="15" customHeight="1">
      <c r="A838" s="174" t="s">
        <v>25</v>
      </c>
      <c r="B838" s="174" t="s">
        <v>25</v>
      </c>
      <c r="C838" s="166" t="s">
        <v>4019</v>
      </c>
      <c r="D838" s="166" t="s">
        <v>4020</v>
      </c>
      <c r="E838" s="166" t="s">
        <v>4021</v>
      </c>
      <c r="F838" s="166">
        <v>709569345</v>
      </c>
      <c r="G838" s="166">
        <v>709569345</v>
      </c>
      <c r="H838" s="168">
        <v>5.82498</v>
      </c>
      <c r="I838" s="168">
        <v>-5.3597700000000001</v>
      </c>
      <c r="J838" s="166" t="s">
        <v>4036</v>
      </c>
      <c r="K838" s="168" t="s">
        <v>203</v>
      </c>
      <c r="L838" s="168" t="s">
        <v>4110</v>
      </c>
      <c r="M838" s="169" t="s">
        <v>4198</v>
      </c>
      <c r="N838" s="169">
        <v>2150049987</v>
      </c>
      <c r="O838" s="170">
        <v>45973</v>
      </c>
      <c r="P838" s="1000">
        <f t="shared" ca="1" si="29"/>
        <v>94</v>
      </c>
      <c r="Q838" s="170">
        <v>45975</v>
      </c>
      <c r="R838" s="174" t="s">
        <v>2641</v>
      </c>
      <c r="S838" s="167"/>
      <c r="T838" s="167">
        <v>1</v>
      </c>
      <c r="U838" s="299">
        <v>45986</v>
      </c>
      <c r="V838" s="167" t="s">
        <v>310</v>
      </c>
      <c r="W838" s="169">
        <v>250</v>
      </c>
      <c r="X838" s="169" t="s">
        <v>32</v>
      </c>
      <c r="Y838" s="168" t="s">
        <v>193</v>
      </c>
      <c r="Z838" s="986"/>
      <c r="AA838" s="989" t="s">
        <v>532</v>
      </c>
      <c r="AB838" s="989" t="s">
        <v>16</v>
      </c>
      <c r="AC838" s="1348" t="s">
        <v>4223</v>
      </c>
    </row>
    <row r="839" spans="1:29" s="634" customFormat="1" ht="15" customHeight="1">
      <c r="A839" s="174" t="s">
        <v>25</v>
      </c>
      <c r="B839" s="174" t="s">
        <v>25</v>
      </c>
      <c r="C839" s="166" t="s">
        <v>4174</v>
      </c>
      <c r="D839" s="166" t="s">
        <v>4175</v>
      </c>
      <c r="E839" s="166" t="s">
        <v>4176</v>
      </c>
      <c r="F839" s="166">
        <v>757556629</v>
      </c>
      <c r="G839" s="166">
        <v>574291629</v>
      </c>
      <c r="H839" s="168">
        <v>5.8156999999999996</v>
      </c>
      <c r="I839" s="168">
        <v>-5.3692599999999997</v>
      </c>
      <c r="J839" s="166" t="s">
        <v>2612</v>
      </c>
      <c r="K839" s="168" t="s">
        <v>198</v>
      </c>
      <c r="L839" s="168" t="s">
        <v>3629</v>
      </c>
      <c r="M839" s="169" t="s">
        <v>4202</v>
      </c>
      <c r="N839" s="169">
        <v>2150049991</v>
      </c>
      <c r="O839" s="170">
        <v>45983</v>
      </c>
      <c r="P839" s="1000">
        <f t="shared" ca="1" si="29"/>
        <v>84</v>
      </c>
      <c r="Q839" s="170">
        <v>45985</v>
      </c>
      <c r="R839" s="983" t="s">
        <v>2641</v>
      </c>
      <c r="S839" s="662"/>
      <c r="T839" s="662">
        <v>1</v>
      </c>
      <c r="U839" s="299">
        <v>45986</v>
      </c>
      <c r="V839" s="983" t="s">
        <v>310</v>
      </c>
      <c r="W839" s="662">
        <v>200</v>
      </c>
      <c r="X839" s="662" t="s">
        <v>32</v>
      </c>
      <c r="Y839" s="168" t="s">
        <v>245</v>
      </c>
      <c r="Z839" s="986"/>
      <c r="AA839" s="989" t="s">
        <v>532</v>
      </c>
      <c r="AB839" s="989" t="s">
        <v>16</v>
      </c>
      <c r="AC839" s="986" t="s">
        <v>4228</v>
      </c>
    </row>
    <row r="840" spans="1:29" s="639" customFormat="1" ht="15" hidden="1" customHeight="1">
      <c r="A840" s="1732" t="s">
        <v>25</v>
      </c>
      <c r="B840" s="1732" t="s">
        <v>25</v>
      </c>
      <c r="C840" s="1683" t="s">
        <v>4067</v>
      </c>
      <c r="D840" s="1683" t="s">
        <v>4068</v>
      </c>
      <c r="E840" s="1683" t="s">
        <v>295</v>
      </c>
      <c r="F840" s="1683">
        <v>720242050</v>
      </c>
      <c r="G840" s="1683">
        <v>787826945</v>
      </c>
      <c r="H840" s="1671">
        <v>5.8352000000000004</v>
      </c>
      <c r="I840" s="1671">
        <v>-5.3561699999999997</v>
      </c>
      <c r="J840" s="1683" t="s">
        <v>189</v>
      </c>
      <c r="K840" s="1671" t="s">
        <v>4189</v>
      </c>
      <c r="L840" s="1671" t="s">
        <v>1353</v>
      </c>
      <c r="M840" s="2015" t="s">
        <v>4201</v>
      </c>
      <c r="N840" s="2016">
        <v>2150049985</v>
      </c>
      <c r="O840" s="1685">
        <v>45973</v>
      </c>
      <c r="P840" s="2017">
        <f t="shared" ca="1" si="29"/>
        <v>91</v>
      </c>
      <c r="Q840" s="1685">
        <v>45978</v>
      </c>
      <c r="R840" s="2018" t="s">
        <v>2641</v>
      </c>
      <c r="S840" s="2019"/>
      <c r="T840" s="2019">
        <v>2</v>
      </c>
      <c r="U840" s="2020">
        <v>45986</v>
      </c>
      <c r="V840" s="2019" t="s">
        <v>310</v>
      </c>
      <c r="W840" s="2021">
        <v>350</v>
      </c>
      <c r="X840" s="2021" t="s">
        <v>32</v>
      </c>
      <c r="Y840" s="663" t="s">
        <v>1521</v>
      </c>
      <c r="Z840" s="642"/>
      <c r="AA840" s="1670" t="s">
        <v>532</v>
      </c>
      <c r="AB840" s="1670" t="s">
        <v>16</v>
      </c>
      <c r="AC840" s="1665" t="s">
        <v>4192</v>
      </c>
    </row>
    <row r="841" spans="1:29" s="634" customFormat="1" ht="15" customHeight="1">
      <c r="A841" s="984" t="s">
        <v>25</v>
      </c>
      <c r="B841" s="984" t="s">
        <v>25</v>
      </c>
      <c r="C841" s="985" t="s">
        <v>4179</v>
      </c>
      <c r="D841" s="985" t="s">
        <v>4180</v>
      </c>
      <c r="E841" s="985" t="s">
        <v>4181</v>
      </c>
      <c r="F841" s="985">
        <v>709769772</v>
      </c>
      <c r="G841" s="985">
        <v>544908827</v>
      </c>
      <c r="H841" s="986">
        <v>5.8187939999999996</v>
      </c>
      <c r="I841" s="986">
        <v>-5.3636290000000004</v>
      </c>
      <c r="J841" s="985" t="s">
        <v>2612</v>
      </c>
      <c r="K841" s="986" t="s">
        <v>190</v>
      </c>
      <c r="L841" s="986" t="s">
        <v>3192</v>
      </c>
      <c r="M841" s="986" t="s">
        <v>4229</v>
      </c>
      <c r="N841" s="986">
        <v>2150051208</v>
      </c>
      <c r="O841" s="839">
        <v>45983</v>
      </c>
      <c r="P841" s="987">
        <f t="shared" ca="1" si="29"/>
        <v>84</v>
      </c>
      <c r="Q841" s="839">
        <v>45985</v>
      </c>
      <c r="R841" s="988" t="s">
        <v>2641</v>
      </c>
      <c r="S841" s="989"/>
      <c r="T841" s="989">
        <v>0</v>
      </c>
      <c r="U841" s="990">
        <v>45987</v>
      </c>
      <c r="V841" s="988" t="s">
        <v>310</v>
      </c>
      <c r="W841" s="989">
        <v>150</v>
      </c>
      <c r="X841" s="989" t="s">
        <v>32</v>
      </c>
      <c r="Y841" s="986" t="s">
        <v>1521</v>
      </c>
      <c r="Z841" s="236"/>
      <c r="AA841" s="666" t="s">
        <v>532</v>
      </c>
      <c r="AB841" s="664" t="s">
        <v>16</v>
      </c>
      <c r="AC841" s="236" t="s">
        <v>4236</v>
      </c>
    </row>
    <row r="842" spans="1:29" s="639" customFormat="1" ht="15" hidden="1" customHeight="1">
      <c r="A842" s="2022" t="s">
        <v>25</v>
      </c>
      <c r="B842" s="2022" t="s">
        <v>25</v>
      </c>
      <c r="C842" s="2022" t="s">
        <v>4208</v>
      </c>
      <c r="D842" s="2022" t="s">
        <v>4209</v>
      </c>
      <c r="E842" s="2022" t="s">
        <v>3205</v>
      </c>
      <c r="F842" s="2022">
        <v>150429527</v>
      </c>
      <c r="G842" s="2022">
        <v>747292106</v>
      </c>
      <c r="H842" s="2023">
        <v>5.8389300000000004</v>
      </c>
      <c r="I842" s="2023">
        <v>-5.3695000000000004</v>
      </c>
      <c r="J842" s="2022" t="s">
        <v>36</v>
      </c>
      <c r="K842" s="2023" t="s">
        <v>203</v>
      </c>
      <c r="L842" s="2023" t="s">
        <v>2896</v>
      </c>
      <c r="M842" s="2023" t="s">
        <v>4230</v>
      </c>
      <c r="N842" s="2023">
        <v>2150051209</v>
      </c>
      <c r="O842" s="2024">
        <v>45975</v>
      </c>
      <c r="P842" s="2025">
        <f t="shared" ca="1" si="29"/>
        <v>83</v>
      </c>
      <c r="Q842" s="2024">
        <v>45986</v>
      </c>
      <c r="R842" s="2026" t="s">
        <v>2641</v>
      </c>
      <c r="S842" s="2027"/>
      <c r="T842" s="2027">
        <v>0</v>
      </c>
      <c r="U842" s="2028">
        <v>45987</v>
      </c>
      <c r="V842" s="2026" t="s">
        <v>310</v>
      </c>
      <c r="W842" s="2027">
        <v>300</v>
      </c>
      <c r="X842" s="2027" t="s">
        <v>32</v>
      </c>
      <c r="Y842" s="784" t="s">
        <v>343</v>
      </c>
      <c r="Z842" s="642"/>
      <c r="AA842" s="2029" t="s">
        <v>532</v>
      </c>
      <c r="AB842" s="2029" t="s">
        <v>16</v>
      </c>
      <c r="AC842" s="1820" t="s">
        <v>4222</v>
      </c>
    </row>
    <row r="843" spans="1:29" s="639" customFormat="1" ht="15" hidden="1" customHeight="1">
      <c r="A843" s="1555" t="s">
        <v>25</v>
      </c>
      <c r="B843" s="1555" t="s">
        <v>25</v>
      </c>
      <c r="C843" s="1456" t="s">
        <v>4177</v>
      </c>
      <c r="D843" s="1456" t="s">
        <v>4178</v>
      </c>
      <c r="E843" s="1456" t="s">
        <v>4073</v>
      </c>
      <c r="F843" s="1456">
        <v>708477879</v>
      </c>
      <c r="G843" s="1456">
        <v>708477879</v>
      </c>
      <c r="H843" s="769">
        <v>5.8381299999999996</v>
      </c>
      <c r="I843" s="769">
        <v>-5.3587899999999999</v>
      </c>
      <c r="J843" s="1456" t="s">
        <v>36</v>
      </c>
      <c r="K843" s="769" t="s">
        <v>190</v>
      </c>
      <c r="L843" s="769" t="s">
        <v>642</v>
      </c>
      <c r="M843" s="1552" t="s">
        <v>4203</v>
      </c>
      <c r="N843" s="1556">
        <v>2150049977</v>
      </c>
      <c r="O843" s="1457">
        <v>45983</v>
      </c>
      <c r="P843" s="1557">
        <f t="shared" ca="1" si="29"/>
        <v>84</v>
      </c>
      <c r="Q843" s="1457">
        <v>45985</v>
      </c>
      <c r="R843" s="1558" t="s">
        <v>2641</v>
      </c>
      <c r="S843" s="1402"/>
      <c r="T843" s="1402">
        <v>0</v>
      </c>
      <c r="U843" s="1559">
        <v>45988</v>
      </c>
      <c r="V843" s="1558" t="s">
        <v>310</v>
      </c>
      <c r="W843" s="1402">
        <v>200</v>
      </c>
      <c r="X843" s="1402" t="s">
        <v>32</v>
      </c>
      <c r="Y843" s="642" t="s">
        <v>578</v>
      </c>
      <c r="Z843" s="642"/>
      <c r="AA843" s="1402" t="s">
        <v>532</v>
      </c>
      <c r="AB843" s="1402" t="s">
        <v>16</v>
      </c>
      <c r="AC843" s="769" t="s">
        <v>4232</v>
      </c>
    </row>
    <row r="844" spans="1:29" s="634" customFormat="1" ht="15" customHeight="1">
      <c r="A844" s="664" t="s">
        <v>25</v>
      </c>
      <c r="B844" s="664" t="s">
        <v>25</v>
      </c>
      <c r="C844" s="235" t="s">
        <v>4091</v>
      </c>
      <c r="D844" s="235" t="s">
        <v>1010</v>
      </c>
      <c r="E844" s="235" t="s">
        <v>4092</v>
      </c>
      <c r="F844" s="235">
        <v>172739760</v>
      </c>
      <c r="G844" s="235">
        <v>757388946</v>
      </c>
      <c r="H844" s="236">
        <v>5.8213900000000001</v>
      </c>
      <c r="I844" s="236">
        <v>-5.3546500000000004</v>
      </c>
      <c r="J844" s="235" t="s">
        <v>4036</v>
      </c>
      <c r="K844" s="236" t="s">
        <v>198</v>
      </c>
      <c r="L844" s="236" t="s">
        <v>4113</v>
      </c>
      <c r="M844" s="236" t="s">
        <v>4274</v>
      </c>
      <c r="N844" s="236">
        <v>2150051195</v>
      </c>
      <c r="O844" s="238">
        <v>45977</v>
      </c>
      <c r="P844" s="996">
        <f t="shared" ca="1" si="29"/>
        <v>91</v>
      </c>
      <c r="Q844" s="238">
        <v>45978</v>
      </c>
      <c r="R844" s="664" t="s">
        <v>2641</v>
      </c>
      <c r="S844" s="234"/>
      <c r="T844" s="234">
        <v>0</v>
      </c>
      <c r="U844" s="995">
        <v>45988</v>
      </c>
      <c r="V844" s="234" t="s">
        <v>310</v>
      </c>
      <c r="W844" s="237">
        <v>100</v>
      </c>
      <c r="X844" s="237" t="s">
        <v>32</v>
      </c>
      <c r="Y844" s="236" t="s">
        <v>193</v>
      </c>
      <c r="Z844" s="236"/>
      <c r="AA844" s="666" t="s">
        <v>532</v>
      </c>
      <c r="AB844" s="236" t="s">
        <v>16</v>
      </c>
      <c r="AC844" s="236" t="s">
        <v>4267</v>
      </c>
    </row>
    <row r="845" spans="1:29" s="639" customFormat="1" ht="15" hidden="1" customHeight="1">
      <c r="A845" s="2030" t="s">
        <v>25</v>
      </c>
      <c r="B845" s="2030" t="s">
        <v>25</v>
      </c>
      <c r="C845" s="2030" t="s">
        <v>4210</v>
      </c>
      <c r="D845" s="2030" t="s">
        <v>4211</v>
      </c>
      <c r="E845" s="2030" t="s">
        <v>4212</v>
      </c>
      <c r="F845" s="2030">
        <v>748135132</v>
      </c>
      <c r="G845" s="2030">
        <v>708873705</v>
      </c>
      <c r="H845" s="2031">
        <v>5.8427499999999997</v>
      </c>
      <c r="I845" s="2031">
        <v>-5.3561699999999997</v>
      </c>
      <c r="J845" s="2030" t="s">
        <v>36</v>
      </c>
      <c r="K845" s="2031" t="s">
        <v>190</v>
      </c>
      <c r="L845" s="2031" t="s">
        <v>2597</v>
      </c>
      <c r="M845" s="2031" t="s">
        <v>4276</v>
      </c>
      <c r="N845" s="2031">
        <v>2150051210</v>
      </c>
      <c r="O845" s="2032">
        <v>45981</v>
      </c>
      <c r="P845" s="2033">
        <f t="shared" ca="1" si="29"/>
        <v>83</v>
      </c>
      <c r="Q845" s="2032">
        <v>45986</v>
      </c>
      <c r="R845" s="2034" t="s">
        <v>2641</v>
      </c>
      <c r="S845" s="2029"/>
      <c r="T845" s="2029">
        <v>0</v>
      </c>
      <c r="U845" s="2035">
        <v>45988</v>
      </c>
      <c r="V845" s="2034" t="s">
        <v>310</v>
      </c>
      <c r="W845" s="2029">
        <v>200</v>
      </c>
      <c r="X845" s="2029" t="s">
        <v>32</v>
      </c>
      <c r="Y845" s="642" t="s">
        <v>578</v>
      </c>
      <c r="Z845" s="642"/>
      <c r="AA845" s="2029" t="s">
        <v>532</v>
      </c>
      <c r="AB845" s="2029" t="s">
        <v>16</v>
      </c>
      <c r="AC845" s="1699" t="s">
        <v>4191</v>
      </c>
    </row>
    <row r="846" spans="1:29" s="639" customFormat="1" ht="15" hidden="1" customHeight="1">
      <c r="A846" s="1560" t="s">
        <v>25</v>
      </c>
      <c r="B846" s="1560" t="s">
        <v>25</v>
      </c>
      <c r="C846" s="1560" t="s">
        <v>4218</v>
      </c>
      <c r="D846" s="1560" t="s">
        <v>4219</v>
      </c>
      <c r="E846" s="1560" t="s">
        <v>289</v>
      </c>
      <c r="F846" s="1560">
        <v>707652147</v>
      </c>
      <c r="G846" s="1560">
        <v>505354883</v>
      </c>
      <c r="H846" s="1326">
        <v>5.8337300000000001</v>
      </c>
      <c r="I846" s="1326">
        <v>-5.35534</v>
      </c>
      <c r="J846" s="1560" t="s">
        <v>36</v>
      </c>
      <c r="K846" s="1326" t="s">
        <v>274</v>
      </c>
      <c r="L846" s="1326" t="s">
        <v>1797</v>
      </c>
      <c r="M846" s="1326" t="s">
        <v>4273</v>
      </c>
      <c r="N846" s="1326">
        <v>2150051194</v>
      </c>
      <c r="O846" s="1561">
        <v>45985</v>
      </c>
      <c r="P846" s="1562">
        <f t="shared" ca="1" si="29"/>
        <v>83</v>
      </c>
      <c r="Q846" s="1561">
        <v>45986</v>
      </c>
      <c r="R846" s="1558" t="s">
        <v>2641</v>
      </c>
      <c r="S846" s="1402"/>
      <c r="T846" s="1402">
        <v>0</v>
      </c>
      <c r="U846" s="1559">
        <v>45988</v>
      </c>
      <c r="V846" s="1558" t="s">
        <v>310</v>
      </c>
      <c r="W846" s="1402">
        <v>200</v>
      </c>
      <c r="X846" s="1402" t="s">
        <v>32</v>
      </c>
      <c r="Y846" s="642" t="s">
        <v>343</v>
      </c>
      <c r="Z846" s="642"/>
      <c r="AA846" s="1402" t="s">
        <v>532</v>
      </c>
      <c r="AB846" s="1560" t="s">
        <v>16</v>
      </c>
      <c r="AC846" s="769" t="s">
        <v>4234</v>
      </c>
    </row>
    <row r="847" spans="1:29" s="634" customFormat="1" ht="15" customHeight="1">
      <c r="A847" s="664" t="s">
        <v>25</v>
      </c>
      <c r="B847" s="664" t="s">
        <v>25</v>
      </c>
      <c r="C847" s="235" t="s">
        <v>4250</v>
      </c>
      <c r="D847" s="235" t="s">
        <v>4251</v>
      </c>
      <c r="E847" s="235" t="s">
        <v>4252</v>
      </c>
      <c r="F847" s="235">
        <v>545120912</v>
      </c>
      <c r="G847" s="235">
        <v>758146852</v>
      </c>
      <c r="H847" s="236">
        <v>5.8315099999999997</v>
      </c>
      <c r="I847" s="236">
        <v>-5.3620099999999997</v>
      </c>
      <c r="J847" s="235" t="s">
        <v>2612</v>
      </c>
      <c r="K847" s="236" t="s">
        <v>274</v>
      </c>
      <c r="L847" s="236" t="s">
        <v>2613</v>
      </c>
      <c r="M847" s="236" t="s">
        <v>4275</v>
      </c>
      <c r="N847" s="236">
        <v>2150051193</v>
      </c>
      <c r="O847" s="238">
        <v>45987</v>
      </c>
      <c r="P847" s="996">
        <f t="shared" ca="1" si="29"/>
        <v>81</v>
      </c>
      <c r="Q847" s="238">
        <v>45988</v>
      </c>
      <c r="R847" s="994" t="s">
        <v>2641</v>
      </c>
      <c r="S847" s="666"/>
      <c r="T847" s="666">
        <v>0</v>
      </c>
      <c r="U847" s="995">
        <v>45988</v>
      </c>
      <c r="V847" s="994" t="s">
        <v>310</v>
      </c>
      <c r="W847" s="666">
        <v>200</v>
      </c>
      <c r="X847" s="666" t="s">
        <v>32</v>
      </c>
      <c r="Y847" s="236" t="s">
        <v>245</v>
      </c>
      <c r="Z847" s="168"/>
      <c r="AA847" s="167" t="s">
        <v>532</v>
      </c>
      <c r="AB847" s="174" t="s">
        <v>16</v>
      </c>
      <c r="AC847" s="168" t="s">
        <v>4169</v>
      </c>
    </row>
    <row r="848" spans="1:29" s="639" customFormat="1" ht="15" hidden="1" customHeight="1">
      <c r="A848" s="2036" t="s">
        <v>25</v>
      </c>
      <c r="B848" s="2036" t="s">
        <v>25</v>
      </c>
      <c r="C848" s="2037" t="s">
        <v>4182</v>
      </c>
      <c r="D848" s="2037" t="s">
        <v>4183</v>
      </c>
      <c r="E848" s="2037" t="s">
        <v>1938</v>
      </c>
      <c r="F848" s="2037">
        <v>708477879</v>
      </c>
      <c r="G848" s="2037">
        <v>708477879</v>
      </c>
      <c r="H848" s="1699">
        <v>5.8417599999999998</v>
      </c>
      <c r="I848" s="1699">
        <v>-5.3568300000000004</v>
      </c>
      <c r="J848" s="2037" t="s">
        <v>36</v>
      </c>
      <c r="K848" s="1699" t="s">
        <v>190</v>
      </c>
      <c r="L848" s="1699" t="s">
        <v>2597</v>
      </c>
      <c r="M848" s="2038" t="s">
        <v>4204</v>
      </c>
      <c r="N848" s="2039">
        <v>2150038733</v>
      </c>
      <c r="O848" s="2040">
        <v>45983</v>
      </c>
      <c r="P848" s="2041">
        <f t="shared" ca="1" si="29"/>
        <v>84</v>
      </c>
      <c r="Q848" s="2040">
        <v>45985</v>
      </c>
      <c r="R848" s="2034" t="s">
        <v>2641</v>
      </c>
      <c r="S848" s="2029"/>
      <c r="T848" s="2029">
        <v>0</v>
      </c>
      <c r="U848" s="2035">
        <v>45988</v>
      </c>
      <c r="V848" s="2034" t="s">
        <v>310</v>
      </c>
      <c r="W848" s="2029">
        <v>350</v>
      </c>
      <c r="X848" s="2029" t="s">
        <v>32</v>
      </c>
      <c r="Y848" s="642" t="s">
        <v>533</v>
      </c>
      <c r="Z848" s="663"/>
      <c r="AA848" s="2042" t="s">
        <v>532</v>
      </c>
      <c r="AB848" s="1675" t="s">
        <v>16</v>
      </c>
      <c r="AC848" s="1767" t="s">
        <v>4272</v>
      </c>
    </row>
    <row r="849" spans="1:30" s="639" customFormat="1" ht="15" hidden="1" customHeight="1">
      <c r="A849" s="1560" t="s">
        <v>25</v>
      </c>
      <c r="B849" s="1560" t="s">
        <v>25</v>
      </c>
      <c r="C849" s="1563" t="s">
        <v>4072</v>
      </c>
      <c r="D849" s="1563" t="s">
        <v>73</v>
      </c>
      <c r="E849" s="1563" t="s">
        <v>4073</v>
      </c>
      <c r="F849" s="1563">
        <v>143893228</v>
      </c>
      <c r="G849" s="1563">
        <v>758043397</v>
      </c>
      <c r="H849" s="1326">
        <v>5.8402200000000004</v>
      </c>
      <c r="I849" s="1326">
        <v>-5.3573500000000003</v>
      </c>
      <c r="J849" s="1563" t="s">
        <v>36</v>
      </c>
      <c r="K849" s="1326" t="s">
        <v>190</v>
      </c>
      <c r="L849" s="1326" t="s">
        <v>2853</v>
      </c>
      <c r="M849" s="1326" t="s">
        <v>4277</v>
      </c>
      <c r="N849" s="1326">
        <v>2150051203</v>
      </c>
      <c r="O849" s="1564">
        <v>45973</v>
      </c>
      <c r="P849" s="1562">
        <f t="shared" ca="1" si="29"/>
        <v>91</v>
      </c>
      <c r="Q849" s="1564">
        <v>45978</v>
      </c>
      <c r="R849" s="1560" t="s">
        <v>2641</v>
      </c>
      <c r="S849" s="1565"/>
      <c r="T849" s="1565">
        <v>0</v>
      </c>
      <c r="U849" s="1559">
        <v>45988</v>
      </c>
      <c r="V849" s="1565" t="s">
        <v>310</v>
      </c>
      <c r="W849" s="1566">
        <v>250</v>
      </c>
      <c r="X849" s="1566" t="s">
        <v>32</v>
      </c>
      <c r="Y849" s="642" t="s">
        <v>627</v>
      </c>
      <c r="Z849" s="663"/>
      <c r="AA849" s="1553" t="s">
        <v>532</v>
      </c>
      <c r="AB849" s="1227" t="s">
        <v>16</v>
      </c>
      <c r="AC849" s="1122" t="s">
        <v>4233</v>
      </c>
    </row>
    <row r="850" spans="1:30" s="329" customFormat="1" ht="15" customHeight="1">
      <c r="A850" s="984" t="s">
        <v>25</v>
      </c>
      <c r="B850" s="984" t="s">
        <v>25</v>
      </c>
      <c r="C850" s="984" t="s">
        <v>4213</v>
      </c>
      <c r="D850" s="984" t="s">
        <v>4214</v>
      </c>
      <c r="E850" s="984" t="s">
        <v>3326</v>
      </c>
      <c r="F850" s="984">
        <v>140061153</v>
      </c>
      <c r="G850" s="984">
        <v>575905313</v>
      </c>
      <c r="H850" s="986">
        <v>5.4867400000000002</v>
      </c>
      <c r="I850" s="986">
        <v>-5.2193800000000001</v>
      </c>
      <c r="J850" s="984" t="s">
        <v>2612</v>
      </c>
      <c r="K850" s="986" t="s">
        <v>203</v>
      </c>
      <c r="L850" s="986" t="s">
        <v>3763</v>
      </c>
      <c r="M850" s="986" t="s">
        <v>3992</v>
      </c>
      <c r="N850" s="986">
        <v>2150038426</v>
      </c>
      <c r="O850" s="991">
        <v>45983</v>
      </c>
      <c r="P850" s="987">
        <f t="shared" ca="1" si="29"/>
        <v>83</v>
      </c>
      <c r="Q850" s="991">
        <v>45986</v>
      </c>
      <c r="R850" s="988" t="s">
        <v>2641</v>
      </c>
      <c r="S850" s="989"/>
      <c r="T850" s="989">
        <v>1</v>
      </c>
      <c r="U850" s="990">
        <v>45989</v>
      </c>
      <c r="V850" s="988" t="s">
        <v>310</v>
      </c>
      <c r="W850" s="989">
        <v>250</v>
      </c>
      <c r="X850" s="989" t="s">
        <v>32</v>
      </c>
      <c r="Y850" s="986" t="s">
        <v>245</v>
      </c>
      <c r="Z850" s="168"/>
      <c r="AA850" s="168" t="s">
        <v>532</v>
      </c>
      <c r="AB850" s="168" t="s">
        <v>16</v>
      </c>
      <c r="AC850" s="168" t="s">
        <v>4266</v>
      </c>
      <c r="AD850" s="1380"/>
    </row>
    <row r="851" spans="1:30" s="956" customFormat="1" ht="15" hidden="1" customHeight="1">
      <c r="A851" s="1681" t="s">
        <v>25</v>
      </c>
      <c r="B851" s="1681" t="s">
        <v>25</v>
      </c>
      <c r="C851" s="1674" t="s">
        <v>4062</v>
      </c>
      <c r="D851" s="1674" t="s">
        <v>4063</v>
      </c>
      <c r="E851" s="1674" t="s">
        <v>1591</v>
      </c>
      <c r="F851" s="1674">
        <v>172356738</v>
      </c>
      <c r="G851" s="1674">
        <v>707166294</v>
      </c>
      <c r="H851" s="1675">
        <v>5.8498799999999997</v>
      </c>
      <c r="I851" s="1675">
        <v>-5.3490200000000003</v>
      </c>
      <c r="J851" s="1674" t="s">
        <v>189</v>
      </c>
      <c r="K851" s="1675" t="s">
        <v>198</v>
      </c>
      <c r="L851" s="1675" t="s">
        <v>1962</v>
      </c>
      <c r="M851" s="2043" t="s">
        <v>4199</v>
      </c>
      <c r="N851" s="2044">
        <v>2150049986</v>
      </c>
      <c r="O851" s="1676">
        <v>45973</v>
      </c>
      <c r="P851" s="2045">
        <f t="shared" ca="1" si="29"/>
        <v>91</v>
      </c>
      <c r="Q851" s="1676">
        <v>45978</v>
      </c>
      <c r="R851" s="2046" t="s">
        <v>2641</v>
      </c>
      <c r="S851" s="2042"/>
      <c r="T851" s="2042">
        <v>1</v>
      </c>
      <c r="U851" s="2047">
        <v>45989</v>
      </c>
      <c r="V851" s="2042" t="s">
        <v>310</v>
      </c>
      <c r="W851" s="2048">
        <v>200</v>
      </c>
      <c r="X851" s="2048" t="s">
        <v>32</v>
      </c>
      <c r="Y851" s="663" t="s">
        <v>627</v>
      </c>
      <c r="Z851" s="1002"/>
      <c r="AA851" s="2042" t="s">
        <v>532</v>
      </c>
      <c r="AB851" s="1675" t="s">
        <v>16</v>
      </c>
      <c r="AC851" s="1675" t="s">
        <v>4284</v>
      </c>
    </row>
    <row r="852" spans="1:30" s="639" customFormat="1" ht="15" hidden="1" customHeight="1">
      <c r="A852" s="174" t="s">
        <v>25</v>
      </c>
      <c r="B852" s="174" t="s">
        <v>25</v>
      </c>
      <c r="C852" s="710" t="s">
        <v>4241</v>
      </c>
      <c r="D852" s="710" t="s">
        <v>1816</v>
      </c>
      <c r="E852" s="710" t="s">
        <v>4242</v>
      </c>
      <c r="F852" s="710">
        <v>100287680</v>
      </c>
      <c r="G852" s="710">
        <v>748897266</v>
      </c>
      <c r="H852" s="438">
        <v>5.8421799999999999</v>
      </c>
      <c r="I852" s="438">
        <v>-5.3460900000000002</v>
      </c>
      <c r="J852" s="710" t="s">
        <v>189</v>
      </c>
      <c r="K852" s="438" t="s">
        <v>274</v>
      </c>
      <c r="L852" s="438" t="s">
        <v>263</v>
      </c>
      <c r="M852" s="980" t="s">
        <v>4278</v>
      </c>
      <c r="N852" s="981">
        <v>2150051205</v>
      </c>
      <c r="O852" s="711">
        <v>45987</v>
      </c>
      <c r="P852" s="1000">
        <f t="shared" ca="1" si="29"/>
        <v>81</v>
      </c>
      <c r="Q852" s="711">
        <v>45988</v>
      </c>
      <c r="R852" s="983" t="s">
        <v>2641</v>
      </c>
      <c r="S852" s="662"/>
      <c r="T852" s="662">
        <v>0</v>
      </c>
      <c r="U852" s="999">
        <v>45989</v>
      </c>
      <c r="V852" s="983" t="s">
        <v>310</v>
      </c>
      <c r="W852" s="662">
        <v>500</v>
      </c>
      <c r="X852" s="662" t="s">
        <v>32</v>
      </c>
      <c r="Y852" s="663" t="s">
        <v>245</v>
      </c>
      <c r="Z852" s="642"/>
      <c r="AA852" s="666" t="s">
        <v>532</v>
      </c>
      <c r="AB852" s="666" t="s">
        <v>16</v>
      </c>
      <c r="AC852" s="390" t="s">
        <v>4238</v>
      </c>
    </row>
    <row r="853" spans="1:30" s="639" customFormat="1" ht="15" hidden="1" customHeight="1">
      <c r="A853" s="174" t="s">
        <v>25</v>
      </c>
      <c r="B853" s="174" t="s">
        <v>25</v>
      </c>
      <c r="C853" s="998" t="s">
        <v>4225</v>
      </c>
      <c r="D853" s="998" t="s">
        <v>4226</v>
      </c>
      <c r="E853" s="998" t="s">
        <v>4227</v>
      </c>
      <c r="F853" s="998">
        <v>151810648</v>
      </c>
      <c r="G853" s="998">
        <v>173314805</v>
      </c>
      <c r="H853" s="438">
        <v>5.8321899999999998</v>
      </c>
      <c r="I853" s="438">
        <v>-5.35792</v>
      </c>
      <c r="J853" s="998" t="s">
        <v>36</v>
      </c>
      <c r="K853" s="438" t="s">
        <v>198</v>
      </c>
      <c r="L853" s="438" t="s">
        <v>1800</v>
      </c>
      <c r="M853" s="438" t="s">
        <v>4288</v>
      </c>
      <c r="N853" s="438">
        <v>2150051206</v>
      </c>
      <c r="O853" s="1001">
        <v>45986</v>
      </c>
      <c r="P853" s="1000">
        <f t="shared" ca="1" si="29"/>
        <v>82</v>
      </c>
      <c r="Q853" s="1001">
        <v>45987</v>
      </c>
      <c r="R853" s="983" t="s">
        <v>2641</v>
      </c>
      <c r="S853" s="662"/>
      <c r="T853" s="662">
        <v>2</v>
      </c>
      <c r="U853" s="999">
        <v>45989</v>
      </c>
      <c r="V853" s="983" t="s">
        <v>310</v>
      </c>
      <c r="W853" s="662">
        <v>200</v>
      </c>
      <c r="X853" s="662" t="s">
        <v>32</v>
      </c>
      <c r="Y853" s="663" t="s">
        <v>245</v>
      </c>
      <c r="Z853" s="642"/>
      <c r="AA853" s="666" t="s">
        <v>532</v>
      </c>
      <c r="AB853" s="1003" t="s">
        <v>16</v>
      </c>
      <c r="AC853" s="390" t="s">
        <v>4231</v>
      </c>
    </row>
    <row r="854" spans="1:30" s="639" customFormat="1" ht="15" hidden="1" customHeight="1" thickBot="1">
      <c r="A854" s="1199" t="s">
        <v>25</v>
      </c>
      <c r="B854" s="1199" t="s">
        <v>25</v>
      </c>
      <c r="C854" s="1408" t="s">
        <v>4239</v>
      </c>
      <c r="D854" s="1408" t="s">
        <v>4240</v>
      </c>
      <c r="E854" s="1408" t="s">
        <v>295</v>
      </c>
      <c r="F854" s="1408">
        <v>749422816</v>
      </c>
      <c r="G854" s="1408">
        <v>749422816</v>
      </c>
      <c r="H854" s="1122">
        <v>5.8330599999999997</v>
      </c>
      <c r="I854" s="1122">
        <v>-5.35839</v>
      </c>
      <c r="J854" s="1408" t="s">
        <v>36</v>
      </c>
      <c r="K854" s="1567" t="s">
        <v>198</v>
      </c>
      <c r="L854" s="1122" t="s">
        <v>1800</v>
      </c>
      <c r="M854" s="1122" t="s">
        <v>4294</v>
      </c>
      <c r="N854" s="1122">
        <v>2150051201</v>
      </c>
      <c r="O854" s="1409">
        <v>45986</v>
      </c>
      <c r="P854" s="1568">
        <f t="shared" ca="1" si="29"/>
        <v>81</v>
      </c>
      <c r="Q854" s="1409">
        <v>45988</v>
      </c>
      <c r="R854" s="1569" t="s">
        <v>2641</v>
      </c>
      <c r="S854" s="1227"/>
      <c r="T854" s="1227">
        <v>1</v>
      </c>
      <c r="U854" s="1570">
        <v>45989</v>
      </c>
      <c r="V854" s="1569" t="s">
        <v>310</v>
      </c>
      <c r="W854" s="1227">
        <v>300</v>
      </c>
      <c r="X854" s="1227" t="s">
        <v>32</v>
      </c>
      <c r="Y854" s="663" t="s">
        <v>343</v>
      </c>
      <c r="Z854" s="642"/>
      <c r="AA854" s="1402" t="s">
        <v>532</v>
      </c>
      <c r="AB854" s="1402" t="s">
        <v>16</v>
      </c>
      <c r="AC854" s="769" t="s">
        <v>4221</v>
      </c>
    </row>
    <row r="855" spans="1:30" s="634" customFormat="1" ht="15" customHeight="1">
      <c r="A855" s="174" t="s">
        <v>25</v>
      </c>
      <c r="B855" s="174" t="s">
        <v>25</v>
      </c>
      <c r="C855" s="166" t="s">
        <v>4264</v>
      </c>
      <c r="D855" s="166" t="s">
        <v>4265</v>
      </c>
      <c r="E855" s="166" t="s">
        <v>3400</v>
      </c>
      <c r="F855" s="166">
        <v>171570334</v>
      </c>
      <c r="G855" s="166">
        <v>709294056</v>
      </c>
      <c r="H855" s="168">
        <v>5.8233199999999998</v>
      </c>
      <c r="I855" s="168">
        <v>-5.3652300000000004</v>
      </c>
      <c r="J855" s="166" t="s">
        <v>2612</v>
      </c>
      <c r="K855" s="168" t="s">
        <v>198</v>
      </c>
      <c r="L855" s="168" t="s">
        <v>3469</v>
      </c>
      <c r="M855" s="168" t="s">
        <v>4289</v>
      </c>
      <c r="N855" s="168">
        <v>2150051200</v>
      </c>
      <c r="O855" s="170">
        <v>45987</v>
      </c>
      <c r="P855" s="1000">
        <f t="shared" ca="1" si="29"/>
        <v>81</v>
      </c>
      <c r="Q855" s="170">
        <v>45988</v>
      </c>
      <c r="R855" s="983" t="s">
        <v>2641</v>
      </c>
      <c r="S855" s="662"/>
      <c r="T855" s="662">
        <v>0</v>
      </c>
      <c r="U855" s="999">
        <v>45989</v>
      </c>
      <c r="V855" s="983" t="s">
        <v>310</v>
      </c>
      <c r="W855" s="662">
        <v>100</v>
      </c>
      <c r="X855" s="662" t="s">
        <v>32</v>
      </c>
      <c r="Y855" s="219" t="s">
        <v>193</v>
      </c>
      <c r="Z855" s="236"/>
      <c r="AA855" s="666" t="s">
        <v>532</v>
      </c>
      <c r="AB855" s="236" t="s">
        <v>16</v>
      </c>
      <c r="AC855" s="236" t="s">
        <v>4263</v>
      </c>
    </row>
    <row r="856" spans="1:30" s="634" customFormat="1" ht="15" customHeight="1">
      <c r="A856" s="664" t="s">
        <v>25</v>
      </c>
      <c r="B856" s="664" t="s">
        <v>25</v>
      </c>
      <c r="C856" s="664" t="s">
        <v>4205</v>
      </c>
      <c r="D856" s="664" t="s">
        <v>4206</v>
      </c>
      <c r="E856" s="664" t="s">
        <v>4207</v>
      </c>
      <c r="F856" s="664">
        <v>171172705</v>
      </c>
      <c r="G856" s="664">
        <v>709922013</v>
      </c>
      <c r="H856" s="236">
        <v>5.8144</v>
      </c>
      <c r="I856" s="236">
        <v>-5.3679500000000004</v>
      </c>
      <c r="J856" s="664" t="s">
        <v>2612</v>
      </c>
      <c r="K856" s="236" t="s">
        <v>203</v>
      </c>
      <c r="L856" s="236" t="s">
        <v>4237</v>
      </c>
      <c r="M856" s="237" t="s">
        <v>4282</v>
      </c>
      <c r="N856" s="237">
        <v>2150051199</v>
      </c>
      <c r="O856" s="997">
        <v>45974</v>
      </c>
      <c r="P856" s="996">
        <f t="shared" ca="1" si="29"/>
        <v>83</v>
      </c>
      <c r="Q856" s="997">
        <v>45986</v>
      </c>
      <c r="R856" s="994" t="s">
        <v>2641</v>
      </c>
      <c r="S856" s="666"/>
      <c r="T856" s="666">
        <v>1</v>
      </c>
      <c r="U856" s="995">
        <v>45990</v>
      </c>
      <c r="V856" s="994" t="s">
        <v>310</v>
      </c>
      <c r="W856" s="666">
        <v>150</v>
      </c>
      <c r="X856" s="666" t="s">
        <v>32</v>
      </c>
      <c r="Y856" s="236" t="s">
        <v>193</v>
      </c>
      <c r="Z856" s="26"/>
      <c r="AA856" s="42" t="s">
        <v>532</v>
      </c>
      <c r="AB856" s="91" t="s">
        <v>16</v>
      </c>
      <c r="AC856" s="26" t="s">
        <v>4235</v>
      </c>
    </row>
    <row r="857" spans="1:30" s="639" customFormat="1" ht="15" hidden="1" customHeight="1">
      <c r="A857" s="2030" t="s">
        <v>25</v>
      </c>
      <c r="B857" s="2030" t="s">
        <v>25</v>
      </c>
      <c r="C857" s="2049" t="s">
        <v>4152</v>
      </c>
      <c r="D857" s="2049" t="s">
        <v>4153</v>
      </c>
      <c r="E857" s="2049" t="s">
        <v>2923</v>
      </c>
      <c r="F857" s="2049">
        <v>161081178</v>
      </c>
      <c r="G857" s="2049">
        <v>504966812</v>
      </c>
      <c r="H857" s="2031">
        <v>5.8470000000000004</v>
      </c>
      <c r="I857" s="2031">
        <v>-5.3521599999999996</v>
      </c>
      <c r="J857" s="2049" t="s">
        <v>189</v>
      </c>
      <c r="K857" s="2031" t="s">
        <v>198</v>
      </c>
      <c r="L857" s="2031" t="s">
        <v>1047</v>
      </c>
      <c r="M857" s="2038" t="s">
        <v>4281</v>
      </c>
      <c r="N857" s="2039">
        <v>2150051197</v>
      </c>
      <c r="O857" s="2050">
        <v>45981</v>
      </c>
      <c r="P857" s="2033">
        <f t="shared" ca="1" si="29"/>
        <v>87</v>
      </c>
      <c r="Q857" s="2050">
        <v>45982</v>
      </c>
      <c r="R857" s="2031" t="s">
        <v>2641</v>
      </c>
      <c r="S857" s="2031"/>
      <c r="T857" s="2029">
        <v>0</v>
      </c>
      <c r="U857" s="2035">
        <v>45990</v>
      </c>
      <c r="V857" s="2034" t="s">
        <v>310</v>
      </c>
      <c r="W857" s="2029">
        <v>300</v>
      </c>
      <c r="X857" s="2029" t="s">
        <v>32</v>
      </c>
      <c r="Y857" s="642" t="s">
        <v>343</v>
      </c>
      <c r="Z857" s="640"/>
      <c r="AA857" s="2051" t="s">
        <v>532</v>
      </c>
      <c r="AB857" s="1839" t="s">
        <v>16</v>
      </c>
      <c r="AC857" s="1839" t="s">
        <v>4271</v>
      </c>
    </row>
    <row r="858" spans="1:30" s="639" customFormat="1" ht="15" hidden="1" customHeight="1">
      <c r="A858" s="664" t="s">
        <v>25</v>
      </c>
      <c r="B858" s="664" t="s">
        <v>25</v>
      </c>
      <c r="C858" s="664" t="s">
        <v>4215</v>
      </c>
      <c r="D858" s="664" t="s">
        <v>4216</v>
      </c>
      <c r="E858" s="664" t="s">
        <v>4217</v>
      </c>
      <c r="F858" s="664">
        <v>101986776</v>
      </c>
      <c r="G858" s="664">
        <v>102892888</v>
      </c>
      <c r="H858" s="236">
        <v>5.8484100000000003</v>
      </c>
      <c r="I858" s="236">
        <v>-5.3486500000000001</v>
      </c>
      <c r="J858" s="664" t="s">
        <v>189</v>
      </c>
      <c r="K858" s="236" t="s">
        <v>198</v>
      </c>
      <c r="L858" s="236" t="s">
        <v>282</v>
      </c>
      <c r="M858" s="992" t="s">
        <v>4290</v>
      </c>
      <c r="N858" s="993">
        <v>2150051211</v>
      </c>
      <c r="O858" s="997">
        <v>45985</v>
      </c>
      <c r="P858" s="996">
        <f t="shared" ca="1" si="29"/>
        <v>83</v>
      </c>
      <c r="Q858" s="997">
        <v>45986</v>
      </c>
      <c r="R858" s="994" t="s">
        <v>2641</v>
      </c>
      <c r="S858" s="666"/>
      <c r="T858" s="666">
        <v>2</v>
      </c>
      <c r="U858" s="995">
        <v>45990</v>
      </c>
      <c r="V858" s="994" t="s">
        <v>310</v>
      </c>
      <c r="W858" s="666">
        <v>300</v>
      </c>
      <c r="X858" s="666" t="s">
        <v>32</v>
      </c>
      <c r="Y858" s="642" t="s">
        <v>533</v>
      </c>
      <c r="Z858" s="640"/>
      <c r="AA858" s="42" t="s">
        <v>532</v>
      </c>
      <c r="AB858" s="374" t="s">
        <v>16</v>
      </c>
      <c r="AC858" s="374" t="s">
        <v>4292</v>
      </c>
    </row>
    <row r="859" spans="1:30" s="639" customFormat="1" ht="15" hidden="1" customHeight="1">
      <c r="A859" s="1560" t="s">
        <v>25</v>
      </c>
      <c r="B859" s="1560" t="s">
        <v>25</v>
      </c>
      <c r="C859" s="1456" t="s">
        <v>4256</v>
      </c>
      <c r="D859" s="1456" t="s">
        <v>4257</v>
      </c>
      <c r="E859" s="1456" t="s">
        <v>3276</v>
      </c>
      <c r="F859" s="1456">
        <v>709335517</v>
      </c>
      <c r="G859" s="1456">
        <v>504814947</v>
      </c>
      <c r="H859" s="769">
        <v>5.85534</v>
      </c>
      <c r="I859" s="769">
        <v>-5.3475200000000003</v>
      </c>
      <c r="J859" s="1456" t="s">
        <v>189</v>
      </c>
      <c r="K859" s="769" t="s">
        <v>198</v>
      </c>
      <c r="L859" s="769" t="s">
        <v>3365</v>
      </c>
      <c r="M859" s="1552" t="s">
        <v>4293</v>
      </c>
      <c r="N859" s="1556">
        <v>2150051202</v>
      </c>
      <c r="O859" s="1457">
        <v>45987</v>
      </c>
      <c r="P859" s="1562">
        <f t="shared" ca="1" si="29"/>
        <v>81</v>
      </c>
      <c r="Q859" s="1457">
        <v>45988</v>
      </c>
      <c r="R859" s="1558" t="s">
        <v>2641</v>
      </c>
      <c r="S859" s="1402"/>
      <c r="T859" s="1402">
        <v>3</v>
      </c>
      <c r="U859" s="1559">
        <v>45990</v>
      </c>
      <c r="V859" s="1558" t="s">
        <v>310</v>
      </c>
      <c r="W859" s="1402">
        <v>300</v>
      </c>
      <c r="X859" s="1402" t="s">
        <v>32</v>
      </c>
      <c r="Y859" s="642" t="s">
        <v>627</v>
      </c>
      <c r="Z859" s="640"/>
      <c r="AA859" s="1571" t="s">
        <v>532</v>
      </c>
      <c r="AB859" s="1420" t="s">
        <v>16</v>
      </c>
      <c r="AC859" s="1420" t="s">
        <v>4297</v>
      </c>
    </row>
    <row r="860" spans="1:30" s="634" customFormat="1" ht="15" customHeight="1">
      <c r="A860" s="91" t="s">
        <v>25</v>
      </c>
      <c r="B860" s="91" t="s">
        <v>25</v>
      </c>
      <c r="C860" s="25" t="s">
        <v>4086</v>
      </c>
      <c r="D860" s="25" t="s">
        <v>4087</v>
      </c>
      <c r="E860" s="25" t="s">
        <v>3400</v>
      </c>
      <c r="F860" s="25">
        <v>505355790</v>
      </c>
      <c r="G860" s="25">
        <v>505355790</v>
      </c>
      <c r="H860" s="26">
        <v>5.8269500000000001</v>
      </c>
      <c r="I860" s="26">
        <v>-3.3642500000000002</v>
      </c>
      <c r="J860" s="25" t="s">
        <v>2612</v>
      </c>
      <c r="K860" s="26" t="s">
        <v>198</v>
      </c>
      <c r="L860" s="26" t="s">
        <v>3738</v>
      </c>
      <c r="M860" s="48" t="s">
        <v>4280</v>
      </c>
      <c r="N860" s="48">
        <v>2150051198</v>
      </c>
      <c r="O860" s="43">
        <v>45975</v>
      </c>
      <c r="P860" s="1004">
        <f t="shared" ca="1" si="29"/>
        <v>91</v>
      </c>
      <c r="Q860" s="43">
        <v>45978</v>
      </c>
      <c r="R860" s="91" t="s">
        <v>2641</v>
      </c>
      <c r="S860" s="42"/>
      <c r="T860" s="42">
        <v>1</v>
      </c>
      <c r="U860" s="1005">
        <v>45992</v>
      </c>
      <c r="V860" s="42" t="s">
        <v>310</v>
      </c>
      <c r="W860" s="48">
        <v>200</v>
      </c>
      <c r="X860" s="48" t="s">
        <v>32</v>
      </c>
      <c r="Y860" s="26" t="s">
        <v>228</v>
      </c>
      <c r="Z860" s="232"/>
      <c r="AA860" s="232" t="s">
        <v>532</v>
      </c>
      <c r="AB860" s="232" t="s">
        <v>16</v>
      </c>
      <c r="AC860" s="232" t="s">
        <v>4268</v>
      </c>
    </row>
    <row r="861" spans="1:30" s="634" customFormat="1" ht="15" customHeight="1">
      <c r="A861" s="91" t="s">
        <v>25</v>
      </c>
      <c r="B861" s="91" t="s">
        <v>25</v>
      </c>
      <c r="C861" s="25" t="s">
        <v>4243</v>
      </c>
      <c r="D861" s="25" t="s">
        <v>4244</v>
      </c>
      <c r="E861" s="25" t="s">
        <v>3053</v>
      </c>
      <c r="F861" s="25">
        <v>709213212</v>
      </c>
      <c r="G861" s="25">
        <v>709213212</v>
      </c>
      <c r="H861" s="26">
        <v>5.8162500000000001</v>
      </c>
      <c r="I861" s="26">
        <v>-6.3661300000000001</v>
      </c>
      <c r="J861" s="25" t="s">
        <v>2612</v>
      </c>
      <c r="K861" s="26" t="s">
        <v>190</v>
      </c>
      <c r="L861" s="26" t="s">
        <v>4270</v>
      </c>
      <c r="M861" s="26" t="s">
        <v>4300</v>
      </c>
      <c r="N861" s="26">
        <v>2150051181</v>
      </c>
      <c r="O861" s="43">
        <v>45987</v>
      </c>
      <c r="P861" s="1004">
        <f t="shared" ca="1" si="29"/>
        <v>81</v>
      </c>
      <c r="Q861" s="43">
        <v>45988</v>
      </c>
      <c r="R861" s="1006" t="s">
        <v>2641</v>
      </c>
      <c r="S861" s="658"/>
      <c r="T861" s="658">
        <v>1</v>
      </c>
      <c r="U861" s="1005">
        <v>45992</v>
      </c>
      <c r="V861" s="1006" t="s">
        <v>310</v>
      </c>
      <c r="W861" s="658">
        <v>150</v>
      </c>
      <c r="X861" s="658" t="s">
        <v>32</v>
      </c>
      <c r="Y861" s="26" t="s">
        <v>193</v>
      </c>
      <c r="Z861" s="232"/>
      <c r="AA861" s="232" t="s">
        <v>532</v>
      </c>
      <c r="AB861" s="1014" t="s">
        <v>16</v>
      </c>
      <c r="AC861" s="90" t="s">
        <v>4302</v>
      </c>
    </row>
    <row r="862" spans="1:30" s="639" customFormat="1" ht="15" hidden="1" customHeight="1">
      <c r="A862" s="2052" t="s">
        <v>25</v>
      </c>
      <c r="B862" s="2052" t="s">
        <v>25</v>
      </c>
      <c r="C862" s="1722" t="s">
        <v>4285</v>
      </c>
      <c r="D862" s="1722" t="s">
        <v>4286</v>
      </c>
      <c r="E862" s="1722" t="s">
        <v>4287</v>
      </c>
      <c r="F862" s="1722">
        <v>101406970</v>
      </c>
      <c r="G862" s="1722">
        <v>505601260</v>
      </c>
      <c r="H862" s="1722">
        <v>5.8456900000000003</v>
      </c>
      <c r="I862" s="1722">
        <v>-5.3581399999999997</v>
      </c>
      <c r="J862" s="1722" t="s">
        <v>189</v>
      </c>
      <c r="K862" s="1722" t="s">
        <v>198</v>
      </c>
      <c r="L862" s="1722" t="s">
        <v>412</v>
      </c>
      <c r="M862" s="2053" t="s">
        <v>4295</v>
      </c>
      <c r="N862" s="2054">
        <v>2150051178</v>
      </c>
      <c r="O862" s="2055">
        <v>45988</v>
      </c>
      <c r="P862" s="2056">
        <f t="shared" ca="1" si="29"/>
        <v>80</v>
      </c>
      <c r="Q862" s="2055">
        <v>45989</v>
      </c>
      <c r="R862" s="2057" t="s">
        <v>2641</v>
      </c>
      <c r="S862" s="2058"/>
      <c r="T862" s="2058">
        <v>0</v>
      </c>
      <c r="U862" s="2059">
        <v>45992</v>
      </c>
      <c r="V862" s="2057" t="s">
        <v>310</v>
      </c>
      <c r="W862" s="2058">
        <v>100</v>
      </c>
      <c r="X862" s="2058" t="s">
        <v>32</v>
      </c>
      <c r="Y862" s="640" t="s">
        <v>343</v>
      </c>
      <c r="Z862" s="796"/>
      <c r="AA862" s="1983" t="s">
        <v>532</v>
      </c>
      <c r="AB862" s="1982" t="s">
        <v>16</v>
      </c>
      <c r="AC862" s="2060" t="s">
        <v>4307</v>
      </c>
    </row>
    <row r="863" spans="1:30" s="634" customFormat="1" ht="15" customHeight="1">
      <c r="A863" s="91" t="s">
        <v>25</v>
      </c>
      <c r="B863" s="91" t="s">
        <v>25</v>
      </c>
      <c r="C863" s="91" t="s">
        <v>4291</v>
      </c>
      <c r="D863" s="91" t="s">
        <v>4248</v>
      </c>
      <c r="E863" s="91" t="s">
        <v>3224</v>
      </c>
      <c r="F863" s="91">
        <v>709775601</v>
      </c>
      <c r="G863" s="91">
        <v>506859384</v>
      </c>
      <c r="H863" s="26">
        <v>5.8203699999999996</v>
      </c>
      <c r="I863" s="26">
        <v>-5.8617299999999997</v>
      </c>
      <c r="J863" s="91" t="s">
        <v>2612</v>
      </c>
      <c r="K863" s="26" t="s">
        <v>190</v>
      </c>
      <c r="L863" s="26" t="s">
        <v>4296</v>
      </c>
      <c r="M863" s="26" t="s">
        <v>4299</v>
      </c>
      <c r="N863" s="26">
        <v>2150051179</v>
      </c>
      <c r="O863" s="50">
        <v>45988</v>
      </c>
      <c r="P863" s="1004">
        <f t="shared" ca="1" si="29"/>
        <v>79</v>
      </c>
      <c r="Q863" s="50">
        <v>45990</v>
      </c>
      <c r="R863" s="1006" t="s">
        <v>2641</v>
      </c>
      <c r="S863" s="658"/>
      <c r="T863" s="658">
        <v>0</v>
      </c>
      <c r="U863" s="1005">
        <v>45992</v>
      </c>
      <c r="V863" s="1006" t="s">
        <v>310</v>
      </c>
      <c r="W863" s="658">
        <v>400</v>
      </c>
      <c r="X863" s="658" t="s">
        <v>32</v>
      </c>
      <c r="Y863" s="26" t="s">
        <v>228</v>
      </c>
      <c r="Z863" s="1017"/>
      <c r="AA863" s="962" t="s">
        <v>532</v>
      </c>
      <c r="AB863" s="961" t="s">
        <v>16</v>
      </c>
      <c r="AC863" s="798" t="s">
        <v>4306</v>
      </c>
    </row>
    <row r="864" spans="1:30" s="634" customFormat="1" ht="15" customHeight="1">
      <c r="A864" s="1009" t="s">
        <v>25</v>
      </c>
      <c r="B864" s="1009" t="s">
        <v>25</v>
      </c>
      <c r="C864" s="306" t="s">
        <v>4245</v>
      </c>
      <c r="D864" s="306" t="s">
        <v>4246</v>
      </c>
      <c r="E864" s="306" t="s">
        <v>3400</v>
      </c>
      <c r="F864" s="306">
        <v>707394038</v>
      </c>
      <c r="G864" s="306">
        <v>757823803</v>
      </c>
      <c r="H864" s="232">
        <v>5.82965</v>
      </c>
      <c r="I864" s="232">
        <v>-5.3649500000000003</v>
      </c>
      <c r="J864" s="306" t="s">
        <v>2612</v>
      </c>
      <c r="K864" s="232" t="s">
        <v>274</v>
      </c>
      <c r="L864" s="232" t="s">
        <v>3554</v>
      </c>
      <c r="M864" s="89" t="s">
        <v>4279</v>
      </c>
      <c r="N864" s="89">
        <v>2150051196</v>
      </c>
      <c r="O864" s="314">
        <v>45986</v>
      </c>
      <c r="P864" s="1010">
        <f t="shared" ca="1" si="29"/>
        <v>81</v>
      </c>
      <c r="Q864" s="314">
        <v>45988</v>
      </c>
      <c r="R864" s="1011" t="s">
        <v>2641</v>
      </c>
      <c r="S864" s="1012"/>
      <c r="T864" s="1012">
        <v>0</v>
      </c>
      <c r="U864" s="1013">
        <v>45993</v>
      </c>
      <c r="V864" s="1011" t="s">
        <v>310</v>
      </c>
      <c r="W864" s="1012">
        <v>350</v>
      </c>
      <c r="X864" s="1012" t="s">
        <v>32</v>
      </c>
      <c r="Y864" s="232" t="s">
        <v>245</v>
      </c>
      <c r="Z864" s="1017"/>
      <c r="AA864" s="962" t="s">
        <v>532</v>
      </c>
      <c r="AB864" s="1017" t="s">
        <v>16</v>
      </c>
      <c r="AC864" s="1017" t="s">
        <v>4305</v>
      </c>
    </row>
    <row r="865" spans="1:31" s="634" customFormat="1" ht="16.2" customHeight="1">
      <c r="A865" s="1009" t="s">
        <v>25</v>
      </c>
      <c r="B865" s="1009" t="s">
        <v>25</v>
      </c>
      <c r="C865" s="1009" t="s">
        <v>4134</v>
      </c>
      <c r="D865" s="1009" t="s">
        <v>4135</v>
      </c>
      <c r="E865" s="1009" t="s">
        <v>3053</v>
      </c>
      <c r="F865" s="1009">
        <v>779619910</v>
      </c>
      <c r="G865" s="1009">
        <v>546945584</v>
      </c>
      <c r="H865" s="232">
        <v>5.8140270000000003</v>
      </c>
      <c r="I865" s="232">
        <v>-5.3533920000000004</v>
      </c>
      <c r="J865" s="1009" t="s">
        <v>4036</v>
      </c>
      <c r="K865" s="232" t="s">
        <v>274</v>
      </c>
      <c r="L865" s="232" t="s">
        <v>3471</v>
      </c>
      <c r="M865" s="89" t="s">
        <v>4301</v>
      </c>
      <c r="N865" s="89">
        <v>2150051180</v>
      </c>
      <c r="O865" s="1064">
        <v>45980</v>
      </c>
      <c r="P865" s="1010">
        <f t="shared" ca="1" si="29"/>
        <v>88</v>
      </c>
      <c r="Q865" s="1064">
        <v>45981</v>
      </c>
      <c r="R865" s="1011" t="s">
        <v>273</v>
      </c>
      <c r="S865" s="1012"/>
      <c r="T865" s="1012">
        <v>0</v>
      </c>
      <c r="U865" s="1013">
        <v>45993</v>
      </c>
      <c r="V865" s="1011" t="s">
        <v>310</v>
      </c>
      <c r="W865" s="1012">
        <v>100</v>
      </c>
      <c r="X865" s="1012" t="s">
        <v>32</v>
      </c>
      <c r="Y865" s="232" t="s">
        <v>193</v>
      </c>
      <c r="Z865" s="236"/>
      <c r="AA865" s="236" t="s">
        <v>532</v>
      </c>
      <c r="AB865" s="236" t="s">
        <v>16</v>
      </c>
      <c r="AC865" s="844" t="s">
        <v>4328</v>
      </c>
    </row>
    <row r="866" spans="1:31" s="634" customFormat="1" ht="15" customHeight="1">
      <c r="A866" s="961" t="s">
        <v>25</v>
      </c>
      <c r="B866" s="961" t="s">
        <v>25</v>
      </c>
      <c r="C866" s="1016" t="s">
        <v>4083</v>
      </c>
      <c r="D866" s="1016" t="s">
        <v>4084</v>
      </c>
      <c r="E866" s="1016" t="s">
        <v>4085</v>
      </c>
      <c r="F866" s="1016">
        <v>141800427</v>
      </c>
      <c r="G866" s="1016">
        <v>505901424</v>
      </c>
      <c r="H866" s="1017">
        <v>5.8316999999999997</v>
      </c>
      <c r="I866" s="1017">
        <v>-5.3632099999999996</v>
      </c>
      <c r="J866" s="1016" t="s">
        <v>2612</v>
      </c>
      <c r="K866" s="1017" t="s">
        <v>274</v>
      </c>
      <c r="L866" s="1017" t="s">
        <v>4112</v>
      </c>
      <c r="M866" s="1017" t="s">
        <v>4330</v>
      </c>
      <c r="N866" s="1017">
        <v>2150051177</v>
      </c>
      <c r="O866" s="795">
        <v>45975</v>
      </c>
      <c r="P866" s="1018">
        <f t="shared" ca="1" si="29"/>
        <v>91</v>
      </c>
      <c r="Q866" s="795">
        <v>45978</v>
      </c>
      <c r="R866" s="961" t="s">
        <v>2641</v>
      </c>
      <c r="S866" s="962"/>
      <c r="T866" s="962">
        <v>1</v>
      </c>
      <c r="U866" s="972">
        <v>45994</v>
      </c>
      <c r="V866" s="962" t="s">
        <v>310</v>
      </c>
      <c r="W866" s="964">
        <v>200</v>
      </c>
      <c r="X866" s="964" t="s">
        <v>32</v>
      </c>
      <c r="Y866" s="1017" t="s">
        <v>193</v>
      </c>
      <c r="Z866" s="236"/>
      <c r="AA866" s="236" t="s">
        <v>532</v>
      </c>
      <c r="AB866" s="236" t="s">
        <v>16</v>
      </c>
      <c r="AC866" s="236" t="s">
        <v>4324</v>
      </c>
    </row>
    <row r="867" spans="1:31" s="639" customFormat="1" ht="15" hidden="1" customHeight="1">
      <c r="A867" s="1977" t="s">
        <v>25</v>
      </c>
      <c r="B867" s="1977" t="s">
        <v>25</v>
      </c>
      <c r="C867" s="2061" t="s">
        <v>3819</v>
      </c>
      <c r="D867" s="1985" t="s">
        <v>3820</v>
      </c>
      <c r="E867" s="1985" t="s">
        <v>3821</v>
      </c>
      <c r="F867" s="1985">
        <v>140653108</v>
      </c>
      <c r="G867" s="1985">
        <v>777502661</v>
      </c>
      <c r="H867" s="1752">
        <v>5.8415299999999997</v>
      </c>
      <c r="I867" s="1752">
        <v>-5.3662999999999998</v>
      </c>
      <c r="J867" s="2062" t="s">
        <v>36</v>
      </c>
      <c r="K867" s="1752" t="s">
        <v>203</v>
      </c>
      <c r="L867" s="1752" t="s">
        <v>1188</v>
      </c>
      <c r="M867" s="1978" t="s">
        <v>3973</v>
      </c>
      <c r="N867" s="1979">
        <v>2150038422</v>
      </c>
      <c r="O867" s="1985" t="s">
        <v>3822</v>
      </c>
      <c r="P867" s="1981">
        <f t="shared" ca="1" si="29"/>
        <v>107</v>
      </c>
      <c r="Q867" s="2063">
        <v>45962</v>
      </c>
      <c r="R867" s="2064" t="s">
        <v>2641</v>
      </c>
      <c r="S867" s="1752"/>
      <c r="T867" s="1752">
        <v>1</v>
      </c>
      <c r="U867" s="2065">
        <v>45994</v>
      </c>
      <c r="V867" s="2066" t="s">
        <v>310</v>
      </c>
      <c r="W867" s="1752">
        <v>400</v>
      </c>
      <c r="X867" s="2066" t="s">
        <v>32</v>
      </c>
      <c r="Y867" s="796" t="s">
        <v>1521</v>
      </c>
      <c r="Z867" s="642"/>
      <c r="AA867" s="2067" t="s">
        <v>532</v>
      </c>
      <c r="AB867" s="2067" t="s">
        <v>16</v>
      </c>
      <c r="AC867" s="2067" t="s">
        <v>4323</v>
      </c>
    </row>
    <row r="868" spans="1:31" s="634" customFormat="1" ht="15" customHeight="1">
      <c r="A868" s="961" t="s">
        <v>25</v>
      </c>
      <c r="B868" s="961" t="s">
        <v>25</v>
      </c>
      <c r="C868" s="1015" t="s">
        <v>4303</v>
      </c>
      <c r="D868" s="1015" t="s">
        <v>4304</v>
      </c>
      <c r="E868" s="1015" t="s">
        <v>3053</v>
      </c>
      <c r="F868" s="1015">
        <v>545890001</v>
      </c>
      <c r="G868" s="1015">
        <v>749022897</v>
      </c>
      <c r="H868" s="1017">
        <v>5.8153810000000004</v>
      </c>
      <c r="I868" s="1017">
        <v>-5.3664440000000004</v>
      </c>
      <c r="J868" s="1015" t="s">
        <v>2612</v>
      </c>
      <c r="K868" s="1017" t="s">
        <v>190</v>
      </c>
      <c r="L868" s="1017" t="s">
        <v>3861</v>
      </c>
      <c r="M868" s="1017" t="s">
        <v>4329</v>
      </c>
      <c r="N868" s="1017">
        <v>2150051192</v>
      </c>
      <c r="O868" s="1021">
        <v>45988</v>
      </c>
      <c r="P868" s="1018">
        <f t="shared" ca="1" si="29"/>
        <v>76</v>
      </c>
      <c r="Q868" s="1021">
        <v>45993</v>
      </c>
      <c r="R868" s="1017" t="s">
        <v>2641</v>
      </c>
      <c r="S868" s="1017"/>
      <c r="T868" s="1017">
        <v>2</v>
      </c>
      <c r="U868" s="972">
        <v>45994</v>
      </c>
      <c r="V868" s="970" t="s">
        <v>310</v>
      </c>
      <c r="W868" s="971">
        <v>200</v>
      </c>
      <c r="X868" s="971" t="s">
        <v>32</v>
      </c>
      <c r="Y868" s="1017" t="s">
        <v>228</v>
      </c>
      <c r="Z868" s="236"/>
      <c r="AA868" s="236" t="s">
        <v>532</v>
      </c>
      <c r="AB868" s="236" t="s">
        <v>16</v>
      </c>
      <c r="AC868" s="236" t="s">
        <v>4326</v>
      </c>
    </row>
    <row r="869" spans="1:31" s="1260" customFormat="1" ht="15" customHeight="1">
      <c r="A869" s="664" t="s">
        <v>25</v>
      </c>
      <c r="B869" s="664" t="s">
        <v>25</v>
      </c>
      <c r="C869" s="843" t="s">
        <v>4308</v>
      </c>
      <c r="D869" s="843" t="s">
        <v>4309</v>
      </c>
      <c r="E869" s="843" t="s">
        <v>3053</v>
      </c>
      <c r="F869" s="843">
        <v>152736576</v>
      </c>
      <c r="G869" s="843">
        <v>708051360</v>
      </c>
      <c r="H869" s="236">
        <v>5.8132400000000004</v>
      </c>
      <c r="I869" s="236">
        <v>-5.35337</v>
      </c>
      <c r="J869" s="843" t="s">
        <v>4036</v>
      </c>
      <c r="K869" s="236" t="s">
        <v>274</v>
      </c>
      <c r="L869" s="236" t="s">
        <v>4327</v>
      </c>
      <c r="M869" s="237" t="s">
        <v>4332</v>
      </c>
      <c r="N869" s="237">
        <v>2150051173</v>
      </c>
      <c r="O869" s="843" t="s">
        <v>4320</v>
      </c>
      <c r="P869" s="996">
        <f t="shared" ca="1" si="29"/>
        <v>75</v>
      </c>
      <c r="Q869" s="845">
        <v>45994</v>
      </c>
      <c r="R869" s="994" t="s">
        <v>2641</v>
      </c>
      <c r="S869" s="666"/>
      <c r="T869" s="666">
        <v>2</v>
      </c>
      <c r="U869" s="995">
        <v>45995</v>
      </c>
      <c r="V869" s="994" t="s">
        <v>310</v>
      </c>
      <c r="W869" s="666">
        <v>250</v>
      </c>
      <c r="X869" s="666" t="s">
        <v>32</v>
      </c>
      <c r="Y869" s="236" t="s">
        <v>228</v>
      </c>
      <c r="AA869" s="1260" t="s">
        <v>532</v>
      </c>
      <c r="AB869" s="1022" t="s">
        <v>16</v>
      </c>
      <c r="AC869" s="1255" t="s">
        <v>4361</v>
      </c>
      <c r="AD869" s="1381"/>
      <c r="AE869" s="1367"/>
    </row>
    <row r="870" spans="1:31" s="1260" customFormat="1" ht="15" customHeight="1">
      <c r="A870" s="664" t="s">
        <v>25</v>
      </c>
      <c r="B870" s="664" t="s">
        <v>25</v>
      </c>
      <c r="C870" s="843" t="s">
        <v>4312</v>
      </c>
      <c r="D870" s="843" t="s">
        <v>4313</v>
      </c>
      <c r="E870" s="843" t="s">
        <v>4314</v>
      </c>
      <c r="F870" s="843">
        <v>142326252</v>
      </c>
      <c r="G870" s="843">
        <v>171794515</v>
      </c>
      <c r="H870" s="236">
        <v>5.82498</v>
      </c>
      <c r="I870" s="236">
        <v>-5.3627500000000001</v>
      </c>
      <c r="J870" s="843" t="s">
        <v>2612</v>
      </c>
      <c r="K870" s="236" t="s">
        <v>198</v>
      </c>
      <c r="L870" s="236" t="s">
        <v>3607</v>
      </c>
      <c r="M870" s="237" t="s">
        <v>4333</v>
      </c>
      <c r="N870" s="237">
        <v>2150051207</v>
      </c>
      <c r="O870" s="845">
        <v>45992</v>
      </c>
      <c r="P870" s="996">
        <f t="shared" ca="1" si="29"/>
        <v>75</v>
      </c>
      <c r="Q870" s="845">
        <v>45994</v>
      </c>
      <c r="R870" s="994" t="s">
        <v>2641</v>
      </c>
      <c r="S870" s="666"/>
      <c r="T870" s="666">
        <v>0</v>
      </c>
      <c r="U870" s="995">
        <v>45995</v>
      </c>
      <c r="V870" s="994" t="s">
        <v>310</v>
      </c>
      <c r="W870" s="666">
        <v>200</v>
      </c>
      <c r="X870" s="666" t="s">
        <v>32</v>
      </c>
      <c r="Y870" s="236" t="s">
        <v>245</v>
      </c>
      <c r="AA870" s="1260" t="s">
        <v>532</v>
      </c>
      <c r="AB870" s="1022" t="s">
        <v>16</v>
      </c>
      <c r="AC870" s="1022" t="s">
        <v>4354</v>
      </c>
      <c r="AD870" s="1381"/>
      <c r="AE870" s="1367"/>
    </row>
    <row r="871" spans="1:31" s="1260" customFormat="1" ht="15" customHeight="1">
      <c r="A871" s="664" t="s">
        <v>25</v>
      </c>
      <c r="B871" s="664" t="s">
        <v>25</v>
      </c>
      <c r="C871" s="843" t="s">
        <v>4315</v>
      </c>
      <c r="D871" s="843" t="s">
        <v>4316</v>
      </c>
      <c r="E871" s="843" t="s">
        <v>3400</v>
      </c>
      <c r="F871" s="843">
        <v>709024226</v>
      </c>
      <c r="G871" s="843">
        <v>777038956</v>
      </c>
      <c r="H871" s="236">
        <v>5.8206600000000002</v>
      </c>
      <c r="I871" s="236">
        <v>-5.3644499999999997</v>
      </c>
      <c r="J871" s="843" t="s">
        <v>2612</v>
      </c>
      <c r="K871" s="236" t="s">
        <v>198</v>
      </c>
      <c r="L871" s="236" t="s">
        <v>4322</v>
      </c>
      <c r="M871" s="237" t="s">
        <v>4334</v>
      </c>
      <c r="N871" s="237">
        <v>2150051184</v>
      </c>
      <c r="O871" s="843" t="s">
        <v>4321</v>
      </c>
      <c r="P871" s="996">
        <f t="shared" ca="1" si="29"/>
        <v>75</v>
      </c>
      <c r="Q871" s="845">
        <v>45994</v>
      </c>
      <c r="R871" s="994" t="s">
        <v>2641</v>
      </c>
      <c r="S871" s="666"/>
      <c r="T871" s="666">
        <v>3</v>
      </c>
      <c r="U871" s="995">
        <v>45995</v>
      </c>
      <c r="V871" s="994" t="s">
        <v>310</v>
      </c>
      <c r="W871" s="666">
        <v>300</v>
      </c>
      <c r="X871" s="666" t="s">
        <v>32</v>
      </c>
      <c r="Y871" s="236" t="s">
        <v>193</v>
      </c>
      <c r="AA871" s="1260" t="s">
        <v>532</v>
      </c>
      <c r="AB871" s="1022" t="s">
        <v>16</v>
      </c>
      <c r="AC871" s="1255" t="s">
        <v>4363</v>
      </c>
      <c r="AD871" s="1381"/>
      <c r="AE871" s="1367"/>
    </row>
    <row r="872" spans="1:31" ht="15" customHeight="1">
      <c r="A872" s="664" t="s">
        <v>25</v>
      </c>
      <c r="B872" s="664" t="s">
        <v>25</v>
      </c>
      <c r="C872" s="843" t="s">
        <v>4317</v>
      </c>
      <c r="D872" s="843" t="s">
        <v>4318</v>
      </c>
      <c r="E872" s="843" t="s">
        <v>4319</v>
      </c>
      <c r="F872" s="843">
        <v>788529913</v>
      </c>
      <c r="G872" s="843">
        <v>503694077</v>
      </c>
      <c r="H872" s="236">
        <v>5.8148200000000001</v>
      </c>
      <c r="I872" s="236">
        <v>-5.3544999999999998</v>
      </c>
      <c r="J872" s="843" t="s">
        <v>4036</v>
      </c>
      <c r="K872" s="236" t="s">
        <v>274</v>
      </c>
      <c r="L872" s="236" t="s">
        <v>4325</v>
      </c>
      <c r="M872" s="237" t="s">
        <v>4331</v>
      </c>
      <c r="N872" s="237">
        <v>2150051185</v>
      </c>
      <c r="O872" s="843" t="s">
        <v>4321</v>
      </c>
      <c r="P872" s="996">
        <f t="shared" ca="1" si="29"/>
        <v>75</v>
      </c>
      <c r="Q872" s="845">
        <v>45994</v>
      </c>
      <c r="R872" s="994" t="s">
        <v>2641</v>
      </c>
      <c r="S872" s="666"/>
      <c r="T872" s="666">
        <v>2</v>
      </c>
      <c r="U872" s="995">
        <v>45995</v>
      </c>
      <c r="V872" s="994" t="s">
        <v>310</v>
      </c>
      <c r="W872" s="666">
        <v>200</v>
      </c>
      <c r="X872" s="666" t="s">
        <v>32</v>
      </c>
      <c r="Y872" s="236" t="s">
        <v>193</v>
      </c>
      <c r="Z872" s="952"/>
      <c r="AA872" s="952" t="s">
        <v>532</v>
      </c>
      <c r="AB872" s="1050" t="s">
        <v>16</v>
      </c>
      <c r="AC872" s="952"/>
    </row>
    <row r="873" spans="1:31" ht="15" customHeight="1">
      <c r="A873" s="1367" t="s">
        <v>25</v>
      </c>
      <c r="B873" s="1367" t="s">
        <v>25</v>
      </c>
      <c r="C873" s="2259" t="s">
        <v>4338</v>
      </c>
      <c r="D873" s="2259" t="s">
        <v>4339</v>
      </c>
      <c r="E873" s="2259" t="s">
        <v>4340</v>
      </c>
      <c r="F873" s="2259">
        <v>707892181</v>
      </c>
      <c r="G873" s="2259">
        <v>707892181</v>
      </c>
      <c r="H873" s="1022">
        <v>5.81454</v>
      </c>
      <c r="I873" s="1022">
        <v>-5.35426</v>
      </c>
      <c r="J873" s="2259" t="s">
        <v>4036</v>
      </c>
      <c r="K873" s="1022" t="s">
        <v>274</v>
      </c>
      <c r="L873" s="1022" t="s">
        <v>4327</v>
      </c>
      <c r="M873" s="1255" t="s">
        <v>4378</v>
      </c>
      <c r="N873" s="1255">
        <v>2150051172</v>
      </c>
      <c r="O873" s="2260">
        <v>45988</v>
      </c>
      <c r="P873" s="1022"/>
      <c r="Q873" s="2260">
        <v>45995</v>
      </c>
      <c r="R873" s="1367" t="s">
        <v>2641</v>
      </c>
      <c r="S873" s="1367"/>
      <c r="T873" s="1367">
        <v>1</v>
      </c>
      <c r="U873" s="2261">
        <v>45996</v>
      </c>
      <c r="V873" s="1367" t="s">
        <v>310</v>
      </c>
      <c r="W873" s="1367">
        <v>200</v>
      </c>
      <c r="X873" s="1367" t="s">
        <v>32</v>
      </c>
      <c r="Y873" s="1367"/>
      <c r="Z873" s="952"/>
      <c r="AA873" s="952" t="s">
        <v>532</v>
      </c>
      <c r="AB873" s="1050" t="s">
        <v>16</v>
      </c>
      <c r="AC873" s="952"/>
    </row>
    <row r="874" spans="1:31" ht="15" hidden="1" customHeight="1" thickBot="1">
      <c r="A874" s="2068" t="s">
        <v>25</v>
      </c>
      <c r="B874" s="2069" t="s">
        <v>25</v>
      </c>
      <c r="C874" s="2070" t="s">
        <v>4341</v>
      </c>
      <c r="D874" s="2070" t="s">
        <v>4342</v>
      </c>
      <c r="E874" s="2070" t="s">
        <v>4343</v>
      </c>
      <c r="F874" s="2070">
        <v>152083755</v>
      </c>
      <c r="G874" s="2071">
        <v>707000000</v>
      </c>
      <c r="H874" s="2072">
        <v>5.8389100000000003</v>
      </c>
      <c r="I874" s="2072">
        <v>-5.3473499999999996</v>
      </c>
      <c r="J874" s="2070" t="s">
        <v>189</v>
      </c>
      <c r="K874" s="2072" t="s">
        <v>190</v>
      </c>
      <c r="L874" s="2072" t="s">
        <v>264</v>
      </c>
      <c r="M874" s="2073" t="s">
        <v>4379</v>
      </c>
      <c r="N874" s="2073">
        <v>2150051174</v>
      </c>
      <c r="O874" s="2074">
        <v>45988</v>
      </c>
      <c r="P874" s="2075"/>
      <c r="Q874" s="2074">
        <v>45995</v>
      </c>
      <c r="R874" s="2069" t="s">
        <v>2641</v>
      </c>
      <c r="S874" s="2076"/>
      <c r="T874" s="2069">
        <v>4</v>
      </c>
      <c r="U874" s="2077">
        <v>45996</v>
      </c>
      <c r="V874" s="2069" t="s">
        <v>310</v>
      </c>
      <c r="W874" s="2069">
        <v>350</v>
      </c>
      <c r="X874" s="2069" t="s">
        <v>32</v>
      </c>
      <c r="Y874" s="2078"/>
      <c r="Z874" s="2079"/>
      <c r="AA874" s="2080" t="s">
        <v>532</v>
      </c>
      <c r="AB874" s="2081" t="s">
        <v>16</v>
      </c>
      <c r="AC874" s="2082"/>
    </row>
    <row r="875" spans="1:31" ht="15" customHeight="1">
      <c r="A875" s="1367" t="s">
        <v>25</v>
      </c>
      <c r="B875" s="1367" t="s">
        <v>25</v>
      </c>
      <c r="C875" s="2259" t="s">
        <v>4344</v>
      </c>
      <c r="D875" s="2259" t="s">
        <v>4345</v>
      </c>
      <c r="E875" s="2259" t="s">
        <v>4181</v>
      </c>
      <c r="F875" s="2259">
        <v>151507783</v>
      </c>
      <c r="G875" s="2259">
        <v>747360399</v>
      </c>
      <c r="H875" s="1022">
        <v>5.8212599999999997</v>
      </c>
      <c r="I875" s="1022">
        <v>-5.3634199999999996</v>
      </c>
      <c r="J875" s="1260" t="s">
        <v>2612</v>
      </c>
      <c r="K875" s="1022" t="s">
        <v>4355</v>
      </c>
      <c r="L875" s="1260" t="s">
        <v>4356</v>
      </c>
      <c r="M875" s="1260" t="s">
        <v>4357</v>
      </c>
      <c r="N875" s="1260">
        <v>2150051183</v>
      </c>
      <c r="O875" s="2260">
        <v>45988</v>
      </c>
      <c r="P875" s="1022"/>
      <c r="Q875" s="2260">
        <v>45995</v>
      </c>
      <c r="R875" s="1367" t="s">
        <v>2641</v>
      </c>
      <c r="S875" s="1367"/>
      <c r="T875" s="1367"/>
      <c r="U875" s="2261">
        <v>45996</v>
      </c>
      <c r="V875" s="1367" t="s">
        <v>310</v>
      </c>
      <c r="W875" s="1367">
        <v>200</v>
      </c>
      <c r="X875" s="1367" t="s">
        <v>32</v>
      </c>
      <c r="Y875" s="1367"/>
      <c r="Z875" s="952"/>
      <c r="AA875" s="952" t="s">
        <v>532</v>
      </c>
      <c r="AB875" s="1050" t="s">
        <v>16</v>
      </c>
      <c r="AC875" s="952"/>
    </row>
    <row r="876" spans="1:31" ht="15" customHeight="1">
      <c r="A876" s="952" t="s">
        <v>25</v>
      </c>
      <c r="B876" s="952" t="s">
        <v>25</v>
      </c>
      <c r="C876" s="952" t="s">
        <v>4368</v>
      </c>
      <c r="D876" s="952" t="s">
        <v>4369</v>
      </c>
      <c r="E876" s="952" t="s">
        <v>4370</v>
      </c>
      <c r="F876" s="952">
        <v>704752306</v>
      </c>
      <c r="G876" s="952">
        <v>152169330</v>
      </c>
      <c r="H876" s="1050">
        <v>5.8278999999999996</v>
      </c>
      <c r="I876" s="1050">
        <v>-5.3706399999999999</v>
      </c>
      <c r="J876" s="952" t="s">
        <v>4036</v>
      </c>
      <c r="K876" s="1050" t="s">
        <v>190</v>
      </c>
      <c r="L876" s="1050" t="s">
        <v>4377</v>
      </c>
      <c r="M876" s="952" t="s">
        <v>4406</v>
      </c>
      <c r="N876" s="952">
        <v>2150049963</v>
      </c>
      <c r="O876" s="1368">
        <v>45992</v>
      </c>
      <c r="P876" s="1050"/>
      <c r="Q876" s="1368">
        <v>45996</v>
      </c>
      <c r="R876" s="952" t="s">
        <v>2641</v>
      </c>
      <c r="S876" s="952"/>
      <c r="T876" s="952">
        <v>5</v>
      </c>
      <c r="U876" s="1212">
        <v>45999</v>
      </c>
      <c r="V876" s="952" t="s">
        <v>310</v>
      </c>
      <c r="W876" s="952">
        <v>350</v>
      </c>
      <c r="X876" s="952" t="s">
        <v>32</v>
      </c>
      <c r="Y876" s="952"/>
      <c r="Z876" s="952"/>
      <c r="AA876" s="952" t="s">
        <v>532</v>
      </c>
      <c r="AB876" s="1050" t="s">
        <v>16</v>
      </c>
      <c r="AC876" s="952"/>
    </row>
    <row r="877" spans="1:31" ht="15" customHeight="1">
      <c r="A877" s="952" t="s">
        <v>25</v>
      </c>
      <c r="B877" s="952" t="s">
        <v>25</v>
      </c>
      <c r="C877" s="952" t="s">
        <v>4386</v>
      </c>
      <c r="D877" s="952" t="s">
        <v>4387</v>
      </c>
      <c r="E877" s="952" t="s">
        <v>3482</v>
      </c>
      <c r="F877" s="952">
        <v>777140792</v>
      </c>
      <c r="G877" s="952">
        <v>778740725</v>
      </c>
      <c r="H877" s="1050">
        <v>5.8150230000000001</v>
      </c>
      <c r="I877" s="1050">
        <v>-5.3649360000000001</v>
      </c>
      <c r="J877" s="952" t="s">
        <v>2612</v>
      </c>
      <c r="K877" s="1050" t="s">
        <v>190</v>
      </c>
      <c r="L877" s="1050" t="s">
        <v>3232</v>
      </c>
      <c r="M877" s="952" t="s">
        <v>4405</v>
      </c>
      <c r="N877" s="952">
        <v>2150051175</v>
      </c>
      <c r="O877" s="1368">
        <v>45995</v>
      </c>
      <c r="P877" s="1050"/>
      <c r="Q877" s="1368">
        <v>45997</v>
      </c>
      <c r="R877" s="952" t="s">
        <v>2641</v>
      </c>
      <c r="S877" s="952"/>
      <c r="T877" s="952">
        <v>0</v>
      </c>
      <c r="U877" s="1212">
        <v>45999</v>
      </c>
      <c r="V877" s="952" t="s">
        <v>310</v>
      </c>
      <c r="W877" s="952">
        <v>200</v>
      </c>
      <c r="X877" s="952" t="s">
        <v>32</v>
      </c>
      <c r="Y877" s="952"/>
      <c r="Z877" s="952"/>
      <c r="AA877" s="952" t="s">
        <v>532</v>
      </c>
      <c r="AB877" s="1050" t="s">
        <v>16</v>
      </c>
      <c r="AC877" s="952"/>
    </row>
    <row r="878" spans="1:31" ht="15" customHeight="1">
      <c r="A878" s="952" t="s">
        <v>25</v>
      </c>
      <c r="B878" s="952" t="s">
        <v>25</v>
      </c>
      <c r="C878" s="952" t="s">
        <v>4397</v>
      </c>
      <c r="D878" s="952" t="s">
        <v>4398</v>
      </c>
      <c r="E878" s="952" t="s">
        <v>3053</v>
      </c>
      <c r="F878" s="952">
        <v>707795607</v>
      </c>
      <c r="G878" s="952">
        <v>708497831</v>
      </c>
      <c r="H878" s="1050">
        <v>5.8106010000000001</v>
      </c>
      <c r="I878" s="1050">
        <v>-5.366117</v>
      </c>
      <c r="J878" s="952" t="s">
        <v>2612</v>
      </c>
      <c r="K878" s="1050" t="s">
        <v>203</v>
      </c>
      <c r="L878" s="1050" t="s">
        <v>4033</v>
      </c>
      <c r="M878" s="952" t="s">
        <v>4408</v>
      </c>
      <c r="N878" s="952">
        <v>2150049965</v>
      </c>
      <c r="O878" s="1368">
        <v>45996</v>
      </c>
      <c r="P878" s="1050"/>
      <c r="Q878" s="1368">
        <v>45997</v>
      </c>
      <c r="R878" s="952" t="s">
        <v>2641</v>
      </c>
      <c r="S878" s="952"/>
      <c r="T878" s="952">
        <v>1</v>
      </c>
      <c r="U878" s="1212">
        <v>45999</v>
      </c>
      <c r="V878" s="952" t="s">
        <v>310</v>
      </c>
      <c r="W878" s="952">
        <v>200</v>
      </c>
      <c r="X878" s="952" t="s">
        <v>32</v>
      </c>
      <c r="Y878" s="952"/>
      <c r="Z878" s="124"/>
      <c r="AA878" s="127" t="s">
        <v>532</v>
      </c>
      <c r="AB878" s="131" t="s">
        <v>16</v>
      </c>
      <c r="AC878" s="131" t="s">
        <v>4424</v>
      </c>
    </row>
    <row r="879" spans="1:31" ht="15" customHeight="1">
      <c r="A879" s="952" t="s">
        <v>25</v>
      </c>
      <c r="B879" s="952" t="s">
        <v>25</v>
      </c>
      <c r="C879" s="952" t="s">
        <v>4390</v>
      </c>
      <c r="D879" s="952" t="s">
        <v>4391</v>
      </c>
      <c r="E879" s="952" t="s">
        <v>4014</v>
      </c>
      <c r="F879" s="952">
        <v>555076834</v>
      </c>
      <c r="G879" s="952">
        <v>759611908</v>
      </c>
      <c r="H879" s="1050">
        <v>5.8282179999999997</v>
      </c>
      <c r="I879" s="1050">
        <v>-5.357532</v>
      </c>
      <c r="J879" s="952" t="s">
        <v>4036</v>
      </c>
      <c r="K879" s="1050" t="s">
        <v>203</v>
      </c>
      <c r="L879" s="1050" t="s">
        <v>4404</v>
      </c>
      <c r="M879" s="952" t="s">
        <v>4416</v>
      </c>
      <c r="N879" s="952">
        <v>2150049971</v>
      </c>
      <c r="O879" s="1368">
        <v>45996</v>
      </c>
      <c r="P879" s="1050"/>
      <c r="Q879" s="1368">
        <v>45997</v>
      </c>
      <c r="R879" s="952" t="s">
        <v>2641</v>
      </c>
      <c r="S879" s="952"/>
      <c r="T879" s="952">
        <v>0</v>
      </c>
      <c r="U879" s="1212">
        <v>45999</v>
      </c>
      <c r="V879" s="952" t="s">
        <v>310</v>
      </c>
      <c r="W879" s="952">
        <v>150</v>
      </c>
      <c r="X879" s="952" t="s">
        <v>32</v>
      </c>
      <c r="Y879" s="952"/>
      <c r="Z879" s="124"/>
      <c r="AA879" s="127" t="s">
        <v>532</v>
      </c>
      <c r="AB879" s="131" t="s">
        <v>16</v>
      </c>
      <c r="AC879" s="131" t="s">
        <v>4425</v>
      </c>
    </row>
    <row r="880" spans="1:31" ht="15" hidden="1" customHeight="1">
      <c r="A880" s="1975" t="s">
        <v>25</v>
      </c>
      <c r="B880" s="1975" t="s">
        <v>25</v>
      </c>
      <c r="C880" s="2083" t="s">
        <v>4374</v>
      </c>
      <c r="D880" s="2083" t="s">
        <v>4375</v>
      </c>
      <c r="E880" s="2083" t="s">
        <v>4376</v>
      </c>
      <c r="F880" s="2083">
        <v>758691412</v>
      </c>
      <c r="G880" s="2083">
        <v>505522313</v>
      </c>
      <c r="H880" s="2084">
        <v>5.8550300000000002</v>
      </c>
      <c r="I880" s="2084">
        <v>-5.3482099999999999</v>
      </c>
      <c r="J880" s="2083" t="s">
        <v>189</v>
      </c>
      <c r="K880" s="2084" t="s">
        <v>274</v>
      </c>
      <c r="L880" s="2084" t="s">
        <v>3667</v>
      </c>
      <c r="M880" s="2085" t="s">
        <v>4417</v>
      </c>
      <c r="N880" s="2085">
        <v>2150049964</v>
      </c>
      <c r="O880" s="2086">
        <v>45993</v>
      </c>
      <c r="P880" s="2087"/>
      <c r="Q880" s="2086">
        <v>45996</v>
      </c>
      <c r="R880" s="1975" t="s">
        <v>2641</v>
      </c>
      <c r="S880" s="2085"/>
      <c r="T880" s="2085">
        <v>1</v>
      </c>
      <c r="U880" s="2088">
        <v>45999</v>
      </c>
      <c r="V880" s="1975" t="s">
        <v>310</v>
      </c>
      <c r="W880" s="2085">
        <v>350</v>
      </c>
      <c r="X880" s="1975" t="s">
        <v>32</v>
      </c>
      <c r="Y880" s="1237"/>
      <c r="Z880" s="608"/>
      <c r="AA880" s="2089" t="s">
        <v>532</v>
      </c>
      <c r="AB880" s="2090" t="s">
        <v>16</v>
      </c>
      <c r="AC880" s="2090" t="s">
        <v>4427</v>
      </c>
    </row>
    <row r="881" spans="1:31" ht="15" customHeight="1">
      <c r="A881" s="952" t="s">
        <v>25</v>
      </c>
      <c r="B881" s="952" t="s">
        <v>25</v>
      </c>
      <c r="C881" s="952" t="s">
        <v>4364</v>
      </c>
      <c r="D881" s="952" t="s">
        <v>4365</v>
      </c>
      <c r="E881" s="952" t="s">
        <v>3400</v>
      </c>
      <c r="F881" s="952">
        <v>152007505</v>
      </c>
      <c r="G881" s="952">
        <v>506941242</v>
      </c>
      <c r="H881" s="1050">
        <v>5.8273900000000003</v>
      </c>
      <c r="I881" s="1050">
        <v>-5.3662299999999998</v>
      </c>
      <c r="J881" s="952" t="s">
        <v>2612</v>
      </c>
      <c r="K881" s="1050" t="s">
        <v>198</v>
      </c>
      <c r="L881" s="1050" t="s">
        <v>3467</v>
      </c>
      <c r="M881" s="490" t="s">
        <v>4418</v>
      </c>
      <c r="N881" s="490">
        <v>2150049969</v>
      </c>
      <c r="O881" s="1368">
        <v>45995</v>
      </c>
      <c r="P881" s="1050"/>
      <c r="Q881" s="1368">
        <v>45996</v>
      </c>
      <c r="R881" s="952" t="s">
        <v>2641</v>
      </c>
      <c r="S881" s="952"/>
      <c r="T881" s="952">
        <v>3</v>
      </c>
      <c r="U881" s="1212">
        <v>45999</v>
      </c>
      <c r="V881" s="952" t="s">
        <v>310</v>
      </c>
      <c r="W881" s="952">
        <v>300</v>
      </c>
      <c r="X881" s="952" t="s">
        <v>32</v>
      </c>
      <c r="Y881" s="952"/>
      <c r="Z881" s="124"/>
      <c r="AA881" s="127" t="s">
        <v>532</v>
      </c>
      <c r="AB881" s="131" t="s">
        <v>16</v>
      </c>
      <c r="AC881" s="131" t="s">
        <v>4429</v>
      </c>
    </row>
    <row r="882" spans="1:31" s="1027" customFormat="1" ht="15" hidden="1" customHeight="1" thickBot="1">
      <c r="A882" s="2091" t="s">
        <v>25</v>
      </c>
      <c r="B882" s="2091" t="s">
        <v>25</v>
      </c>
      <c r="C882" s="2091" t="s">
        <v>4366</v>
      </c>
      <c r="D882" s="2091" t="s">
        <v>4367</v>
      </c>
      <c r="E882" s="2091" t="s">
        <v>375</v>
      </c>
      <c r="F882" s="2091">
        <v>101200300</v>
      </c>
      <c r="G882" s="2092">
        <v>104000000</v>
      </c>
      <c r="H882" s="2093">
        <v>5.84</v>
      </c>
      <c r="I882" s="2093">
        <v>-5.3678900000000001</v>
      </c>
      <c r="J882" s="2091" t="s">
        <v>36</v>
      </c>
      <c r="K882" s="2093" t="s">
        <v>203</v>
      </c>
      <c r="L882" s="2093" t="s">
        <v>3455</v>
      </c>
      <c r="M882" s="2091" t="s">
        <v>4420</v>
      </c>
      <c r="N882" s="2091">
        <v>2150049970</v>
      </c>
      <c r="O882" s="2094">
        <v>45995</v>
      </c>
      <c r="P882" s="2093"/>
      <c r="Q882" s="2094">
        <v>45996</v>
      </c>
      <c r="R882" s="2091" t="s">
        <v>2641</v>
      </c>
      <c r="S882" s="2091"/>
      <c r="T882" s="2091">
        <v>1</v>
      </c>
      <c r="U882" s="2094">
        <v>46000</v>
      </c>
      <c r="V882" s="2091" t="s">
        <v>310</v>
      </c>
      <c r="W882" s="2091">
        <v>300</v>
      </c>
      <c r="X882" s="2091" t="s">
        <v>32</v>
      </c>
      <c r="Y882" s="608"/>
      <c r="Z882" s="1028"/>
      <c r="AA882" s="2095" t="s">
        <v>532</v>
      </c>
      <c r="AB882" s="2096" t="s">
        <v>16</v>
      </c>
      <c r="AC882" s="2096" t="s">
        <v>4421</v>
      </c>
      <c r="AD882" s="1026"/>
      <c r="AE882" s="1026"/>
    </row>
    <row r="883" spans="1:31" ht="15" hidden="1" customHeight="1" thickBot="1">
      <c r="A883" s="1573" t="s">
        <v>25</v>
      </c>
      <c r="B883" s="1574" t="s">
        <v>25</v>
      </c>
      <c r="C883" s="1574" t="s">
        <v>4371</v>
      </c>
      <c r="D883" s="1574" t="s">
        <v>4372</v>
      </c>
      <c r="E883" s="1574" t="s">
        <v>4373</v>
      </c>
      <c r="F883" s="1574">
        <v>502830049</v>
      </c>
      <c r="G883" s="1574">
        <v>564892742</v>
      </c>
      <c r="H883" s="1575">
        <v>5.83188</v>
      </c>
      <c r="I883" s="1575">
        <v>-5.3515899999999998</v>
      </c>
      <c r="J883" s="1574" t="s">
        <v>36</v>
      </c>
      <c r="K883" s="1575" t="s">
        <v>274</v>
      </c>
      <c r="L883" s="1575" t="s">
        <v>2111</v>
      </c>
      <c r="M883" s="1576" t="s">
        <v>4419</v>
      </c>
      <c r="N883" s="1577">
        <v>2150049962</v>
      </c>
      <c r="O883" s="1578">
        <v>45992</v>
      </c>
      <c r="P883" s="1575"/>
      <c r="Q883" s="1578">
        <v>45996</v>
      </c>
      <c r="R883" s="1574" t="s">
        <v>2641</v>
      </c>
      <c r="S883" s="1574"/>
      <c r="T883" s="1574">
        <v>3</v>
      </c>
      <c r="U883" s="1578">
        <v>46000</v>
      </c>
      <c r="V883" s="1574" t="s">
        <v>310</v>
      </c>
      <c r="W883" s="1574">
        <v>400</v>
      </c>
      <c r="X883" s="1574" t="s">
        <v>32</v>
      </c>
      <c r="Y883" s="608"/>
      <c r="Z883" s="1029"/>
      <c r="AA883" s="1579" t="s">
        <v>532</v>
      </c>
      <c r="AB883" s="1579" t="s">
        <v>16</v>
      </c>
      <c r="AC883" s="1470" t="s">
        <v>4443</v>
      </c>
    </row>
    <row r="884" spans="1:31" ht="15" customHeight="1">
      <c r="A884" s="127" t="s">
        <v>25</v>
      </c>
      <c r="B884" s="127" t="s">
        <v>25</v>
      </c>
      <c r="C884" s="139" t="s">
        <v>4412</v>
      </c>
      <c r="D884" s="139" t="s">
        <v>4135</v>
      </c>
      <c r="E884" s="139" t="s">
        <v>3400</v>
      </c>
      <c r="F884" s="139">
        <v>505957252</v>
      </c>
      <c r="G884" s="2262">
        <v>709000000</v>
      </c>
      <c r="H884" s="131">
        <v>5.8212900000000003</v>
      </c>
      <c r="I884" s="131">
        <v>-5.3656199999999998</v>
      </c>
      <c r="J884" s="139" t="s">
        <v>2612</v>
      </c>
      <c r="K884" s="131" t="s">
        <v>198</v>
      </c>
      <c r="L884" s="131" t="s">
        <v>3605</v>
      </c>
      <c r="M884" s="127" t="s">
        <v>4426</v>
      </c>
      <c r="N884" s="127">
        <v>2150051187</v>
      </c>
      <c r="O884" s="140">
        <v>45997</v>
      </c>
      <c r="P884" s="131"/>
      <c r="Q884" s="140">
        <v>45999</v>
      </c>
      <c r="R884" s="127" t="s">
        <v>2641</v>
      </c>
      <c r="S884" s="127"/>
      <c r="T884" s="127">
        <v>0</v>
      </c>
      <c r="U884" s="2263">
        <v>46000</v>
      </c>
      <c r="V884" s="127" t="s">
        <v>310</v>
      </c>
      <c r="W884" s="127">
        <v>150</v>
      </c>
      <c r="X884" s="127" t="s">
        <v>32</v>
      </c>
      <c r="Y884" s="124"/>
      <c r="Z884" s="234"/>
      <c r="AA884" s="237" t="s">
        <v>532</v>
      </c>
      <c r="AB884" s="844" t="s">
        <v>16</v>
      </c>
      <c r="AC884" s="844" t="s">
        <v>4445</v>
      </c>
    </row>
    <row r="885" spans="1:31" ht="15" customHeight="1">
      <c r="A885" s="127" t="s">
        <v>25</v>
      </c>
      <c r="B885" s="127" t="s">
        <v>25</v>
      </c>
      <c r="C885" s="139" t="s">
        <v>4413</v>
      </c>
      <c r="D885" s="139" t="s">
        <v>4414</v>
      </c>
      <c r="E885" s="139" t="s">
        <v>4415</v>
      </c>
      <c r="F885" s="139">
        <v>504226232</v>
      </c>
      <c r="G885" s="139">
        <v>709289884</v>
      </c>
      <c r="H885" s="131">
        <v>5.8194600000000003</v>
      </c>
      <c r="I885" s="131">
        <v>-5.3528799999999999</v>
      </c>
      <c r="J885" s="139" t="s">
        <v>4036</v>
      </c>
      <c r="K885" s="131" t="s">
        <v>198</v>
      </c>
      <c r="L885" s="131" t="s">
        <v>4423</v>
      </c>
      <c r="M885" s="127" t="s">
        <v>4428</v>
      </c>
      <c r="N885" s="127">
        <v>2150051188</v>
      </c>
      <c r="O885" s="140">
        <v>45997</v>
      </c>
      <c r="P885" s="131"/>
      <c r="Q885" s="140">
        <v>45999</v>
      </c>
      <c r="R885" s="127" t="s">
        <v>2641</v>
      </c>
      <c r="S885" s="127"/>
      <c r="T885" s="127">
        <v>50</v>
      </c>
      <c r="U885" s="2263">
        <v>46000</v>
      </c>
      <c r="V885" s="127" t="s">
        <v>310</v>
      </c>
      <c r="W885" s="127">
        <v>50</v>
      </c>
      <c r="X885" s="127" t="s">
        <v>32</v>
      </c>
      <c r="Y885" s="124"/>
      <c r="Z885" s="234"/>
      <c r="AA885" s="237" t="s">
        <v>532</v>
      </c>
      <c r="AB885" s="844" t="s">
        <v>16</v>
      </c>
      <c r="AC885" s="844" t="s">
        <v>4447</v>
      </c>
    </row>
    <row r="886" spans="1:31" ht="15" customHeight="1">
      <c r="A886" s="137" t="s">
        <v>25</v>
      </c>
      <c r="B886" s="137" t="s">
        <v>25</v>
      </c>
      <c r="C886" s="137" t="s">
        <v>3797</v>
      </c>
      <c r="D886" s="137" t="s">
        <v>3798</v>
      </c>
      <c r="E886" s="137" t="s">
        <v>3546</v>
      </c>
      <c r="F886" s="137">
        <v>708366193</v>
      </c>
      <c r="G886" s="137">
        <v>555670755</v>
      </c>
      <c r="H886" s="123">
        <v>5.8221499999999997</v>
      </c>
      <c r="I886" s="123">
        <v>-5.3657300000000001</v>
      </c>
      <c r="J886" s="137" t="s">
        <v>2612</v>
      </c>
      <c r="K886" s="123" t="s">
        <v>198</v>
      </c>
      <c r="L886" s="123" t="s">
        <v>3603</v>
      </c>
      <c r="M886" s="123" t="s">
        <v>4430</v>
      </c>
      <c r="N886" s="123">
        <v>2150051189</v>
      </c>
      <c r="O886" s="138">
        <v>45959</v>
      </c>
      <c r="P886" s="123">
        <v>36</v>
      </c>
      <c r="Q886" s="138">
        <v>45960</v>
      </c>
      <c r="R886" s="137" t="s">
        <v>2641</v>
      </c>
      <c r="S886" s="123"/>
      <c r="T886" s="123">
        <v>0</v>
      </c>
      <c r="U886" s="2263">
        <v>46000</v>
      </c>
      <c r="V886" s="137" t="s">
        <v>310</v>
      </c>
      <c r="W886" s="123">
        <v>300</v>
      </c>
      <c r="X886" s="137" t="s">
        <v>32</v>
      </c>
      <c r="Y886" s="137"/>
      <c r="Z886" s="234"/>
      <c r="AA886" s="237" t="s">
        <v>532</v>
      </c>
      <c r="AB886" s="844" t="s">
        <v>16</v>
      </c>
      <c r="AC886" s="844" t="s">
        <v>4449</v>
      </c>
    </row>
    <row r="887" spans="1:31" s="978" customFormat="1" ht="15" customHeight="1">
      <c r="A887" s="237" t="s">
        <v>25</v>
      </c>
      <c r="B887" s="237" t="s">
        <v>25</v>
      </c>
      <c r="C887" s="843" t="s">
        <v>4078</v>
      </c>
      <c r="D887" s="843" t="s">
        <v>4079</v>
      </c>
      <c r="E887" s="843" t="s">
        <v>4080</v>
      </c>
      <c r="F887" s="843">
        <v>504928655</v>
      </c>
      <c r="G887" s="1369">
        <v>760000000</v>
      </c>
      <c r="H887" s="844">
        <v>5.8206899999999999</v>
      </c>
      <c r="I887" s="844">
        <v>-5.3661399999999997</v>
      </c>
      <c r="J887" s="843" t="s">
        <v>2612</v>
      </c>
      <c r="K887" s="844" t="s">
        <v>198</v>
      </c>
      <c r="L887" s="844" t="s">
        <v>3931</v>
      </c>
      <c r="M887" s="237" t="s">
        <v>4442</v>
      </c>
      <c r="N887" s="237">
        <v>2150049960</v>
      </c>
      <c r="O887" s="845">
        <v>45975</v>
      </c>
      <c r="P887" s="844">
        <v>18</v>
      </c>
      <c r="Q887" s="845">
        <v>45978</v>
      </c>
      <c r="R887" s="237" t="s">
        <v>273</v>
      </c>
      <c r="S887" s="237"/>
      <c r="T887" s="237">
        <v>2</v>
      </c>
      <c r="U887" s="846">
        <v>46001</v>
      </c>
      <c r="V887" s="237" t="s">
        <v>310</v>
      </c>
      <c r="W887" s="237">
        <v>350</v>
      </c>
      <c r="X887" s="237" t="s">
        <v>32</v>
      </c>
      <c r="Y887" s="234"/>
      <c r="Z887" s="26"/>
      <c r="AA887" s="26" t="s">
        <v>532</v>
      </c>
      <c r="AB887" s="26" t="s">
        <v>16</v>
      </c>
      <c r="AC887" s="26" t="s">
        <v>4451</v>
      </c>
      <c r="AD887" s="1032"/>
    </row>
    <row r="888" spans="1:31" s="978" customFormat="1" ht="15" customHeight="1">
      <c r="A888" s="237" t="s">
        <v>25</v>
      </c>
      <c r="B888" s="237" t="s">
        <v>25</v>
      </c>
      <c r="C888" s="843" t="s">
        <v>4253</v>
      </c>
      <c r="D888" s="843" t="s">
        <v>4254</v>
      </c>
      <c r="E888" s="843" t="s">
        <v>4255</v>
      </c>
      <c r="F888" s="843">
        <v>505375864</v>
      </c>
      <c r="G888" s="1369">
        <v>748000000</v>
      </c>
      <c r="H888" s="844">
        <v>5.8144</v>
      </c>
      <c r="I888" s="844">
        <v>-5.3679500000000004</v>
      </c>
      <c r="J888" s="843" t="s">
        <v>2612</v>
      </c>
      <c r="K888" s="844" t="s">
        <v>203</v>
      </c>
      <c r="L888" s="844" t="s">
        <v>4269</v>
      </c>
      <c r="M888" s="237" t="s">
        <v>4444</v>
      </c>
      <c r="N888" s="237">
        <v>2150051190</v>
      </c>
      <c r="O888" s="845">
        <v>45987</v>
      </c>
      <c r="P888" s="844">
        <v>8</v>
      </c>
      <c r="Q888" s="845">
        <v>45988</v>
      </c>
      <c r="R888" s="237" t="s">
        <v>273</v>
      </c>
      <c r="S888" s="237"/>
      <c r="T888" s="237">
        <v>0</v>
      </c>
      <c r="U888" s="1211">
        <v>46001</v>
      </c>
      <c r="V888" s="237" t="s">
        <v>310</v>
      </c>
      <c r="W888" s="237">
        <v>250</v>
      </c>
      <c r="X888" s="237" t="s">
        <v>32</v>
      </c>
      <c r="Y888" s="234"/>
      <c r="Z888" s="26"/>
      <c r="AA888" s="26" t="s">
        <v>532</v>
      </c>
      <c r="AB888" s="26" t="s">
        <v>16</v>
      </c>
      <c r="AC888" s="26" t="s">
        <v>4453</v>
      </c>
      <c r="AD888" s="1032"/>
    </row>
    <row r="889" spans="1:31" s="978" customFormat="1" ht="15" customHeight="1">
      <c r="A889" s="237" t="s">
        <v>25</v>
      </c>
      <c r="B889" s="237" t="s">
        <v>25</v>
      </c>
      <c r="C889" s="843" t="s">
        <v>4258</v>
      </c>
      <c r="D889" s="843" t="s">
        <v>4259</v>
      </c>
      <c r="E889" s="843" t="s">
        <v>4260</v>
      </c>
      <c r="F889" s="843">
        <v>140516691</v>
      </c>
      <c r="G889" s="843">
        <v>709252670</v>
      </c>
      <c r="H889" s="844">
        <v>5.8144</v>
      </c>
      <c r="I889" s="844">
        <v>-5.3679500000000004</v>
      </c>
      <c r="J889" s="843" t="s">
        <v>2612</v>
      </c>
      <c r="K889" s="844" t="s">
        <v>203</v>
      </c>
      <c r="L889" s="844" t="s">
        <v>4269</v>
      </c>
      <c r="M889" s="237" t="s">
        <v>4446</v>
      </c>
      <c r="N889" s="237">
        <v>2150049968</v>
      </c>
      <c r="O889" s="845">
        <v>45987</v>
      </c>
      <c r="P889" s="844">
        <v>8</v>
      </c>
      <c r="Q889" s="845">
        <v>45988</v>
      </c>
      <c r="R889" s="237" t="s">
        <v>273</v>
      </c>
      <c r="S889" s="237"/>
      <c r="T889" s="237">
        <v>1</v>
      </c>
      <c r="U889" s="1211">
        <v>46001</v>
      </c>
      <c r="V889" s="237" t="s">
        <v>310</v>
      </c>
      <c r="W889" s="237">
        <v>250</v>
      </c>
      <c r="X889" s="237" t="s">
        <v>32</v>
      </c>
      <c r="Y889" s="234"/>
      <c r="Z889" s="26"/>
      <c r="AA889" s="26" t="s">
        <v>532</v>
      </c>
      <c r="AB889" s="26" t="s">
        <v>16</v>
      </c>
      <c r="AC889" s="26" t="s">
        <v>4452</v>
      </c>
      <c r="AD889" s="1032"/>
    </row>
    <row r="890" spans="1:31" s="978" customFormat="1" ht="15" customHeight="1">
      <c r="A890" s="237" t="s">
        <v>25</v>
      </c>
      <c r="B890" s="237" t="s">
        <v>25</v>
      </c>
      <c r="C890" s="843" t="s">
        <v>4261</v>
      </c>
      <c r="D890" s="843" t="s">
        <v>4262</v>
      </c>
      <c r="E890" s="843" t="s">
        <v>4260</v>
      </c>
      <c r="F890" s="843">
        <v>707647177</v>
      </c>
      <c r="G890" s="843">
        <v>101861099</v>
      </c>
      <c r="H890" s="844">
        <v>5.8144</v>
      </c>
      <c r="I890" s="844">
        <v>-5.3679500000000004</v>
      </c>
      <c r="J890" s="843" t="s">
        <v>2612</v>
      </c>
      <c r="K890" s="844" t="s">
        <v>203</v>
      </c>
      <c r="L890" s="844" t="s">
        <v>4269</v>
      </c>
      <c r="M890" s="237" t="s">
        <v>4448</v>
      </c>
      <c r="N890" s="237">
        <v>2150049961</v>
      </c>
      <c r="O890" s="845">
        <v>45987</v>
      </c>
      <c r="P890" s="844">
        <v>8</v>
      </c>
      <c r="Q890" s="845">
        <v>45988</v>
      </c>
      <c r="R890" s="237" t="s">
        <v>273</v>
      </c>
      <c r="S890" s="237"/>
      <c r="T890" s="237">
        <v>1</v>
      </c>
      <c r="U890" s="1211">
        <v>46001</v>
      </c>
      <c r="V890" s="237" t="s">
        <v>310</v>
      </c>
      <c r="W890" s="237">
        <v>350</v>
      </c>
      <c r="X890" s="237" t="s">
        <v>32</v>
      </c>
      <c r="Y890" s="234"/>
      <c r="Z890" s="26"/>
      <c r="AA890" s="26" t="s">
        <v>532</v>
      </c>
      <c r="AB890" s="26" t="s">
        <v>16</v>
      </c>
      <c r="AC890" s="26" t="s">
        <v>4450</v>
      </c>
      <c r="AD890" s="1032"/>
    </row>
    <row r="891" spans="1:31" s="978" customFormat="1" ht="15" hidden="1" customHeight="1">
      <c r="A891" s="2097" t="s">
        <v>25</v>
      </c>
      <c r="B891" s="2097" t="s">
        <v>25</v>
      </c>
      <c r="C891" s="1838" t="s">
        <v>4431</v>
      </c>
      <c r="D891" s="1838" t="s">
        <v>4432</v>
      </c>
      <c r="E891" s="1838" t="s">
        <v>4433</v>
      </c>
      <c r="F891" s="1838">
        <v>779048206</v>
      </c>
      <c r="G891" s="1838">
        <v>505645660</v>
      </c>
      <c r="H891" s="2098">
        <v>5.8447500000000003</v>
      </c>
      <c r="I891" s="2098">
        <v>-5.3574400000000004</v>
      </c>
      <c r="J891" s="1838" t="s">
        <v>36</v>
      </c>
      <c r="K891" s="2098" t="s">
        <v>190</v>
      </c>
      <c r="L891" s="2098" t="s">
        <v>2802</v>
      </c>
      <c r="M891" s="2099" t="s">
        <v>4464</v>
      </c>
      <c r="N891" s="2099">
        <v>2150049957</v>
      </c>
      <c r="O891" s="1842">
        <v>46000</v>
      </c>
      <c r="P891" s="2098"/>
      <c r="Q891" s="1842">
        <v>46001</v>
      </c>
      <c r="R891" s="2097" t="s">
        <v>2641</v>
      </c>
      <c r="S891" s="2100"/>
      <c r="T891" s="2100">
        <v>0</v>
      </c>
      <c r="U891" s="2101">
        <v>46002</v>
      </c>
      <c r="V891" s="2097" t="s">
        <v>310</v>
      </c>
      <c r="W891" s="2100">
        <v>100</v>
      </c>
      <c r="X891" s="2097" t="s">
        <v>32</v>
      </c>
      <c r="Y891" s="2098"/>
      <c r="Z891" s="2031"/>
      <c r="AA891" s="2030" t="s">
        <v>532</v>
      </c>
      <c r="AB891" s="2030" t="s">
        <v>16</v>
      </c>
      <c r="AC891" s="1832" t="s">
        <v>4469</v>
      </c>
      <c r="AD891" s="1032"/>
    </row>
    <row r="892" spans="1:31" s="978" customFormat="1" ht="15" hidden="1" customHeight="1">
      <c r="A892" s="91" t="s">
        <v>25</v>
      </c>
      <c r="B892" s="91" t="s">
        <v>25</v>
      </c>
      <c r="C892" s="657" t="s">
        <v>4434</v>
      </c>
      <c r="D892" s="657" t="s">
        <v>4435</v>
      </c>
      <c r="E892" s="657" t="s">
        <v>4436</v>
      </c>
      <c r="F892" s="657">
        <v>150621024</v>
      </c>
      <c r="G892" s="657">
        <v>748102959</v>
      </c>
      <c r="H892" s="26">
        <v>5.85642</v>
      </c>
      <c r="I892" s="26">
        <v>-5.34673</v>
      </c>
      <c r="J892" s="657" t="s">
        <v>189</v>
      </c>
      <c r="K892" s="26" t="s">
        <v>198</v>
      </c>
      <c r="L892" s="26" t="s">
        <v>3365</v>
      </c>
      <c r="M892" s="1030" t="s">
        <v>4465</v>
      </c>
      <c r="N892" s="1030">
        <v>2150049959</v>
      </c>
      <c r="O892" s="737">
        <v>46000</v>
      </c>
      <c r="P892" s="26"/>
      <c r="Q892" s="737">
        <v>46001</v>
      </c>
      <c r="R892" s="91" t="s">
        <v>2641</v>
      </c>
      <c r="S892" s="1031"/>
      <c r="T892" s="1031">
        <v>0</v>
      </c>
      <c r="U892" s="45">
        <v>46002</v>
      </c>
      <c r="V892" s="91" t="s">
        <v>310</v>
      </c>
      <c r="W892" s="1031">
        <v>150</v>
      </c>
      <c r="X892" s="91" t="s">
        <v>32</v>
      </c>
      <c r="Y892" s="26"/>
      <c r="Z892" s="236"/>
      <c r="AA892" s="664" t="s">
        <v>532</v>
      </c>
      <c r="AB892" s="664" t="s">
        <v>16</v>
      </c>
      <c r="AC892" s="844" t="s">
        <v>4471</v>
      </c>
      <c r="AD892" s="1032"/>
    </row>
    <row r="893" spans="1:31" s="978" customFormat="1" ht="15" hidden="1" customHeight="1" thickBot="1">
      <c r="A893" s="91" t="s">
        <v>25</v>
      </c>
      <c r="B893" s="91" t="s">
        <v>25</v>
      </c>
      <c r="C893" s="657" t="s">
        <v>4437</v>
      </c>
      <c r="D893" s="657" t="s">
        <v>4438</v>
      </c>
      <c r="E893" s="657" t="s">
        <v>4439</v>
      </c>
      <c r="F893" s="657">
        <v>787199898</v>
      </c>
      <c r="G893" s="657">
        <v>700338838</v>
      </c>
      <c r="H893" s="26">
        <v>5.8517599999999996</v>
      </c>
      <c r="I893" s="26">
        <v>-5.3471700000000002</v>
      </c>
      <c r="J893" s="657" t="s">
        <v>189</v>
      </c>
      <c r="K893" s="26" t="s">
        <v>198</v>
      </c>
      <c r="L893" s="26" t="s">
        <v>888</v>
      </c>
      <c r="M893" s="1030" t="s">
        <v>4466</v>
      </c>
      <c r="N893" s="1030">
        <v>2150049956</v>
      </c>
      <c r="O893" s="737">
        <v>46001</v>
      </c>
      <c r="P893" s="26"/>
      <c r="Q893" s="737">
        <v>46001</v>
      </c>
      <c r="R893" s="91" t="s">
        <v>2641</v>
      </c>
      <c r="S893" s="1031"/>
      <c r="T893" s="1031">
        <v>0</v>
      </c>
      <c r="U893" s="45">
        <v>46002</v>
      </c>
      <c r="V893" s="91" t="s">
        <v>310</v>
      </c>
      <c r="W893" s="1031">
        <v>150</v>
      </c>
      <c r="X893" s="91" t="s">
        <v>32</v>
      </c>
      <c r="Y893" s="26"/>
      <c r="Z893" s="236"/>
      <c r="AA893" s="664" t="s">
        <v>532</v>
      </c>
      <c r="AB893" s="664" t="s">
        <v>16</v>
      </c>
      <c r="AC893" s="844" t="s">
        <v>4481</v>
      </c>
      <c r="AD893" s="1032"/>
    </row>
    <row r="894" spans="1:31" ht="15" hidden="1" customHeight="1" thickBot="1">
      <c r="A894" s="1082" t="s">
        <v>25</v>
      </c>
      <c r="B894" s="1090" t="s">
        <v>25</v>
      </c>
      <c r="C894" s="1110" t="s">
        <v>4440</v>
      </c>
      <c r="D894" s="1110" t="s">
        <v>4441</v>
      </c>
      <c r="E894" s="1110" t="s">
        <v>117</v>
      </c>
      <c r="F894" s="1110">
        <v>748336191</v>
      </c>
      <c r="G894" s="1110">
        <v>504522286</v>
      </c>
      <c r="H894" s="1126">
        <v>5.8477499999999996</v>
      </c>
      <c r="I894" s="1126">
        <v>-5.3542199999999998</v>
      </c>
      <c r="J894" s="1110" t="s">
        <v>189</v>
      </c>
      <c r="K894" s="1126" t="s">
        <v>198</v>
      </c>
      <c r="L894" s="1126" t="s">
        <v>258</v>
      </c>
      <c r="M894" s="1148" t="s">
        <v>4467</v>
      </c>
      <c r="N894" s="1148">
        <v>2150049958</v>
      </c>
      <c r="O894" s="1187">
        <v>46000</v>
      </c>
      <c r="P894" s="1126"/>
      <c r="Q894" s="1187">
        <v>46001</v>
      </c>
      <c r="R894" s="1090" t="s">
        <v>2641</v>
      </c>
      <c r="S894" s="1205"/>
      <c r="T894" s="1205">
        <v>0</v>
      </c>
      <c r="U894" s="1223">
        <v>46002</v>
      </c>
      <c r="V894" s="1090" t="s">
        <v>310</v>
      </c>
      <c r="W894" s="1205">
        <v>150</v>
      </c>
      <c r="X894" s="1090" t="s">
        <v>32</v>
      </c>
      <c r="Y894" s="1245"/>
      <c r="Z894" s="1033"/>
      <c r="AA894" s="868" t="s">
        <v>532</v>
      </c>
      <c r="AB894" s="868" t="s">
        <v>16</v>
      </c>
      <c r="AC894" s="867" t="s">
        <v>4498</v>
      </c>
    </row>
    <row r="895" spans="1:31" ht="15" hidden="1" customHeight="1" thickBot="1">
      <c r="A895" s="1073" t="s">
        <v>25</v>
      </c>
      <c r="B895" s="1087" t="s">
        <v>25</v>
      </c>
      <c r="C895" s="1098" t="s">
        <v>4455</v>
      </c>
      <c r="D895" s="1098" t="s">
        <v>4456</v>
      </c>
      <c r="E895" s="1098" t="s">
        <v>130</v>
      </c>
      <c r="F895" s="1098">
        <v>142430923</v>
      </c>
      <c r="G895" s="1098">
        <v>143162120</v>
      </c>
      <c r="H895" s="1119">
        <v>5.8332199999999998</v>
      </c>
      <c r="I895" s="1119">
        <v>-5.35365</v>
      </c>
      <c r="J895" s="1098" t="s">
        <v>36</v>
      </c>
      <c r="K895" s="1119" t="s">
        <v>274</v>
      </c>
      <c r="L895" s="1119" t="s">
        <v>523</v>
      </c>
      <c r="M895" s="1119" t="s">
        <v>4468</v>
      </c>
      <c r="N895" s="1119">
        <v>2150049955</v>
      </c>
      <c r="O895" s="1172">
        <v>46000</v>
      </c>
      <c r="P895" s="1119"/>
      <c r="Q895" s="1172">
        <v>46002</v>
      </c>
      <c r="R895" s="1087" t="s">
        <v>2641</v>
      </c>
      <c r="S895" s="1203"/>
      <c r="T895" s="1203">
        <v>0</v>
      </c>
      <c r="U895" s="1215">
        <v>46003</v>
      </c>
      <c r="V895" s="1087" t="s">
        <v>310</v>
      </c>
      <c r="W895" s="1203">
        <v>100</v>
      </c>
      <c r="X895" s="1087" t="s">
        <v>32</v>
      </c>
      <c r="Y895" s="1243"/>
      <c r="Z895" s="1036"/>
      <c r="AA895" s="1034" t="s">
        <v>532</v>
      </c>
      <c r="AB895" s="1035" t="s">
        <v>16</v>
      </c>
      <c r="AC895" s="1037"/>
    </row>
    <row r="896" spans="1:31" s="1027" customFormat="1" ht="15" hidden="1" customHeight="1">
      <c r="A896" s="1560" t="s">
        <v>25</v>
      </c>
      <c r="B896" s="1560" t="s">
        <v>25</v>
      </c>
      <c r="C896" s="1580" t="s">
        <v>4459</v>
      </c>
      <c r="D896" s="1580" t="s">
        <v>4460</v>
      </c>
      <c r="E896" s="1580" t="s">
        <v>35</v>
      </c>
      <c r="F896" s="1580">
        <v>170119311</v>
      </c>
      <c r="G896" s="1580">
        <v>747654679</v>
      </c>
      <c r="H896" s="1326">
        <v>5.8404800000000003</v>
      </c>
      <c r="I896" s="1326">
        <v>-5.3581799999999999</v>
      </c>
      <c r="J896" s="1580" t="s">
        <v>36</v>
      </c>
      <c r="K896" s="1326" t="s">
        <v>190</v>
      </c>
      <c r="L896" s="1326" t="s">
        <v>2853</v>
      </c>
      <c r="M896" s="1326" t="s">
        <v>4470</v>
      </c>
      <c r="N896" s="1326">
        <v>2150049952</v>
      </c>
      <c r="O896" s="1581">
        <v>46001</v>
      </c>
      <c r="P896" s="1326"/>
      <c r="Q896" s="1581">
        <v>46002</v>
      </c>
      <c r="R896" s="1560" t="s">
        <v>2641</v>
      </c>
      <c r="S896" s="1582"/>
      <c r="T896" s="1582">
        <v>0</v>
      </c>
      <c r="U896" s="1561">
        <v>46003</v>
      </c>
      <c r="V896" s="1560" t="s">
        <v>310</v>
      </c>
      <c r="W896" s="1582">
        <v>350</v>
      </c>
      <c r="X896" s="1560" t="s">
        <v>32</v>
      </c>
      <c r="Y896" s="638"/>
      <c r="Z896" s="1039"/>
      <c r="AA896" s="1583" t="s">
        <v>532</v>
      </c>
      <c r="AB896" s="1583" t="s">
        <v>16</v>
      </c>
      <c r="AC896" s="1583" t="s">
        <v>4494</v>
      </c>
      <c r="AD896" s="1032"/>
      <c r="AE896" s="978"/>
    </row>
    <row r="897" spans="1:31" s="1346" customFormat="1" ht="15" customHeight="1">
      <c r="A897" s="664" t="s">
        <v>25</v>
      </c>
      <c r="B897" s="664" t="s">
        <v>25</v>
      </c>
      <c r="C897" s="235" t="s">
        <v>4476</v>
      </c>
      <c r="D897" s="235" t="s">
        <v>4477</v>
      </c>
      <c r="E897" s="235" t="s">
        <v>4478</v>
      </c>
      <c r="F897" s="235">
        <v>554996058</v>
      </c>
      <c r="G897" s="235">
        <v>789531614</v>
      </c>
      <c r="H897" s="236">
        <v>5.81717</v>
      </c>
      <c r="I897" s="236">
        <v>-5.3643000000000001</v>
      </c>
      <c r="J897" s="235" t="s">
        <v>2612</v>
      </c>
      <c r="K897" s="236" t="s">
        <v>190</v>
      </c>
      <c r="L897" s="236" t="s">
        <v>4479</v>
      </c>
      <c r="M897" s="236" t="s">
        <v>4480</v>
      </c>
      <c r="N897" s="236">
        <v>2150049967</v>
      </c>
      <c r="O897" s="238">
        <v>46002</v>
      </c>
      <c r="P897" s="236"/>
      <c r="Q897" s="238">
        <v>46003</v>
      </c>
      <c r="R897" s="664" t="s">
        <v>2641</v>
      </c>
      <c r="S897" s="664"/>
      <c r="T897" s="664">
        <v>0</v>
      </c>
      <c r="U897" s="997">
        <v>46003</v>
      </c>
      <c r="V897" s="664" t="s">
        <v>310</v>
      </c>
      <c r="W897" s="664">
        <v>150</v>
      </c>
      <c r="X897" s="664" t="s">
        <v>32</v>
      </c>
      <c r="Y897" s="236"/>
      <c r="Z897" s="91"/>
      <c r="AA897" s="26" t="s">
        <v>532</v>
      </c>
      <c r="AB897" s="26" t="s">
        <v>16</v>
      </c>
      <c r="AC897" s="26" t="s">
        <v>4516</v>
      </c>
      <c r="AD897" s="1032"/>
      <c r="AE897" s="978"/>
    </row>
    <row r="898" spans="1:31" s="1346" customFormat="1" ht="15" customHeight="1">
      <c r="A898" s="77" t="s">
        <v>25</v>
      </c>
      <c r="B898" s="77" t="s">
        <v>25</v>
      </c>
      <c r="C898" s="77" t="s">
        <v>4461</v>
      </c>
      <c r="D898" s="77" t="s">
        <v>4462</v>
      </c>
      <c r="E898" s="77" t="s">
        <v>4463</v>
      </c>
      <c r="F898" s="77">
        <v>172868096</v>
      </c>
      <c r="G898" s="1370">
        <v>709000000</v>
      </c>
      <c r="H898" s="1306">
        <v>5.8136900000000002</v>
      </c>
      <c r="I898" s="1306">
        <v>-5.35412</v>
      </c>
      <c r="J898" s="77" t="s">
        <v>4036</v>
      </c>
      <c r="K898" s="1306" t="s">
        <v>198</v>
      </c>
      <c r="L898" s="1306" t="s">
        <v>4325</v>
      </c>
      <c r="M898" s="1306" t="s">
        <v>4472</v>
      </c>
      <c r="N898" s="1306">
        <v>2150049953</v>
      </c>
      <c r="O898" s="1307">
        <v>46000</v>
      </c>
      <c r="P898" s="1306"/>
      <c r="Q898" s="1307">
        <v>46002</v>
      </c>
      <c r="R898" s="77" t="s">
        <v>2641</v>
      </c>
      <c r="S898" s="77"/>
      <c r="T898" s="77">
        <v>3</v>
      </c>
      <c r="U898" s="1307">
        <v>46004</v>
      </c>
      <c r="V898" s="77" t="s">
        <v>310</v>
      </c>
      <c r="W898" s="77">
        <v>250</v>
      </c>
      <c r="X898" s="77" t="s">
        <v>32</v>
      </c>
      <c r="Y898" s="77"/>
      <c r="Z898" s="91"/>
      <c r="AA898" s="26" t="s">
        <v>532</v>
      </c>
      <c r="AB898" s="26" t="s">
        <v>16</v>
      </c>
      <c r="AC898" s="26" t="s">
        <v>4496</v>
      </c>
      <c r="AD898" s="1032"/>
      <c r="AE898" s="978"/>
    </row>
    <row r="899" spans="1:31" s="1346" customFormat="1" ht="15" customHeight="1">
      <c r="A899" s="77" t="s">
        <v>25</v>
      </c>
      <c r="B899" s="77" t="s">
        <v>25</v>
      </c>
      <c r="C899" s="210" t="s">
        <v>4499</v>
      </c>
      <c r="D899" s="210" t="s">
        <v>4500</v>
      </c>
      <c r="E899" s="210" t="s">
        <v>4501</v>
      </c>
      <c r="F899" s="210">
        <v>152169330</v>
      </c>
      <c r="G899" s="210">
        <v>704752306</v>
      </c>
      <c r="H899" s="77"/>
      <c r="I899" s="77"/>
      <c r="J899" s="210" t="s">
        <v>4036</v>
      </c>
      <c r="K899" s="77" t="s">
        <v>198</v>
      </c>
      <c r="L899" s="77" t="s">
        <v>4502</v>
      </c>
      <c r="M899" s="77" t="s">
        <v>4503</v>
      </c>
      <c r="N899" s="77">
        <v>2150049954</v>
      </c>
      <c r="O899" s="1307">
        <v>46001</v>
      </c>
      <c r="P899" s="1306"/>
      <c r="Q899" s="1307">
        <v>46002</v>
      </c>
      <c r="R899" s="77" t="s">
        <v>2641</v>
      </c>
      <c r="S899" s="77"/>
      <c r="T899" s="210">
        <v>0</v>
      </c>
      <c r="U899" s="1307">
        <v>46004</v>
      </c>
      <c r="V899" s="77" t="s">
        <v>310</v>
      </c>
      <c r="W899" s="77">
        <v>100</v>
      </c>
      <c r="X899" s="77" t="s">
        <v>32</v>
      </c>
      <c r="Y899" s="77"/>
      <c r="Z899" s="727"/>
      <c r="AA899" s="179" t="s">
        <v>532</v>
      </c>
      <c r="AB899" s="179" t="s">
        <v>16</v>
      </c>
      <c r="AC899" s="179" t="s">
        <v>4497</v>
      </c>
      <c r="AD899" s="1032"/>
      <c r="AE899" s="978"/>
    </row>
    <row r="900" spans="1:31" s="1346" customFormat="1" ht="15" customHeight="1">
      <c r="A900" s="91" t="s">
        <v>25</v>
      </c>
      <c r="B900" s="91" t="s">
        <v>25</v>
      </c>
      <c r="C900" s="91" t="s">
        <v>4483</v>
      </c>
      <c r="D900" s="91" t="s">
        <v>4484</v>
      </c>
      <c r="E900" s="91" t="s">
        <v>3053</v>
      </c>
      <c r="F900" s="91">
        <v>172576528</v>
      </c>
      <c r="G900" s="91">
        <v>565847900</v>
      </c>
      <c r="H900" s="26">
        <v>5.8092300000000003</v>
      </c>
      <c r="I900" s="26">
        <v>-5.3674900000000001</v>
      </c>
      <c r="J900" s="91" t="s">
        <v>2612</v>
      </c>
      <c r="K900" s="26" t="s">
        <v>203</v>
      </c>
      <c r="L900" s="26" t="s">
        <v>3617</v>
      </c>
      <c r="M900" s="1038" t="s">
        <v>4519</v>
      </c>
      <c r="N900" s="1038">
        <v>2150051459</v>
      </c>
      <c r="O900" s="50">
        <v>46003</v>
      </c>
      <c r="P900" s="26"/>
      <c r="Q900" s="50">
        <v>46004</v>
      </c>
      <c r="R900" s="91" t="s">
        <v>2641</v>
      </c>
      <c r="S900" s="91"/>
      <c r="T900" s="91">
        <v>1</v>
      </c>
      <c r="U900" s="50">
        <v>46006</v>
      </c>
      <c r="V900" s="91" t="s">
        <v>310</v>
      </c>
      <c r="W900" s="91">
        <v>250</v>
      </c>
      <c r="X900" s="91" t="s">
        <v>32</v>
      </c>
      <c r="Y900" s="91"/>
      <c r="Z900" s="727"/>
      <c r="AA900" s="179" t="s">
        <v>532</v>
      </c>
      <c r="AB900" s="179" t="s">
        <v>16</v>
      </c>
      <c r="AC900" s="179" t="s">
        <v>4517</v>
      </c>
      <c r="AD900" s="1032"/>
      <c r="AE900" s="978"/>
    </row>
    <row r="901" spans="1:31" ht="15" customHeight="1">
      <c r="A901" s="91" t="s">
        <v>25</v>
      </c>
      <c r="B901" s="91" t="s">
        <v>25</v>
      </c>
      <c r="C901" s="91" t="s">
        <v>4487</v>
      </c>
      <c r="D901" s="91" t="s">
        <v>4488</v>
      </c>
      <c r="E901" s="91" t="s">
        <v>3053</v>
      </c>
      <c r="F901" s="91">
        <v>143114152</v>
      </c>
      <c r="G901" s="91">
        <v>595501005</v>
      </c>
      <c r="H901" s="26">
        <v>5.8167999999999997</v>
      </c>
      <c r="I901" s="26">
        <v>-5.3659800000000004</v>
      </c>
      <c r="J901" s="91" t="s">
        <v>2612</v>
      </c>
      <c r="K901" s="26" t="s">
        <v>190</v>
      </c>
      <c r="L901" s="26" t="s">
        <v>4515</v>
      </c>
      <c r="M901" s="1038" t="s">
        <v>4521</v>
      </c>
      <c r="N901" s="48">
        <v>2150051468</v>
      </c>
      <c r="O901" s="50">
        <v>46003</v>
      </c>
      <c r="P901" s="26"/>
      <c r="Q901" s="50">
        <v>46004</v>
      </c>
      <c r="R901" s="91" t="s">
        <v>2641</v>
      </c>
      <c r="S901" s="91"/>
      <c r="T901" s="91">
        <v>0</v>
      </c>
      <c r="U901" s="50">
        <v>46006</v>
      </c>
      <c r="V901" s="91" t="s">
        <v>310</v>
      </c>
      <c r="W901" s="91">
        <v>100</v>
      </c>
      <c r="X901" s="91" t="s">
        <v>32</v>
      </c>
      <c r="Y901" s="91"/>
      <c r="Z901" s="174"/>
      <c r="AA901" s="168" t="s">
        <v>532</v>
      </c>
      <c r="AB901" s="168" t="s">
        <v>16</v>
      </c>
      <c r="AC901" s="168" t="s">
        <v>4518</v>
      </c>
    </row>
    <row r="902" spans="1:31" ht="15" customHeight="1">
      <c r="A902" s="91" t="s">
        <v>25</v>
      </c>
      <c r="B902" s="91" t="s">
        <v>25</v>
      </c>
      <c r="C902" s="91" t="s">
        <v>4492</v>
      </c>
      <c r="D902" s="91" t="s">
        <v>4493</v>
      </c>
      <c r="E902" s="91" t="s">
        <v>3166</v>
      </c>
      <c r="F902" s="91">
        <v>501389799</v>
      </c>
      <c r="G902" s="91">
        <v>702250056</v>
      </c>
      <c r="H902" s="26">
        <v>5.8158899999999996</v>
      </c>
      <c r="I902" s="26">
        <v>-5.3634899999999996</v>
      </c>
      <c r="J902" s="91" t="s">
        <v>4036</v>
      </c>
      <c r="K902" s="26" t="s">
        <v>190</v>
      </c>
      <c r="L902" s="26" t="s">
        <v>4495</v>
      </c>
      <c r="M902" s="1038" t="s">
        <v>4520</v>
      </c>
      <c r="N902" s="1038">
        <v>2150051458</v>
      </c>
      <c r="O902" s="50">
        <v>46003</v>
      </c>
      <c r="P902" s="26"/>
      <c r="Q902" s="50">
        <v>46004</v>
      </c>
      <c r="R902" s="91" t="s">
        <v>2641</v>
      </c>
      <c r="S902" s="91"/>
      <c r="T902" s="91">
        <v>0</v>
      </c>
      <c r="U902" s="50">
        <v>46006</v>
      </c>
      <c r="V902" s="91" t="s">
        <v>310</v>
      </c>
      <c r="W902" s="91">
        <v>300</v>
      </c>
      <c r="X902" s="91" t="s">
        <v>32</v>
      </c>
      <c r="Y902" s="91"/>
      <c r="Z902" s="174"/>
      <c r="AA902" s="168" t="s">
        <v>532</v>
      </c>
      <c r="AB902" s="219" t="s">
        <v>16</v>
      </c>
      <c r="AC902" s="219" t="s">
        <v>4541</v>
      </c>
    </row>
    <row r="903" spans="1:31" ht="15" customHeight="1">
      <c r="A903" s="727" t="s">
        <v>25</v>
      </c>
      <c r="B903" s="727" t="s">
        <v>25</v>
      </c>
      <c r="C903" s="727" t="s">
        <v>4489</v>
      </c>
      <c r="D903" s="727" t="s">
        <v>4490</v>
      </c>
      <c r="E903" s="727" t="s">
        <v>4491</v>
      </c>
      <c r="F903" s="727">
        <v>103245049</v>
      </c>
      <c r="G903" s="727">
        <v>505807547</v>
      </c>
      <c r="H903" s="179">
        <v>5.8255100000000004</v>
      </c>
      <c r="I903" s="179">
        <v>-5.3585500000000001</v>
      </c>
      <c r="J903" s="727" t="s">
        <v>2612</v>
      </c>
      <c r="K903" s="179" t="s">
        <v>274</v>
      </c>
      <c r="L903" s="179" t="s">
        <v>3552</v>
      </c>
      <c r="M903" s="587" t="s">
        <v>4533</v>
      </c>
      <c r="N903" s="587">
        <v>2150051469</v>
      </c>
      <c r="O903" s="1040">
        <v>46003</v>
      </c>
      <c r="P903" s="179"/>
      <c r="Q903" s="1040">
        <v>46004</v>
      </c>
      <c r="R903" s="727" t="s">
        <v>2641</v>
      </c>
      <c r="S903" s="727"/>
      <c r="T903" s="727">
        <v>2</v>
      </c>
      <c r="U903" s="1040">
        <v>46007</v>
      </c>
      <c r="V903" s="727" t="s">
        <v>310</v>
      </c>
      <c r="W903" s="727">
        <v>200</v>
      </c>
      <c r="X903" s="727" t="s">
        <v>32</v>
      </c>
      <c r="Y903" s="727"/>
      <c r="Z903" s="174"/>
      <c r="AA903" s="168" t="s">
        <v>532</v>
      </c>
      <c r="AB903" s="219" t="s">
        <v>16</v>
      </c>
      <c r="AC903" s="219" t="s">
        <v>4532</v>
      </c>
    </row>
    <row r="904" spans="1:31" s="1027" customFormat="1" ht="15" hidden="1" customHeight="1">
      <c r="A904" s="2102" t="s">
        <v>25</v>
      </c>
      <c r="B904" s="2102" t="s">
        <v>25</v>
      </c>
      <c r="C904" s="2103" t="s">
        <v>4507</v>
      </c>
      <c r="D904" s="2103" t="s">
        <v>4508</v>
      </c>
      <c r="E904" s="2103" t="s">
        <v>4509</v>
      </c>
      <c r="F904" s="2103">
        <v>797448828</v>
      </c>
      <c r="G904" s="2103">
        <v>594848972</v>
      </c>
      <c r="H904" s="2104">
        <v>5.8313300000000003</v>
      </c>
      <c r="I904" s="2104">
        <v>-5.3549600000000002</v>
      </c>
      <c r="J904" s="2103" t="s">
        <v>36</v>
      </c>
      <c r="K904" s="2104" t="s">
        <v>274</v>
      </c>
      <c r="L904" s="2104" t="s">
        <v>3169</v>
      </c>
      <c r="M904" s="2105" t="s">
        <v>4534</v>
      </c>
      <c r="N904" s="2105">
        <v>2150051460</v>
      </c>
      <c r="O904" s="2106">
        <v>46004</v>
      </c>
      <c r="P904" s="2104"/>
      <c r="Q904" s="2106">
        <v>46006</v>
      </c>
      <c r="R904" s="2102" t="s">
        <v>2641</v>
      </c>
      <c r="S904" s="2107"/>
      <c r="T904" s="2107">
        <v>2</v>
      </c>
      <c r="U904" s="2108">
        <v>46007</v>
      </c>
      <c r="V904" s="2102" t="s">
        <v>310</v>
      </c>
      <c r="W904" s="2107">
        <v>200</v>
      </c>
      <c r="X904" s="2102" t="s">
        <v>32</v>
      </c>
      <c r="Y904" s="1041"/>
      <c r="Z904" s="1045"/>
      <c r="AA904" s="2109" t="s">
        <v>532</v>
      </c>
      <c r="AB904" s="2109" t="s">
        <v>16</v>
      </c>
      <c r="AC904" s="2110" t="s">
        <v>4546</v>
      </c>
      <c r="AD904" s="1032"/>
      <c r="AE904" s="978"/>
    </row>
    <row r="905" spans="1:31" s="1346" customFormat="1" ht="15" customHeight="1">
      <c r="A905" s="174" t="s">
        <v>25</v>
      </c>
      <c r="B905" s="174" t="s">
        <v>25</v>
      </c>
      <c r="C905" s="166" t="s">
        <v>4510</v>
      </c>
      <c r="D905" s="166" t="s">
        <v>4511</v>
      </c>
      <c r="E905" s="166" t="s">
        <v>4512</v>
      </c>
      <c r="F905" s="166">
        <v>789015324</v>
      </c>
      <c r="G905" s="166">
        <v>5949332</v>
      </c>
      <c r="H905" s="168">
        <v>5.8199399999999999</v>
      </c>
      <c r="I905" s="168">
        <v>-5.36496</v>
      </c>
      <c r="J905" s="166" t="s">
        <v>2612</v>
      </c>
      <c r="K905" s="168" t="s">
        <v>198</v>
      </c>
      <c r="L905" s="168" t="s">
        <v>3605</v>
      </c>
      <c r="M905" s="168" t="s">
        <v>4535</v>
      </c>
      <c r="N905" s="168">
        <v>2150051466</v>
      </c>
      <c r="O905" s="170">
        <v>46004</v>
      </c>
      <c r="P905" s="168"/>
      <c r="Q905" s="170">
        <v>46006</v>
      </c>
      <c r="R905" s="174" t="s">
        <v>2641</v>
      </c>
      <c r="S905" s="174"/>
      <c r="T905" s="174">
        <v>2</v>
      </c>
      <c r="U905" s="175">
        <v>46008</v>
      </c>
      <c r="V905" s="174" t="s">
        <v>310</v>
      </c>
      <c r="W905" s="174">
        <v>200</v>
      </c>
      <c r="X905" s="174" t="s">
        <v>32</v>
      </c>
      <c r="Y905" s="174"/>
      <c r="Z905" s="144"/>
      <c r="AA905" s="145" t="s">
        <v>532</v>
      </c>
      <c r="AB905" s="145" t="s">
        <v>16</v>
      </c>
      <c r="AC905" s="1046" t="s">
        <v>4530</v>
      </c>
      <c r="AD905" s="1032"/>
      <c r="AE905" s="978"/>
    </row>
    <row r="906" spans="1:31" s="1027" customFormat="1" ht="15" hidden="1" customHeight="1">
      <c r="A906" s="2111" t="s">
        <v>25</v>
      </c>
      <c r="B906" s="2111" t="s">
        <v>25</v>
      </c>
      <c r="C906" s="2111" t="s">
        <v>4485</v>
      </c>
      <c r="D906" s="2111" t="s">
        <v>4486</v>
      </c>
      <c r="E906" s="2111" t="s">
        <v>621</v>
      </c>
      <c r="F906" s="2111">
        <v>544400961</v>
      </c>
      <c r="G906" s="2111">
        <v>544400961</v>
      </c>
      <c r="H906" s="2112">
        <v>5.8498599999999996</v>
      </c>
      <c r="I906" s="2112">
        <v>-5.3512399999999998</v>
      </c>
      <c r="J906" s="2111" t="s">
        <v>189</v>
      </c>
      <c r="K906" s="2112" t="s">
        <v>198</v>
      </c>
      <c r="L906" s="2112" t="s">
        <v>4539</v>
      </c>
      <c r="M906" s="2112" t="s">
        <v>4540</v>
      </c>
      <c r="N906" s="2112">
        <v>2150051456</v>
      </c>
      <c r="O906" s="2113">
        <v>46003</v>
      </c>
      <c r="P906" s="2114"/>
      <c r="Q906" s="2113">
        <v>46004</v>
      </c>
      <c r="R906" s="2111" t="s">
        <v>2641</v>
      </c>
      <c r="S906" s="2015"/>
      <c r="T906" s="2111">
        <v>0</v>
      </c>
      <c r="U906" s="2115">
        <v>46008</v>
      </c>
      <c r="V906" s="2021" t="s">
        <v>310</v>
      </c>
      <c r="W906" s="2021">
        <v>200</v>
      </c>
      <c r="X906" s="2021" t="s">
        <v>32</v>
      </c>
      <c r="Y906" s="1042"/>
      <c r="Z906" s="1045"/>
      <c r="AA906" s="2109" t="s">
        <v>532</v>
      </c>
      <c r="AB906" s="2109" t="s">
        <v>16</v>
      </c>
      <c r="AC906" s="2109" t="s">
        <v>4554</v>
      </c>
      <c r="AD906" s="1032"/>
      <c r="AE906" s="978"/>
    </row>
    <row r="907" spans="1:31" s="1346" customFormat="1" ht="15" customHeight="1">
      <c r="A907" s="169" t="s">
        <v>25</v>
      </c>
      <c r="B907" s="169" t="s">
        <v>25</v>
      </c>
      <c r="C907" s="1308" t="s">
        <v>4522</v>
      </c>
      <c r="D907" s="1308" t="s">
        <v>4523</v>
      </c>
      <c r="E907" s="1308" t="s">
        <v>3400</v>
      </c>
      <c r="F907" s="1308">
        <v>709690445</v>
      </c>
      <c r="G907" s="1308">
        <v>506045940</v>
      </c>
      <c r="H907" s="219">
        <v>5.8211899999999996</v>
      </c>
      <c r="I907" s="219">
        <v>-5.3622800000000002</v>
      </c>
      <c r="J907" s="1308" t="s">
        <v>2612</v>
      </c>
      <c r="K907" s="219" t="s">
        <v>198</v>
      </c>
      <c r="L907" s="219" t="s">
        <v>4531</v>
      </c>
      <c r="M907" s="219" t="s">
        <v>4542</v>
      </c>
      <c r="N907" s="219">
        <v>2150051457</v>
      </c>
      <c r="O907" s="1309">
        <v>46006</v>
      </c>
      <c r="P907" s="219"/>
      <c r="Q907" s="1309">
        <v>46007</v>
      </c>
      <c r="R907" s="169" t="s">
        <v>2641</v>
      </c>
      <c r="S907" s="169"/>
      <c r="T907" s="169">
        <v>2</v>
      </c>
      <c r="U907" s="1043">
        <v>46008</v>
      </c>
      <c r="V907" s="169" t="s">
        <v>310</v>
      </c>
      <c r="W907" s="169">
        <v>350</v>
      </c>
      <c r="X907" s="169" t="s">
        <v>32</v>
      </c>
      <c r="Y907" s="174"/>
      <c r="Z907" s="144"/>
      <c r="AA907" s="145" t="s">
        <v>532</v>
      </c>
      <c r="AB907" s="145" t="s">
        <v>16</v>
      </c>
      <c r="AC907" s="145" t="s">
        <v>4544</v>
      </c>
      <c r="AD907" s="1032"/>
      <c r="AE907" s="978"/>
    </row>
    <row r="908" spans="1:31" s="1346" customFormat="1" ht="15" customHeight="1">
      <c r="A908" s="144" t="s">
        <v>25</v>
      </c>
      <c r="B908" s="144" t="s">
        <v>25</v>
      </c>
      <c r="C908" s="142" t="s">
        <v>4513</v>
      </c>
      <c r="D908" s="142" t="s">
        <v>4514</v>
      </c>
      <c r="E908" s="142" t="s">
        <v>3053</v>
      </c>
      <c r="F908" s="142">
        <v>545368879</v>
      </c>
      <c r="G908" s="142">
        <v>715369258</v>
      </c>
      <c r="H908" s="145">
        <v>5.8087299999999997</v>
      </c>
      <c r="I908" s="145">
        <v>-5.3644499999999997</v>
      </c>
      <c r="J908" s="142" t="s">
        <v>2612</v>
      </c>
      <c r="K908" s="145" t="s">
        <v>203</v>
      </c>
      <c r="L908" s="145" t="s">
        <v>4545</v>
      </c>
      <c r="M908" s="146" t="s">
        <v>4560</v>
      </c>
      <c r="N908" s="146">
        <v>2150051454</v>
      </c>
      <c r="O908" s="1044">
        <v>46004</v>
      </c>
      <c r="P908" s="145"/>
      <c r="Q908" s="1044">
        <v>46006</v>
      </c>
      <c r="R908" s="144" t="s">
        <v>2641</v>
      </c>
      <c r="S908" s="144"/>
      <c r="T908" s="144">
        <v>1</v>
      </c>
      <c r="U908" s="147">
        <v>46009</v>
      </c>
      <c r="V908" s="144" t="s">
        <v>310</v>
      </c>
      <c r="W908" s="144">
        <v>100</v>
      </c>
      <c r="X908" s="144" t="s">
        <v>32</v>
      </c>
      <c r="Y908" s="144"/>
      <c r="Z908" s="144"/>
      <c r="AA908" s="145" t="s">
        <v>532</v>
      </c>
      <c r="AB908" s="145" t="s">
        <v>16</v>
      </c>
      <c r="AC908" s="145" t="s">
        <v>4557</v>
      </c>
      <c r="AD908" s="1032"/>
      <c r="AE908" s="978"/>
    </row>
    <row r="909" spans="1:31" s="1346" customFormat="1" ht="15" customHeight="1">
      <c r="A909" s="144" t="s">
        <v>25</v>
      </c>
      <c r="B909" s="144" t="s">
        <v>25</v>
      </c>
      <c r="C909" s="142" t="s">
        <v>4527</v>
      </c>
      <c r="D909" s="142" t="s">
        <v>4528</v>
      </c>
      <c r="E909" s="142" t="s">
        <v>4529</v>
      </c>
      <c r="F909" s="142">
        <v>758353585</v>
      </c>
      <c r="G909" s="142">
        <v>506279833</v>
      </c>
      <c r="H909" s="145">
        <v>5.8177700000000003</v>
      </c>
      <c r="I909" s="145">
        <v>-5.3620900000000002</v>
      </c>
      <c r="J909" s="142" t="s">
        <v>2612</v>
      </c>
      <c r="K909" s="145" t="s">
        <v>190</v>
      </c>
      <c r="L909" s="145" t="s">
        <v>3300</v>
      </c>
      <c r="M909" s="1046" t="s">
        <v>4563</v>
      </c>
      <c r="N909" s="1046">
        <v>2150051470</v>
      </c>
      <c r="O909" s="1044">
        <v>46006</v>
      </c>
      <c r="P909" s="145"/>
      <c r="Q909" s="1044">
        <v>46007</v>
      </c>
      <c r="R909" s="144" t="s">
        <v>2641</v>
      </c>
      <c r="S909" s="144"/>
      <c r="T909" s="144">
        <v>2</v>
      </c>
      <c r="U909" s="147">
        <v>46009</v>
      </c>
      <c r="V909" s="144" t="s">
        <v>310</v>
      </c>
      <c r="W909" s="144">
        <v>200</v>
      </c>
      <c r="X909" s="144" t="s">
        <v>32</v>
      </c>
      <c r="Y909" s="144"/>
      <c r="Z909" s="144"/>
      <c r="AA909" s="145" t="s">
        <v>532</v>
      </c>
      <c r="AB909" s="144" t="s">
        <v>16</v>
      </c>
      <c r="AC909" s="145" t="s">
        <v>4536</v>
      </c>
      <c r="AD909" s="1371"/>
      <c r="AE909" s="1260"/>
    </row>
    <row r="910" spans="1:31" s="634" customFormat="1" ht="15" customHeight="1" thickBot="1">
      <c r="A910" s="144" t="s">
        <v>25</v>
      </c>
      <c r="B910" s="144" t="s">
        <v>25</v>
      </c>
      <c r="C910" s="142" t="s">
        <v>4550</v>
      </c>
      <c r="D910" s="142" t="s">
        <v>4551</v>
      </c>
      <c r="E910" s="142" t="s">
        <v>3053</v>
      </c>
      <c r="F910" s="142">
        <v>709291039</v>
      </c>
      <c r="G910" s="142">
        <v>505792141</v>
      </c>
      <c r="H910" s="145">
        <v>5.8146500000000003</v>
      </c>
      <c r="I910" s="145">
        <v>-5.3681999999999999</v>
      </c>
      <c r="J910" s="142" t="s">
        <v>2612</v>
      </c>
      <c r="K910" s="145" t="s">
        <v>203</v>
      </c>
      <c r="L910" s="145" t="s">
        <v>4545</v>
      </c>
      <c r="M910" s="146" t="s">
        <v>4561</v>
      </c>
      <c r="N910" s="146">
        <v>2150051465</v>
      </c>
      <c r="O910" s="1044">
        <v>46008</v>
      </c>
      <c r="P910" s="145"/>
      <c r="Q910" s="1044">
        <v>46009</v>
      </c>
      <c r="R910" s="144" t="s">
        <v>2641</v>
      </c>
      <c r="S910" s="144"/>
      <c r="T910" s="144">
        <v>0</v>
      </c>
      <c r="U910" s="147">
        <v>46009</v>
      </c>
      <c r="V910" s="144" t="s">
        <v>310</v>
      </c>
      <c r="W910" s="144">
        <v>150</v>
      </c>
      <c r="X910" s="144" t="s">
        <v>32</v>
      </c>
      <c r="Y910" s="144"/>
      <c r="Z910" s="1047"/>
      <c r="AA910" s="1047" t="s">
        <v>532</v>
      </c>
      <c r="AB910" s="1047" t="s">
        <v>16</v>
      </c>
      <c r="AC910" s="1050" t="s">
        <v>4555</v>
      </c>
    </row>
    <row r="911" spans="1:31" s="634" customFormat="1" ht="15" hidden="1" customHeight="1" thickBot="1">
      <c r="A911" s="2116" t="s">
        <v>25</v>
      </c>
      <c r="B911" s="2116" t="s">
        <v>25</v>
      </c>
      <c r="C911" s="2117" t="s">
        <v>4524</v>
      </c>
      <c r="D911" s="2117" t="s">
        <v>4525</v>
      </c>
      <c r="E911" s="2117" t="s">
        <v>4526</v>
      </c>
      <c r="F911" s="2117">
        <v>708717187</v>
      </c>
      <c r="G911" s="2117">
        <v>500172205</v>
      </c>
      <c r="H911" s="2118">
        <v>5.8337700000000003</v>
      </c>
      <c r="I911" s="2118">
        <v>-5.3572899999999999</v>
      </c>
      <c r="J911" s="2117" t="s">
        <v>36</v>
      </c>
      <c r="K911" s="2118" t="s">
        <v>274</v>
      </c>
      <c r="L911" s="2118" t="s">
        <v>4543</v>
      </c>
      <c r="M911" s="2119" t="s">
        <v>4559</v>
      </c>
      <c r="N911" s="2119">
        <v>2150051452</v>
      </c>
      <c r="O911" s="2120">
        <v>46005</v>
      </c>
      <c r="P911" s="2118"/>
      <c r="Q911" s="2120">
        <v>46007</v>
      </c>
      <c r="R911" s="2116" t="s">
        <v>2641</v>
      </c>
      <c r="S911" s="2116"/>
      <c r="T911" s="2116">
        <v>1</v>
      </c>
      <c r="U911" s="2121">
        <v>46009</v>
      </c>
      <c r="V911" s="2116" t="s">
        <v>310</v>
      </c>
      <c r="W911" s="2116">
        <v>200</v>
      </c>
      <c r="X911" s="2116" t="s">
        <v>32</v>
      </c>
      <c r="Y911" s="1045"/>
      <c r="Z911" s="1049"/>
      <c r="AA911" s="2122" t="s">
        <v>532</v>
      </c>
      <c r="AB911" s="2122" t="s">
        <v>16</v>
      </c>
      <c r="AC911" s="2122" t="s">
        <v>4556</v>
      </c>
    </row>
    <row r="912" spans="1:31" ht="15" hidden="1" customHeight="1" thickBot="1">
      <c r="A912" s="1079" t="s">
        <v>25</v>
      </c>
      <c r="B912" s="1088" t="s">
        <v>25</v>
      </c>
      <c r="C912" s="1105" t="s">
        <v>4547</v>
      </c>
      <c r="D912" s="1105" t="s">
        <v>4548</v>
      </c>
      <c r="E912" s="1105" t="s">
        <v>35</v>
      </c>
      <c r="F912" s="1105">
        <v>103383308</v>
      </c>
      <c r="G912" s="1105">
        <v>757420372</v>
      </c>
      <c r="H912" s="1123">
        <v>5.8404199999999999</v>
      </c>
      <c r="I912" s="1123">
        <v>-5.3612799999999998</v>
      </c>
      <c r="J912" s="1105" t="s">
        <v>36</v>
      </c>
      <c r="K912" s="1123" t="s">
        <v>190</v>
      </c>
      <c r="L912" s="1123" t="s">
        <v>276</v>
      </c>
      <c r="M912" s="1140" t="s">
        <v>4562</v>
      </c>
      <c r="N912" s="1159">
        <v>2150051461</v>
      </c>
      <c r="O912" s="1182">
        <v>46006</v>
      </c>
      <c r="P912" s="1123"/>
      <c r="Q912" s="1182">
        <v>46009</v>
      </c>
      <c r="R912" s="1088" t="s">
        <v>2641</v>
      </c>
      <c r="S912" s="1088"/>
      <c r="T912" s="1088">
        <v>0</v>
      </c>
      <c r="U912" s="1219">
        <v>46009</v>
      </c>
      <c r="V912" s="1088" t="s">
        <v>310</v>
      </c>
      <c r="W912" s="1088">
        <v>200</v>
      </c>
      <c r="X912" s="1088" t="s">
        <v>32</v>
      </c>
      <c r="Y912" s="1236"/>
      <c r="Z912" s="1054"/>
      <c r="AA912" s="1053" t="s">
        <v>532</v>
      </c>
      <c r="AB912" s="1053" t="s">
        <v>16</v>
      </c>
      <c r="AC912" s="1053" t="s">
        <v>4603</v>
      </c>
    </row>
    <row r="913" spans="1:31" ht="15" hidden="1" customHeight="1" thickBot="1">
      <c r="A913" s="1070" t="s">
        <v>25</v>
      </c>
      <c r="B913" s="1085" t="s">
        <v>25</v>
      </c>
      <c r="C913" s="1094" t="s">
        <v>4000</v>
      </c>
      <c r="D913" s="1094" t="s">
        <v>4001</v>
      </c>
      <c r="E913" s="1094" t="s">
        <v>84</v>
      </c>
      <c r="F913" s="1094">
        <v>101899863</v>
      </c>
      <c r="G913" s="1094">
        <v>759011865</v>
      </c>
      <c r="H913" s="1116">
        <v>5.8364200000000004</v>
      </c>
      <c r="I913" s="1116">
        <v>-5.3636400000000002</v>
      </c>
      <c r="J913" s="1094" t="s">
        <v>36</v>
      </c>
      <c r="K913" s="1116" t="s">
        <v>203</v>
      </c>
      <c r="L913" s="1116" t="s">
        <v>4111</v>
      </c>
      <c r="M913" s="1133" t="s">
        <v>4558</v>
      </c>
      <c r="N913" s="1155">
        <v>2150051462</v>
      </c>
      <c r="O913" s="1166">
        <v>45972</v>
      </c>
      <c r="P913" s="1116">
        <v>22</v>
      </c>
      <c r="Q913" s="1166">
        <v>45974</v>
      </c>
      <c r="R913" s="1085" t="s">
        <v>2641</v>
      </c>
      <c r="S913" s="1085"/>
      <c r="T913" s="1085">
        <v>0</v>
      </c>
      <c r="U913" s="1210">
        <v>46009</v>
      </c>
      <c r="V913" s="1085" t="s">
        <v>310</v>
      </c>
      <c r="W913" s="1085">
        <v>100</v>
      </c>
      <c r="X913" s="1085" t="s">
        <v>32</v>
      </c>
      <c r="Y913" s="1236"/>
      <c r="Z913" s="1054"/>
      <c r="AA913" s="1055" t="s">
        <v>532</v>
      </c>
      <c r="AB913" s="1055" t="s">
        <v>16</v>
      </c>
      <c r="AC913" s="1055" t="s">
        <v>4585</v>
      </c>
    </row>
    <row r="914" spans="1:31" ht="15" hidden="1" customHeight="1" thickBot="1">
      <c r="A914" s="1083" t="s">
        <v>25</v>
      </c>
      <c r="B914" s="1091" t="s">
        <v>25</v>
      </c>
      <c r="C914" s="1109" t="s">
        <v>4549</v>
      </c>
      <c r="D914" s="1109" t="s">
        <v>2748</v>
      </c>
      <c r="E914" s="1109" t="s">
        <v>667</v>
      </c>
      <c r="F914" s="1109">
        <v>768146374</v>
      </c>
      <c r="G914" s="1109">
        <v>768146374</v>
      </c>
      <c r="H914" s="1127">
        <v>5.8474899999999996</v>
      </c>
      <c r="I914" s="1127">
        <v>-5.3559799999999997</v>
      </c>
      <c r="J914" s="1109" t="s">
        <v>189</v>
      </c>
      <c r="K914" s="1127" t="s">
        <v>203</v>
      </c>
      <c r="L914" s="1127" t="s">
        <v>672</v>
      </c>
      <c r="M914" s="1147" t="s">
        <v>4565</v>
      </c>
      <c r="N914" s="1163">
        <v>2150051455</v>
      </c>
      <c r="O914" s="1186">
        <v>46006</v>
      </c>
      <c r="P914" s="1127"/>
      <c r="Q914" s="1186">
        <v>46009</v>
      </c>
      <c r="R914" s="1091" t="s">
        <v>2641</v>
      </c>
      <c r="S914" s="1091"/>
      <c r="T914" s="1091">
        <v>0</v>
      </c>
      <c r="U914" s="1222">
        <v>46010</v>
      </c>
      <c r="V914" s="1091" t="s">
        <v>310</v>
      </c>
      <c r="W914" s="1091">
        <v>100</v>
      </c>
      <c r="X914" s="1091" t="s">
        <v>32</v>
      </c>
      <c r="Y914" s="1246"/>
      <c r="Z914" s="1054"/>
      <c r="AA914" s="1055" t="s">
        <v>532</v>
      </c>
      <c r="AB914" s="1055" t="s">
        <v>16</v>
      </c>
      <c r="AC914" s="1055" t="s">
        <v>4588</v>
      </c>
    </row>
    <row r="915" spans="1:31" s="1027" customFormat="1" ht="15" hidden="1" customHeight="1" thickBot="1">
      <c r="A915" s="949" t="s">
        <v>25</v>
      </c>
      <c r="B915" s="949" t="s">
        <v>25</v>
      </c>
      <c r="C915" s="954" t="s">
        <v>4552</v>
      </c>
      <c r="D915" s="954" t="s">
        <v>4553</v>
      </c>
      <c r="E915" s="954" t="s">
        <v>667</v>
      </c>
      <c r="F915" s="954">
        <v>565107155</v>
      </c>
      <c r="G915" s="954">
        <v>565107155</v>
      </c>
      <c r="H915" s="1047">
        <v>5.8486599999999997</v>
      </c>
      <c r="I915" s="1047">
        <v>-5.35555</v>
      </c>
      <c r="J915" s="954" t="s">
        <v>189</v>
      </c>
      <c r="K915" s="1047" t="s">
        <v>198</v>
      </c>
      <c r="L915" s="1047" t="s">
        <v>2880</v>
      </c>
      <c r="M915" s="947" t="s">
        <v>4566</v>
      </c>
      <c r="N915" s="948">
        <v>2150051467</v>
      </c>
      <c r="O915" s="955">
        <v>46006</v>
      </c>
      <c r="P915" s="1047"/>
      <c r="Q915" s="955">
        <v>46009</v>
      </c>
      <c r="R915" s="949" t="s">
        <v>2641</v>
      </c>
      <c r="S915" s="949"/>
      <c r="T915" s="949">
        <v>2</v>
      </c>
      <c r="U915" s="1048">
        <v>46010</v>
      </c>
      <c r="V915" s="949" t="s">
        <v>310</v>
      </c>
      <c r="W915" s="949">
        <v>250</v>
      </c>
      <c r="X915" s="949" t="s">
        <v>32</v>
      </c>
      <c r="Y915" s="1049"/>
      <c r="Z915" s="1056"/>
      <c r="AA915" s="236" t="s">
        <v>1427</v>
      </c>
      <c r="AB915" s="236" t="s">
        <v>16</v>
      </c>
      <c r="AC915" s="236" t="s">
        <v>4586</v>
      </c>
      <c r="AD915" s="1052"/>
      <c r="AE915" s="1051"/>
    </row>
    <row r="916" spans="1:31" s="1027" customFormat="1" ht="15" hidden="1" customHeight="1" thickBot="1">
      <c r="A916" s="1554" t="s">
        <v>25</v>
      </c>
      <c r="B916" s="1554" t="s">
        <v>25</v>
      </c>
      <c r="C916" s="1104" t="s">
        <v>4580</v>
      </c>
      <c r="D916" s="1104" t="s">
        <v>4602</v>
      </c>
      <c r="E916" s="1104" t="s">
        <v>4581</v>
      </c>
      <c r="F916" s="1104">
        <v>709277477</v>
      </c>
      <c r="G916" s="1104">
        <v>709277477</v>
      </c>
      <c r="H916" s="1589">
        <v>5.8473499999999996</v>
      </c>
      <c r="I916" s="1589">
        <v>-5.3544700000000001</v>
      </c>
      <c r="J916" s="1104" t="s">
        <v>189</v>
      </c>
      <c r="K916" s="1589" t="s">
        <v>198</v>
      </c>
      <c r="L916" s="1589" t="s">
        <v>1868</v>
      </c>
      <c r="M916" s="1405" t="s">
        <v>4589</v>
      </c>
      <c r="N916" s="1405">
        <v>2150051453</v>
      </c>
      <c r="O916" s="1590">
        <v>46009</v>
      </c>
      <c r="P916" s="1591"/>
      <c r="Q916" s="1590">
        <v>46010</v>
      </c>
      <c r="R916" s="1554" t="s">
        <v>2641</v>
      </c>
      <c r="S916" s="1405"/>
      <c r="T916" s="1554">
        <v>0</v>
      </c>
      <c r="U916" s="1588">
        <v>46011</v>
      </c>
      <c r="V916" s="1554" t="s">
        <v>310</v>
      </c>
      <c r="W916" s="1554">
        <v>150</v>
      </c>
      <c r="X916" s="1554" t="s">
        <v>32</v>
      </c>
      <c r="Y916" s="1235"/>
      <c r="Z916" s="1056"/>
      <c r="AA916" s="1326" t="s">
        <v>1427</v>
      </c>
      <c r="AB916" s="1326" t="s">
        <v>16</v>
      </c>
      <c r="AC916" s="1326" t="s">
        <v>4582</v>
      </c>
      <c r="AD916" s="1052"/>
      <c r="AE916" s="1051"/>
    </row>
    <row r="917" spans="1:31" s="1346" customFormat="1" ht="15" customHeight="1" thickBot="1">
      <c r="A917" s="169" t="s">
        <v>25</v>
      </c>
      <c r="B917" s="169" t="s">
        <v>25</v>
      </c>
      <c r="C917" s="1308" t="s">
        <v>4573</v>
      </c>
      <c r="D917" s="1308" t="s">
        <v>4006</v>
      </c>
      <c r="E917" s="1308" t="s">
        <v>4574</v>
      </c>
      <c r="F917" s="1308">
        <v>709808586</v>
      </c>
      <c r="G917" s="1308">
        <v>709808586</v>
      </c>
      <c r="H917" s="219">
        <v>5.8193700000000002</v>
      </c>
      <c r="I917" s="219">
        <v>-5.3673299999999999</v>
      </c>
      <c r="J917" s="1308" t="s">
        <v>2612</v>
      </c>
      <c r="K917" s="219" t="s">
        <v>198</v>
      </c>
      <c r="L917" s="219" t="s">
        <v>4584</v>
      </c>
      <c r="M917" s="169" t="s">
        <v>4591</v>
      </c>
      <c r="N917" s="169">
        <v>2150051471</v>
      </c>
      <c r="O917" s="1309">
        <v>46008</v>
      </c>
      <c r="P917" s="219"/>
      <c r="Q917" s="1309">
        <v>46010</v>
      </c>
      <c r="R917" s="169" t="s">
        <v>2641</v>
      </c>
      <c r="S917" s="169"/>
      <c r="T917" s="169">
        <v>2</v>
      </c>
      <c r="U917" s="1043">
        <v>46011</v>
      </c>
      <c r="V917" s="169" t="s">
        <v>310</v>
      </c>
      <c r="W917" s="169">
        <v>150</v>
      </c>
      <c r="X917" s="169" t="s">
        <v>32</v>
      </c>
      <c r="Y917" s="169"/>
      <c r="Z917" s="664"/>
      <c r="AA917" s="236" t="s">
        <v>1427</v>
      </c>
      <c r="AB917" s="236" t="s">
        <v>16</v>
      </c>
      <c r="AC917" s="236" t="s">
        <v>4600</v>
      </c>
      <c r="AD917" s="1052"/>
      <c r="AE917" s="1051"/>
    </row>
    <row r="918" spans="1:31" s="1346" customFormat="1" ht="15" customHeight="1" thickBot="1">
      <c r="A918" s="169" t="s">
        <v>25</v>
      </c>
      <c r="B918" s="169" t="s">
        <v>25</v>
      </c>
      <c r="C918" s="1308" t="s">
        <v>4572</v>
      </c>
      <c r="D918" s="1308" t="s">
        <v>303</v>
      </c>
      <c r="E918" s="1308" t="s">
        <v>4569</v>
      </c>
      <c r="F918" s="1308">
        <v>709808586</v>
      </c>
      <c r="G918" s="1308">
        <v>709808586</v>
      </c>
      <c r="H918" s="219">
        <v>5.819</v>
      </c>
      <c r="I918" s="219">
        <v>-5.3671199999999999</v>
      </c>
      <c r="J918" s="1308" t="s">
        <v>2612</v>
      </c>
      <c r="K918" s="219" t="s">
        <v>198</v>
      </c>
      <c r="L918" s="219" t="s">
        <v>4584</v>
      </c>
      <c r="M918" s="169" t="s">
        <v>4590</v>
      </c>
      <c r="N918" s="169">
        <v>2150051464</v>
      </c>
      <c r="O918" s="1309">
        <v>46008</v>
      </c>
      <c r="P918" s="219"/>
      <c r="Q918" s="1309">
        <v>46010</v>
      </c>
      <c r="R918" s="169" t="s">
        <v>2641</v>
      </c>
      <c r="S918" s="169"/>
      <c r="T918" s="169">
        <v>1</v>
      </c>
      <c r="U918" s="1043">
        <v>46011</v>
      </c>
      <c r="V918" s="169" t="s">
        <v>310</v>
      </c>
      <c r="W918" s="169">
        <v>250</v>
      </c>
      <c r="X918" s="169" t="s">
        <v>32</v>
      </c>
      <c r="Y918" s="169"/>
      <c r="Z918" s="664"/>
      <c r="AA918" s="236" t="s">
        <v>1427</v>
      </c>
      <c r="AB918" s="236" t="s">
        <v>16</v>
      </c>
      <c r="AC918" s="236" t="s">
        <v>4601</v>
      </c>
      <c r="AD918" s="1052"/>
      <c r="AE918" s="1051"/>
    </row>
    <row r="919" spans="1:31" s="634" customFormat="1" ht="15" hidden="1" customHeight="1">
      <c r="A919" s="2123" t="s">
        <v>25</v>
      </c>
      <c r="B919" s="2123" t="s">
        <v>25</v>
      </c>
      <c r="C919" s="1797" t="s">
        <v>4575</v>
      </c>
      <c r="D919" s="1797" t="s">
        <v>4576</v>
      </c>
      <c r="E919" s="1797" t="s">
        <v>2209</v>
      </c>
      <c r="F919" s="1797">
        <v>709190616</v>
      </c>
      <c r="G919" s="1797">
        <v>700897897</v>
      </c>
      <c r="H919" s="2067">
        <v>5.8399700000000001</v>
      </c>
      <c r="I919" s="2067">
        <v>-5.3544799999999997</v>
      </c>
      <c r="J919" s="1797" t="s">
        <v>189</v>
      </c>
      <c r="K919" s="2067" t="s">
        <v>190</v>
      </c>
      <c r="L919" s="2067" t="s">
        <v>411</v>
      </c>
      <c r="M919" s="2011" t="s">
        <v>4604</v>
      </c>
      <c r="N919" s="2124">
        <v>2150049714</v>
      </c>
      <c r="O919" s="1799">
        <v>46009</v>
      </c>
      <c r="P919" s="2067"/>
      <c r="Q919" s="1799">
        <v>46010</v>
      </c>
      <c r="R919" s="2123" t="s">
        <v>2641</v>
      </c>
      <c r="S919" s="2123"/>
      <c r="T919" s="2123">
        <v>0</v>
      </c>
      <c r="U919" s="2125">
        <v>46013</v>
      </c>
      <c r="V919" s="2123" t="s">
        <v>310</v>
      </c>
      <c r="W919" s="2123">
        <v>350</v>
      </c>
      <c r="X919" s="2123" t="s">
        <v>32</v>
      </c>
      <c r="Y919" s="1056"/>
      <c r="Z919" s="628"/>
      <c r="AA919" s="2126" t="s">
        <v>1427</v>
      </c>
      <c r="AB919" s="2126" t="s">
        <v>16</v>
      </c>
      <c r="AC919" s="2126" t="s">
        <v>4587</v>
      </c>
    </row>
    <row r="920" spans="1:31" s="634" customFormat="1" ht="15" customHeight="1">
      <c r="A920" s="664" t="s">
        <v>25</v>
      </c>
      <c r="B920" s="664" t="s">
        <v>25</v>
      </c>
      <c r="C920" s="235" t="s">
        <v>4570</v>
      </c>
      <c r="D920" s="235" t="s">
        <v>4571</v>
      </c>
      <c r="E920" s="235" t="s">
        <v>3400</v>
      </c>
      <c r="F920" s="235">
        <v>152583242</v>
      </c>
      <c r="G920" s="235">
        <v>767473781</v>
      </c>
      <c r="H920" s="236">
        <v>5.8284500000000001</v>
      </c>
      <c r="I920" s="236">
        <v>-5.3630500000000003</v>
      </c>
      <c r="J920" s="235" t="s">
        <v>2612</v>
      </c>
      <c r="K920" s="236" t="s">
        <v>274</v>
      </c>
      <c r="L920" s="236" t="s">
        <v>3554</v>
      </c>
      <c r="M920" s="237" t="s">
        <v>4607</v>
      </c>
      <c r="N920" s="237">
        <v>2150049713</v>
      </c>
      <c r="O920" s="238">
        <v>46008</v>
      </c>
      <c r="P920" s="236"/>
      <c r="Q920" s="238">
        <v>46010</v>
      </c>
      <c r="R920" s="664" t="s">
        <v>2641</v>
      </c>
      <c r="S920" s="664"/>
      <c r="T920" s="664">
        <v>1</v>
      </c>
      <c r="U920" s="997">
        <v>46013</v>
      </c>
      <c r="V920" s="664" t="s">
        <v>310</v>
      </c>
      <c r="W920" s="664">
        <v>200</v>
      </c>
      <c r="X920" s="664" t="s">
        <v>32</v>
      </c>
      <c r="Y920" s="664"/>
      <c r="Z920" s="26"/>
      <c r="AA920" s="26" t="s">
        <v>1427</v>
      </c>
      <c r="AB920" s="26" t="s">
        <v>16</v>
      </c>
      <c r="AC920" s="26" t="s">
        <v>4610</v>
      </c>
    </row>
    <row r="921" spans="1:31" s="634" customFormat="1" ht="15" customHeight="1" thickBot="1">
      <c r="A921" s="664" t="s">
        <v>25</v>
      </c>
      <c r="B921" s="664" t="s">
        <v>25</v>
      </c>
      <c r="C921" s="664" t="s">
        <v>4599</v>
      </c>
      <c r="D921" s="664" t="s">
        <v>3311</v>
      </c>
      <c r="E921" s="664" t="s">
        <v>4569</v>
      </c>
      <c r="F921" s="664">
        <v>505038824</v>
      </c>
      <c r="G921" s="664">
        <v>708763060</v>
      </c>
      <c r="H921" s="236">
        <v>5.8203699999999996</v>
      </c>
      <c r="I921" s="236">
        <v>-5.3653399999999998</v>
      </c>
      <c r="J921" s="664" t="s">
        <v>2612</v>
      </c>
      <c r="K921" s="236" t="s">
        <v>198</v>
      </c>
      <c r="L921" s="236" t="s">
        <v>3605</v>
      </c>
      <c r="M921" s="237" t="s">
        <v>4606</v>
      </c>
      <c r="N921" s="237">
        <v>2150049712</v>
      </c>
      <c r="O921" s="997">
        <v>46008</v>
      </c>
      <c r="P921" s="236"/>
      <c r="Q921" s="997">
        <v>46011</v>
      </c>
      <c r="R921" s="664" t="s">
        <v>2641</v>
      </c>
      <c r="S921" s="664"/>
      <c r="T921" s="664">
        <v>0</v>
      </c>
      <c r="U921" s="997">
        <v>46013</v>
      </c>
      <c r="V921" s="664" t="s">
        <v>310</v>
      </c>
      <c r="W921" s="664">
        <v>100</v>
      </c>
      <c r="X921" s="664" t="s">
        <v>32</v>
      </c>
      <c r="Y921" s="664"/>
      <c r="Z921" s="26"/>
      <c r="AA921" s="26" t="s">
        <v>1427</v>
      </c>
      <c r="AB921" s="26" t="s">
        <v>16</v>
      </c>
      <c r="AC921" s="26" t="s">
        <v>4611</v>
      </c>
    </row>
    <row r="922" spans="1:31" s="634" customFormat="1" ht="15" customHeight="1" thickBot="1">
      <c r="A922" s="664" t="s">
        <v>25</v>
      </c>
      <c r="B922" s="664" t="s">
        <v>25</v>
      </c>
      <c r="C922" s="664" t="s">
        <v>4597</v>
      </c>
      <c r="D922" s="664" t="s">
        <v>4598</v>
      </c>
      <c r="E922" s="664" t="s">
        <v>3326</v>
      </c>
      <c r="F922" s="664">
        <v>757410373</v>
      </c>
      <c r="G922" s="664">
        <v>757410373</v>
      </c>
      <c r="H922" s="236">
        <v>5.8111100000000002</v>
      </c>
      <c r="I922" s="236">
        <v>-5.3654400000000004</v>
      </c>
      <c r="J922" s="664" t="s">
        <v>2612</v>
      </c>
      <c r="K922" s="236" t="s">
        <v>203</v>
      </c>
      <c r="L922" s="236" t="s">
        <v>4033</v>
      </c>
      <c r="M922" s="237" t="s">
        <v>4608</v>
      </c>
      <c r="N922" s="237">
        <v>2150049722</v>
      </c>
      <c r="O922" s="997">
        <v>46006</v>
      </c>
      <c r="P922" s="236"/>
      <c r="Q922" s="997">
        <v>46011</v>
      </c>
      <c r="R922" s="664" t="s">
        <v>2641</v>
      </c>
      <c r="S922" s="664"/>
      <c r="T922" s="664">
        <v>1</v>
      </c>
      <c r="U922" s="997">
        <v>46013</v>
      </c>
      <c r="V922" s="664" t="s">
        <v>310</v>
      </c>
      <c r="W922" s="664">
        <v>250</v>
      </c>
      <c r="X922" s="664" t="s">
        <v>32</v>
      </c>
      <c r="Y922" s="664"/>
      <c r="Z922" s="26"/>
      <c r="AA922" s="26" t="s">
        <v>1427</v>
      </c>
      <c r="AB922" s="91" t="s">
        <v>16</v>
      </c>
      <c r="AC922" s="26" t="s">
        <v>4538</v>
      </c>
      <c r="AD922" s="1052"/>
      <c r="AE922" s="1051"/>
    </row>
    <row r="923" spans="1:31" s="634" customFormat="1" ht="15" hidden="1" customHeight="1" thickBot="1">
      <c r="A923" s="2097" t="s">
        <v>25</v>
      </c>
      <c r="B923" s="2097" t="s">
        <v>25</v>
      </c>
      <c r="C923" s="1838" t="s">
        <v>4577</v>
      </c>
      <c r="D923" s="1838" t="s">
        <v>4578</v>
      </c>
      <c r="E923" s="1838" t="s">
        <v>4579</v>
      </c>
      <c r="F923" s="1838">
        <v>747094646</v>
      </c>
      <c r="G923" s="1838">
        <v>505000334</v>
      </c>
      <c r="H923" s="2098">
        <v>5.8455599999999999</v>
      </c>
      <c r="I923" s="2098">
        <v>-5.3574400000000004</v>
      </c>
      <c r="J923" s="1838" t="s">
        <v>36</v>
      </c>
      <c r="K923" s="2098" t="s">
        <v>190</v>
      </c>
      <c r="L923" s="2098" t="s">
        <v>2802</v>
      </c>
      <c r="M923" s="2127" t="s">
        <v>4605</v>
      </c>
      <c r="N923" s="2128">
        <v>2150049715</v>
      </c>
      <c r="O923" s="1842">
        <v>46009</v>
      </c>
      <c r="P923" s="2098"/>
      <c r="Q923" s="1842">
        <v>46010</v>
      </c>
      <c r="R923" s="2097" t="s">
        <v>2641</v>
      </c>
      <c r="S923" s="2097"/>
      <c r="T923" s="2097">
        <v>0</v>
      </c>
      <c r="U923" s="2129">
        <v>46014</v>
      </c>
      <c r="V923" s="2097" t="s">
        <v>310</v>
      </c>
      <c r="W923" s="2097">
        <v>200</v>
      </c>
      <c r="X923" s="2097" t="s">
        <v>32</v>
      </c>
      <c r="Y923" s="628"/>
      <c r="Z923" s="626"/>
      <c r="AA923" s="2130" t="s">
        <v>532</v>
      </c>
      <c r="AB923" s="2131" t="s">
        <v>16</v>
      </c>
      <c r="AC923" s="2131" t="s">
        <v>4621</v>
      </c>
    </row>
    <row r="924" spans="1:31" s="634" customFormat="1" ht="15" hidden="1" customHeight="1" thickBot="1">
      <c r="A924" s="91" t="s">
        <v>25</v>
      </c>
      <c r="B924" s="91" t="s">
        <v>25</v>
      </c>
      <c r="C924" s="1007" t="s">
        <v>4592</v>
      </c>
      <c r="D924" s="1007" t="s">
        <v>4593</v>
      </c>
      <c r="E924" s="1007" t="s">
        <v>4594</v>
      </c>
      <c r="F924" s="1007">
        <v>709329966</v>
      </c>
      <c r="G924" s="1007">
        <v>709329966</v>
      </c>
      <c r="H924" s="26">
        <v>5.8460700000000001</v>
      </c>
      <c r="I924" s="26">
        <v>-5.3525799999999997</v>
      </c>
      <c r="J924" s="1007" t="s">
        <v>189</v>
      </c>
      <c r="K924" s="26" t="s">
        <v>274</v>
      </c>
      <c r="L924" s="26" t="s">
        <v>4609</v>
      </c>
      <c r="M924" s="1132" t="s">
        <v>4613</v>
      </c>
      <c r="N924" s="1154">
        <v>2150049724</v>
      </c>
      <c r="O924" s="1008">
        <v>45997</v>
      </c>
      <c r="P924" s="26"/>
      <c r="Q924" s="1008">
        <v>46011</v>
      </c>
      <c r="R924" s="91" t="s">
        <v>2641</v>
      </c>
      <c r="S924" s="91"/>
      <c r="T924" s="91">
        <v>2</v>
      </c>
      <c r="U924" s="50">
        <v>46014</v>
      </c>
      <c r="V924" s="91" t="s">
        <v>310</v>
      </c>
      <c r="W924" s="91">
        <v>300</v>
      </c>
      <c r="X924" s="91" t="s">
        <v>32</v>
      </c>
      <c r="Y924" s="628"/>
      <c r="Z924" s="626"/>
      <c r="AA924" s="164" t="s">
        <v>532</v>
      </c>
      <c r="AB924" s="16" t="s">
        <v>16</v>
      </c>
      <c r="AC924" s="16" t="s">
        <v>4622</v>
      </c>
    </row>
    <row r="925" spans="1:31" s="634" customFormat="1" ht="15" hidden="1" customHeight="1" thickBot="1">
      <c r="A925" s="1572" t="s">
        <v>25</v>
      </c>
      <c r="B925" s="1572" t="s">
        <v>25</v>
      </c>
      <c r="C925" s="1592" t="s">
        <v>4595</v>
      </c>
      <c r="D925" s="1592" t="s">
        <v>4596</v>
      </c>
      <c r="E925" s="1592" t="s">
        <v>621</v>
      </c>
      <c r="F925" s="1592">
        <v>101070474</v>
      </c>
      <c r="G925" s="1592">
        <v>507025744</v>
      </c>
      <c r="H925" s="1583">
        <v>5.8526499999999997</v>
      </c>
      <c r="I925" s="1583">
        <v>-5.3502200000000002</v>
      </c>
      <c r="J925" s="1592" t="s">
        <v>189</v>
      </c>
      <c r="K925" s="1583" t="s">
        <v>198</v>
      </c>
      <c r="L925" s="1583" t="s">
        <v>712</v>
      </c>
      <c r="M925" s="1593" t="s">
        <v>4612</v>
      </c>
      <c r="N925" s="1594">
        <v>2150049723</v>
      </c>
      <c r="O925" s="1595">
        <v>46001</v>
      </c>
      <c r="P925" s="1583"/>
      <c r="Q925" s="1595">
        <v>46011</v>
      </c>
      <c r="R925" s="1572" t="s">
        <v>2641</v>
      </c>
      <c r="S925" s="1572"/>
      <c r="T925" s="1572">
        <v>1</v>
      </c>
      <c r="U925" s="1596">
        <v>46014</v>
      </c>
      <c r="V925" s="1572" t="s">
        <v>310</v>
      </c>
      <c r="W925" s="1572">
        <v>250</v>
      </c>
      <c r="X925" s="1572" t="s">
        <v>32</v>
      </c>
      <c r="Y925" s="628"/>
      <c r="Z925" s="626"/>
      <c r="AA925" s="1597" t="s">
        <v>532</v>
      </c>
      <c r="AB925" s="1598" t="s">
        <v>16</v>
      </c>
      <c r="AC925" s="1598" t="s">
        <v>4623</v>
      </c>
    </row>
    <row r="926" spans="1:31" ht="15" customHeight="1">
      <c r="A926" s="91" t="s">
        <v>25</v>
      </c>
      <c r="B926" s="91" t="s">
        <v>25</v>
      </c>
      <c r="C926" s="2264" t="s">
        <v>4454</v>
      </c>
      <c r="D926" s="2264" t="s">
        <v>3499</v>
      </c>
      <c r="E926" s="2264" t="s">
        <v>3058</v>
      </c>
      <c r="F926" s="2264">
        <v>708190147</v>
      </c>
      <c r="G926" s="2264">
        <v>506590504</v>
      </c>
      <c r="H926" s="26"/>
      <c r="I926" s="26"/>
      <c r="J926" s="2264" t="s">
        <v>2612</v>
      </c>
      <c r="K926" s="26" t="s">
        <v>190</v>
      </c>
      <c r="L926" s="26" t="s">
        <v>3194</v>
      </c>
      <c r="M926" s="48" t="s">
        <v>4564</v>
      </c>
      <c r="N926" s="48">
        <v>2150051463</v>
      </c>
      <c r="O926" s="2265">
        <v>46000</v>
      </c>
      <c r="P926" s="26"/>
      <c r="Q926" s="2265">
        <v>46002</v>
      </c>
      <c r="R926" s="91" t="s">
        <v>2641</v>
      </c>
      <c r="S926" s="91"/>
      <c r="T926" s="91">
        <v>0</v>
      </c>
      <c r="U926" s="50">
        <v>46014</v>
      </c>
      <c r="V926" s="91" t="s">
        <v>310</v>
      </c>
      <c r="W926" s="91">
        <v>200</v>
      </c>
      <c r="X926" s="91" t="s">
        <v>32</v>
      </c>
      <c r="Y926" s="26"/>
      <c r="Z926" s="1071"/>
      <c r="AA926" s="1071" t="s">
        <v>532</v>
      </c>
      <c r="AB926" s="1071" t="s">
        <v>16</v>
      </c>
      <c r="AC926" s="1071" t="s">
        <v>4645</v>
      </c>
    </row>
    <row r="927" spans="1:31" ht="15" customHeight="1">
      <c r="A927" s="164" t="s">
        <v>25</v>
      </c>
      <c r="B927" s="164" t="s">
        <v>25</v>
      </c>
      <c r="C927" s="13" t="s">
        <v>4614</v>
      </c>
      <c r="D927" s="13" t="s">
        <v>4615</v>
      </c>
      <c r="E927" s="13" t="s">
        <v>3053</v>
      </c>
      <c r="F927" s="13">
        <v>141054846</v>
      </c>
      <c r="G927" s="13">
        <v>709879352</v>
      </c>
      <c r="H927" s="16">
        <v>5.8193099999999998</v>
      </c>
      <c r="I927" s="16">
        <v>-5.3617299999999997</v>
      </c>
      <c r="J927" s="13" t="s">
        <v>2612</v>
      </c>
      <c r="K927" s="16" t="s">
        <v>190</v>
      </c>
      <c r="L927" s="16" t="s">
        <v>4296</v>
      </c>
      <c r="M927" s="22" t="s">
        <v>4626</v>
      </c>
      <c r="N927" s="22">
        <v>2150049718</v>
      </c>
      <c r="O927" s="19">
        <v>46011</v>
      </c>
      <c r="P927" s="16"/>
      <c r="Q927" s="19">
        <v>46014</v>
      </c>
      <c r="R927" s="164" t="s">
        <v>2641</v>
      </c>
      <c r="S927" s="164"/>
      <c r="T927" s="164">
        <v>0</v>
      </c>
      <c r="U927" s="165">
        <v>46015</v>
      </c>
      <c r="V927" s="164" t="s">
        <v>310</v>
      </c>
      <c r="W927" s="164">
        <v>200</v>
      </c>
      <c r="X927" s="164" t="s">
        <v>32</v>
      </c>
      <c r="Y927" s="16"/>
      <c r="Z927" s="1071"/>
      <c r="AA927" s="1071" t="s">
        <v>532</v>
      </c>
      <c r="AB927" s="1071" t="s">
        <v>16</v>
      </c>
      <c r="AC927" s="1071" t="s">
        <v>4642</v>
      </c>
    </row>
    <row r="928" spans="1:31" ht="15" hidden="1" customHeight="1" thickBot="1">
      <c r="A928" s="2132" t="s">
        <v>25</v>
      </c>
      <c r="B928" s="2133" t="s">
        <v>25</v>
      </c>
      <c r="C928" s="2134" t="s">
        <v>4616</v>
      </c>
      <c r="D928" s="2134" t="s">
        <v>4617</v>
      </c>
      <c r="E928" s="2134" t="s">
        <v>4618</v>
      </c>
      <c r="F928" s="2134">
        <v>702099365</v>
      </c>
      <c r="G928" s="2134">
        <v>778883164</v>
      </c>
      <c r="H928" s="2135">
        <v>5.8356899999999996</v>
      </c>
      <c r="I928" s="2135">
        <v>5.3617600000000003</v>
      </c>
      <c r="J928" s="2134" t="s">
        <v>36</v>
      </c>
      <c r="K928" s="2135" t="s">
        <v>198</v>
      </c>
      <c r="L928" s="2135" t="s">
        <v>3125</v>
      </c>
      <c r="M928" s="2136" t="s">
        <v>4625</v>
      </c>
      <c r="N928" s="2137">
        <v>2150049717</v>
      </c>
      <c r="O928" s="2138">
        <v>46012</v>
      </c>
      <c r="P928" s="2135"/>
      <c r="Q928" s="2138">
        <v>46014</v>
      </c>
      <c r="R928" s="2133" t="s">
        <v>2641</v>
      </c>
      <c r="S928" s="2133"/>
      <c r="T928" s="2133">
        <v>0</v>
      </c>
      <c r="U928" s="2139">
        <v>46015</v>
      </c>
      <c r="V928" s="2133" t="s">
        <v>310</v>
      </c>
      <c r="W928" s="2133">
        <v>200</v>
      </c>
      <c r="X928" s="2133" t="s">
        <v>32</v>
      </c>
      <c r="Y928" s="2140"/>
      <c r="Z928" s="2141"/>
      <c r="AA928" s="2142" t="s">
        <v>532</v>
      </c>
      <c r="AB928" s="2142" t="s">
        <v>16</v>
      </c>
      <c r="AC928" s="2143" t="s">
        <v>4648</v>
      </c>
    </row>
    <row r="929" spans="1:31" ht="15" hidden="1" customHeight="1" thickBot="1">
      <c r="A929" s="1069" t="s">
        <v>25</v>
      </c>
      <c r="B929" s="1084" t="s">
        <v>25</v>
      </c>
      <c r="C929" s="1093" t="s">
        <v>4619</v>
      </c>
      <c r="D929" s="1093" t="s">
        <v>4620</v>
      </c>
      <c r="E929" s="1093" t="s">
        <v>549</v>
      </c>
      <c r="F929" s="1093">
        <v>788269162</v>
      </c>
      <c r="G929" s="1093">
        <v>788269162</v>
      </c>
      <c r="H929" s="1115">
        <v>5.8473199999999999</v>
      </c>
      <c r="I929" s="1115">
        <v>-5.3543200000000004</v>
      </c>
      <c r="J929" s="1093" t="s">
        <v>189</v>
      </c>
      <c r="K929" s="1115" t="s">
        <v>203</v>
      </c>
      <c r="L929" s="1115" t="s">
        <v>1422</v>
      </c>
      <c r="M929" s="1057" t="s">
        <v>4624</v>
      </c>
      <c r="N929" s="1153">
        <v>2150049716</v>
      </c>
      <c r="O929" s="1165">
        <v>46011</v>
      </c>
      <c r="P929" s="1115"/>
      <c r="Q929" s="1165">
        <v>46014</v>
      </c>
      <c r="R929" s="1084" t="s">
        <v>2641</v>
      </c>
      <c r="S929" s="1084"/>
      <c r="T929" s="1084">
        <v>0</v>
      </c>
      <c r="U929" s="1209">
        <v>46015</v>
      </c>
      <c r="V929" s="1084" t="s">
        <v>310</v>
      </c>
      <c r="W929" s="1084">
        <v>200</v>
      </c>
      <c r="X929" s="1084" t="s">
        <v>32</v>
      </c>
      <c r="Y929" s="1234"/>
      <c r="Z929" s="1061"/>
      <c r="AA929" s="1058" t="s">
        <v>532</v>
      </c>
      <c r="AB929" s="1058" t="s">
        <v>16</v>
      </c>
      <c r="AC929" s="1059" t="s">
        <v>4641</v>
      </c>
    </row>
    <row r="930" spans="1:31" s="634" customFormat="1" ht="15" hidden="1" customHeight="1" thickBot="1">
      <c r="A930" s="1068" t="s">
        <v>25</v>
      </c>
      <c r="B930" s="1068" t="s">
        <v>25</v>
      </c>
      <c r="C930" s="1092" t="s">
        <v>4629</v>
      </c>
      <c r="D930" s="1092" t="s">
        <v>4630</v>
      </c>
      <c r="E930" s="1092" t="s">
        <v>4631</v>
      </c>
      <c r="F930" s="1092">
        <v>778530073</v>
      </c>
      <c r="G930" s="1092">
        <v>544365366</v>
      </c>
      <c r="H930" s="1114">
        <v>5.8454100000000002</v>
      </c>
      <c r="I930" s="1114">
        <v>-5.3574400000000004</v>
      </c>
      <c r="J930" s="1092" t="s">
        <v>36</v>
      </c>
      <c r="K930" s="1114" t="s">
        <v>190</v>
      </c>
      <c r="L930" s="1114" t="s">
        <v>2802</v>
      </c>
      <c r="M930" s="1060" t="s">
        <v>4644</v>
      </c>
      <c r="N930" s="1162">
        <v>2150049726</v>
      </c>
      <c r="O930" s="1164">
        <v>46011</v>
      </c>
      <c r="P930" s="1190"/>
      <c r="Q930" s="1164">
        <v>46015</v>
      </c>
      <c r="R930" s="1068" t="s">
        <v>2641</v>
      </c>
      <c r="S930" s="1131"/>
      <c r="T930" s="1206">
        <v>0</v>
      </c>
      <c r="U930" s="1208">
        <v>46017</v>
      </c>
      <c r="V930" s="1068" t="s">
        <v>310</v>
      </c>
      <c r="W930" s="1068">
        <v>250</v>
      </c>
      <c r="X930" s="1068" t="s">
        <v>32</v>
      </c>
      <c r="Y930" s="1233"/>
      <c r="Z930" s="635"/>
      <c r="AA930" s="168" t="s">
        <v>532</v>
      </c>
      <c r="AB930" s="168" t="s">
        <v>16</v>
      </c>
      <c r="AC930" s="168" t="s">
        <v>4643</v>
      </c>
    </row>
    <row r="931" spans="1:31" s="1027" customFormat="1" ht="15" hidden="1" customHeight="1" thickBot="1">
      <c r="A931" s="1068" t="s">
        <v>25</v>
      </c>
      <c r="B931" s="1068" t="s">
        <v>25</v>
      </c>
      <c r="C931" s="1092" t="s">
        <v>4632</v>
      </c>
      <c r="D931" s="1092" t="s">
        <v>4633</v>
      </c>
      <c r="E931" s="1092" t="s">
        <v>2048</v>
      </c>
      <c r="F931" s="1092">
        <v>504357935</v>
      </c>
      <c r="G931" s="1092">
        <v>720522821</v>
      </c>
      <c r="H931" s="1114">
        <v>5.8396699999999999</v>
      </c>
      <c r="I931" s="1114">
        <v>-5.35154</v>
      </c>
      <c r="J931" s="1092" t="s">
        <v>189</v>
      </c>
      <c r="K931" s="1114" t="s">
        <v>190</v>
      </c>
      <c r="L931" s="1114" t="s">
        <v>1519</v>
      </c>
      <c r="M931" s="1131" t="s">
        <v>4646</v>
      </c>
      <c r="N931" s="1152">
        <v>2150049720</v>
      </c>
      <c r="O931" s="1164">
        <v>46011</v>
      </c>
      <c r="P931" s="1190"/>
      <c r="Q931" s="1164">
        <v>46015</v>
      </c>
      <c r="R931" s="1068" t="s">
        <v>2641</v>
      </c>
      <c r="S931" s="1131"/>
      <c r="T931" s="1206">
        <v>0</v>
      </c>
      <c r="U931" s="1208">
        <v>46017</v>
      </c>
      <c r="V931" s="1068" t="s">
        <v>310</v>
      </c>
      <c r="W931" s="1068">
        <v>100</v>
      </c>
      <c r="X931" s="1068" t="s">
        <v>32</v>
      </c>
      <c r="Y931" s="1233"/>
      <c r="Z931" s="1041"/>
      <c r="AA931" s="179" t="s">
        <v>532</v>
      </c>
      <c r="AB931" s="179" t="s">
        <v>16</v>
      </c>
      <c r="AC931" s="179" t="s">
        <v>4683</v>
      </c>
      <c r="AD931" s="1052"/>
      <c r="AE931" s="1051"/>
    </row>
    <row r="932" spans="1:31" s="1027" customFormat="1" ht="15" hidden="1" customHeight="1" thickBot="1">
      <c r="A932" s="1068" t="s">
        <v>25</v>
      </c>
      <c r="B932" s="1068" t="s">
        <v>25</v>
      </c>
      <c r="C932" s="1092" t="s">
        <v>4638</v>
      </c>
      <c r="D932" s="1092" t="s">
        <v>4639</v>
      </c>
      <c r="E932" s="1092" t="s">
        <v>2816</v>
      </c>
      <c r="F932" s="1092">
        <v>101528256</v>
      </c>
      <c r="G932" s="1092">
        <v>709252586</v>
      </c>
      <c r="H932" s="1114">
        <v>5.8532400000000004</v>
      </c>
      <c r="I932" s="1114">
        <v>-5.3502999999999998</v>
      </c>
      <c r="J932" s="1092" t="s">
        <v>189</v>
      </c>
      <c r="K932" s="1114" t="s">
        <v>198</v>
      </c>
      <c r="L932" s="1114" t="s">
        <v>658</v>
      </c>
      <c r="M932" s="1131" t="s">
        <v>4647</v>
      </c>
      <c r="N932" s="1152">
        <v>2150049725</v>
      </c>
      <c r="O932" s="1164">
        <v>46014</v>
      </c>
      <c r="P932" s="1190"/>
      <c r="Q932" s="1164">
        <v>46015</v>
      </c>
      <c r="R932" s="1068" t="s">
        <v>2641</v>
      </c>
      <c r="S932" s="1131"/>
      <c r="T932" s="1206">
        <v>0</v>
      </c>
      <c r="U932" s="1208">
        <v>46017</v>
      </c>
      <c r="V932" s="1068" t="s">
        <v>310</v>
      </c>
      <c r="W932" s="1068">
        <v>200</v>
      </c>
      <c r="X932" s="1068" t="s">
        <v>32</v>
      </c>
      <c r="Y932" s="1233"/>
      <c r="Z932" s="1041"/>
      <c r="AA932" s="179" t="s">
        <v>532</v>
      </c>
      <c r="AB932" s="179" t="s">
        <v>16</v>
      </c>
      <c r="AC932" s="179" t="s">
        <v>4680</v>
      </c>
      <c r="AD932" s="1052"/>
      <c r="AE932" s="1051"/>
    </row>
    <row r="933" spans="1:31" s="1027" customFormat="1" ht="15" hidden="1" customHeight="1" thickBot="1">
      <c r="A933" s="1068" t="s">
        <v>25</v>
      </c>
      <c r="B933" s="1068" t="s">
        <v>25</v>
      </c>
      <c r="C933" s="1092" t="s">
        <v>4636</v>
      </c>
      <c r="D933" s="1092" t="s">
        <v>4637</v>
      </c>
      <c r="E933" s="1092" t="s">
        <v>289</v>
      </c>
      <c r="F933" s="1092">
        <v>140562070</v>
      </c>
      <c r="G933" s="1092">
        <v>747722641</v>
      </c>
      <c r="H933" s="1114">
        <v>5.8337199999999996</v>
      </c>
      <c r="I933" s="1114">
        <v>-5.3533799999999996</v>
      </c>
      <c r="J933" s="1092" t="s">
        <v>36</v>
      </c>
      <c r="K933" s="1114" t="s">
        <v>274</v>
      </c>
      <c r="L933" s="1114" t="s">
        <v>523</v>
      </c>
      <c r="M933" s="1131" t="s">
        <v>4649</v>
      </c>
      <c r="N933" s="1152">
        <v>2150049727</v>
      </c>
      <c r="O933" s="1164">
        <v>46014</v>
      </c>
      <c r="P933" s="1190"/>
      <c r="Q933" s="1164">
        <v>46015</v>
      </c>
      <c r="R933" s="1068" t="s">
        <v>2641</v>
      </c>
      <c r="S933" s="1131"/>
      <c r="T933" s="1206">
        <v>0</v>
      </c>
      <c r="U933" s="1208">
        <v>46017</v>
      </c>
      <c r="V933" s="1068" t="s">
        <v>310</v>
      </c>
      <c r="W933" s="1068">
        <v>150</v>
      </c>
      <c r="X933" s="1068" t="s">
        <v>32</v>
      </c>
      <c r="Y933" s="1233"/>
      <c r="Z933" s="1041"/>
      <c r="AA933" s="179" t="s">
        <v>532</v>
      </c>
      <c r="AB933" s="179" t="s">
        <v>16</v>
      </c>
      <c r="AC933" s="587" t="s">
        <v>4682</v>
      </c>
      <c r="AD933" s="1052"/>
      <c r="AE933" s="1051"/>
    </row>
    <row r="934" spans="1:31" s="1027" customFormat="1" ht="15" hidden="1" customHeight="1" thickBot="1">
      <c r="A934" s="174" t="s">
        <v>25</v>
      </c>
      <c r="B934" s="174" t="s">
        <v>25</v>
      </c>
      <c r="C934" s="979" t="s">
        <v>4627</v>
      </c>
      <c r="D934" s="979" t="s">
        <v>4628</v>
      </c>
      <c r="E934" s="979" t="s">
        <v>84</v>
      </c>
      <c r="F934" s="979">
        <v>758533655</v>
      </c>
      <c r="G934" s="979">
        <v>505806765</v>
      </c>
      <c r="H934" s="168">
        <v>5.8331999999999997</v>
      </c>
      <c r="I934" s="168">
        <v>-5.3635799999999998</v>
      </c>
      <c r="J934" s="979" t="s">
        <v>36</v>
      </c>
      <c r="K934" s="168" t="s">
        <v>203</v>
      </c>
      <c r="L934" s="168" t="s">
        <v>408</v>
      </c>
      <c r="M934" s="1146" t="s">
        <v>4650</v>
      </c>
      <c r="N934" s="1161">
        <v>2150049730</v>
      </c>
      <c r="O934" s="982">
        <v>46011</v>
      </c>
      <c r="P934" s="168"/>
      <c r="Q934" s="982">
        <v>46015</v>
      </c>
      <c r="R934" s="174" t="s">
        <v>2641</v>
      </c>
      <c r="S934" s="174"/>
      <c r="T934" s="174">
        <v>0</v>
      </c>
      <c r="U934" s="175">
        <v>46018</v>
      </c>
      <c r="V934" s="174" t="s">
        <v>310</v>
      </c>
      <c r="W934" s="174">
        <v>150</v>
      </c>
      <c r="X934" s="174" t="s">
        <v>32</v>
      </c>
      <c r="Y934" s="635"/>
      <c r="Z934" s="1056"/>
      <c r="AA934" s="236" t="s">
        <v>532</v>
      </c>
      <c r="AB934" s="236" t="s">
        <v>16</v>
      </c>
      <c r="AC934" s="236" t="s">
        <v>4695</v>
      </c>
      <c r="AD934" s="1052"/>
      <c r="AE934" s="1051"/>
    </row>
    <row r="935" spans="1:31" s="1027" customFormat="1" ht="15" hidden="1" customHeight="1" thickBot="1">
      <c r="A935" s="727" t="s">
        <v>25</v>
      </c>
      <c r="B935" s="727" t="s">
        <v>25</v>
      </c>
      <c r="C935" s="552" t="s">
        <v>4652</v>
      </c>
      <c r="D935" s="552" t="s">
        <v>4653</v>
      </c>
      <c r="E935" s="552" t="s">
        <v>375</v>
      </c>
      <c r="F935" s="552">
        <v>797522000</v>
      </c>
      <c r="G935" s="552">
        <v>508491961</v>
      </c>
      <c r="H935" s="179">
        <v>5.8398399999999997</v>
      </c>
      <c r="I935" s="179">
        <v>-5.3699199999999996</v>
      </c>
      <c r="J935" s="1062" t="s">
        <v>36</v>
      </c>
      <c r="K935" s="179" t="s">
        <v>203</v>
      </c>
      <c r="L935" s="179" t="s">
        <v>2896</v>
      </c>
      <c r="M935" s="585" t="s">
        <v>4687</v>
      </c>
      <c r="N935" s="585">
        <v>2150049728</v>
      </c>
      <c r="O935" s="1063">
        <v>46017</v>
      </c>
      <c r="P935" s="179"/>
      <c r="Q935" s="1063">
        <v>46018</v>
      </c>
      <c r="R935" s="179" t="s">
        <v>2641</v>
      </c>
      <c r="S935" s="179"/>
      <c r="T935" s="179">
        <v>0</v>
      </c>
      <c r="U935" s="1040">
        <v>46020</v>
      </c>
      <c r="V935" s="727" t="s">
        <v>310</v>
      </c>
      <c r="W935" s="179">
        <v>250</v>
      </c>
      <c r="X935" s="727" t="s">
        <v>32</v>
      </c>
      <c r="Y935" s="1041"/>
      <c r="Z935" s="1056"/>
      <c r="AA935" s="236" t="s">
        <v>532</v>
      </c>
      <c r="AB935" s="236" t="s">
        <v>16</v>
      </c>
      <c r="AC935" s="236" t="s">
        <v>4694</v>
      </c>
      <c r="AD935" s="1052"/>
      <c r="AE935" s="1051"/>
    </row>
    <row r="936" spans="1:31" s="1027" customFormat="1" ht="14.4" hidden="1" customHeight="1" thickBot="1">
      <c r="A936" s="727" t="s">
        <v>25</v>
      </c>
      <c r="B936" s="727" t="s">
        <v>25</v>
      </c>
      <c r="C936" s="552" t="s">
        <v>4658</v>
      </c>
      <c r="D936" s="552" t="s">
        <v>4659</v>
      </c>
      <c r="E936" s="552" t="s">
        <v>35</v>
      </c>
      <c r="F936" s="552">
        <v>701515374</v>
      </c>
      <c r="G936" s="552">
        <v>747106417</v>
      </c>
      <c r="H936" s="179">
        <v>5.8375399999999997</v>
      </c>
      <c r="I936" s="179">
        <v>-5.3582700000000001</v>
      </c>
      <c r="J936" s="1062" t="s">
        <v>36</v>
      </c>
      <c r="K936" s="179" t="s">
        <v>190</v>
      </c>
      <c r="L936" s="179" t="s">
        <v>601</v>
      </c>
      <c r="M936" s="585" t="s">
        <v>4688</v>
      </c>
      <c r="N936" s="585">
        <v>2150049729</v>
      </c>
      <c r="O936" s="1063">
        <v>46017</v>
      </c>
      <c r="P936" s="179"/>
      <c r="Q936" s="1063">
        <v>46018</v>
      </c>
      <c r="R936" s="179" t="s">
        <v>2641</v>
      </c>
      <c r="S936" s="179"/>
      <c r="T936" s="179">
        <v>0</v>
      </c>
      <c r="U936" s="1040">
        <v>46020</v>
      </c>
      <c r="V936" s="727" t="s">
        <v>310</v>
      </c>
      <c r="W936" s="179">
        <v>150</v>
      </c>
      <c r="X936" s="727" t="s">
        <v>32</v>
      </c>
      <c r="Y936" s="1041"/>
      <c r="Z936" s="1056"/>
      <c r="AA936" s="236" t="s">
        <v>532</v>
      </c>
      <c r="AB936" s="236" t="s">
        <v>16</v>
      </c>
      <c r="AC936" s="236" t="s">
        <v>4685</v>
      </c>
      <c r="AD936" s="1052"/>
      <c r="AE936" s="1051"/>
    </row>
    <row r="937" spans="1:31" s="1027" customFormat="1" ht="15" hidden="1" customHeight="1" thickBot="1">
      <c r="A937" s="1584" t="s">
        <v>25</v>
      </c>
      <c r="B937" s="1584" t="s">
        <v>25</v>
      </c>
      <c r="C937" s="1585" t="s">
        <v>4662</v>
      </c>
      <c r="D937" s="1585" t="s">
        <v>4663</v>
      </c>
      <c r="E937" s="1585" t="s">
        <v>375</v>
      </c>
      <c r="F937" s="1585">
        <v>103717721</v>
      </c>
      <c r="G937" s="1585">
        <v>718874885</v>
      </c>
      <c r="H937" s="1586">
        <v>5.8394500000000003</v>
      </c>
      <c r="I937" s="1586">
        <v>-5.3650099999999998</v>
      </c>
      <c r="J937" s="1599" t="s">
        <v>36</v>
      </c>
      <c r="K937" s="1586" t="s">
        <v>203</v>
      </c>
      <c r="L937" s="1586" t="s">
        <v>645</v>
      </c>
      <c r="M937" s="1600" t="s">
        <v>4686</v>
      </c>
      <c r="N937" s="1601">
        <v>2150049721</v>
      </c>
      <c r="O937" s="1602">
        <v>46011</v>
      </c>
      <c r="P937" s="1586"/>
      <c r="Q937" s="1602">
        <v>46018</v>
      </c>
      <c r="R937" s="1586" t="s">
        <v>2641</v>
      </c>
      <c r="S937" s="1586"/>
      <c r="T937" s="1586">
        <v>0</v>
      </c>
      <c r="U937" s="1587">
        <v>46020</v>
      </c>
      <c r="V937" s="1584" t="s">
        <v>310</v>
      </c>
      <c r="W937" s="1586">
        <v>250</v>
      </c>
      <c r="X937" s="1584" t="s">
        <v>32</v>
      </c>
      <c r="Y937" s="1041"/>
      <c r="Z937" s="1056"/>
      <c r="AA937" s="1326" t="s">
        <v>532</v>
      </c>
      <c r="AB937" s="1326" t="s">
        <v>16</v>
      </c>
      <c r="AC937" s="1326" t="s">
        <v>4702</v>
      </c>
      <c r="AD937" s="1052"/>
      <c r="AE937" s="1051"/>
    </row>
    <row r="938" spans="1:31" ht="15" customHeight="1">
      <c r="A938" s="664" t="s">
        <v>25</v>
      </c>
      <c r="B938" s="664" t="s">
        <v>25</v>
      </c>
      <c r="C938" s="235" t="s">
        <v>4666</v>
      </c>
      <c r="D938" s="235" t="s">
        <v>4667</v>
      </c>
      <c r="E938" s="235" t="s">
        <v>4668</v>
      </c>
      <c r="F938" s="235">
        <v>160300518</v>
      </c>
      <c r="G938" s="235">
        <v>768671995</v>
      </c>
      <c r="H938" s="236">
        <v>5.8162099999999999</v>
      </c>
      <c r="I938" s="236">
        <v>-5.3639099999999997</v>
      </c>
      <c r="J938" s="235" t="s">
        <v>2612</v>
      </c>
      <c r="K938" s="236" t="s">
        <v>190</v>
      </c>
      <c r="L938" s="236" t="s">
        <v>4143</v>
      </c>
      <c r="M938" s="237" t="s">
        <v>4703</v>
      </c>
      <c r="N938" s="237">
        <v>2150031680</v>
      </c>
      <c r="O938" s="238">
        <v>46014</v>
      </c>
      <c r="P938" s="236"/>
      <c r="Q938" s="238">
        <v>46018</v>
      </c>
      <c r="R938" s="236" t="s">
        <v>2641</v>
      </c>
      <c r="S938" s="236"/>
      <c r="T938" s="236">
        <v>1</v>
      </c>
      <c r="U938" s="997">
        <v>46021</v>
      </c>
      <c r="V938" s="664" t="s">
        <v>310</v>
      </c>
      <c r="W938" s="236">
        <v>250</v>
      </c>
      <c r="X938" s="664" t="s">
        <v>32</v>
      </c>
      <c r="Y938" s="664"/>
      <c r="Z938" s="4"/>
      <c r="AA938" s="1345" t="s">
        <v>532</v>
      </c>
      <c r="AB938" s="1345" t="s">
        <v>16</v>
      </c>
      <c r="AC938" s="1345" t="s">
        <v>4696</v>
      </c>
    </row>
    <row r="939" spans="1:31" ht="15" customHeight="1" thickBot="1">
      <c r="A939" s="664" t="s">
        <v>25</v>
      </c>
      <c r="B939" s="664" t="s">
        <v>25</v>
      </c>
      <c r="C939" s="235" t="s">
        <v>4672</v>
      </c>
      <c r="D939" s="235" t="s">
        <v>4673</v>
      </c>
      <c r="E939" s="235" t="s">
        <v>4674</v>
      </c>
      <c r="F939" s="235">
        <v>152735070</v>
      </c>
      <c r="G939" s="235">
        <v>749884881</v>
      </c>
      <c r="H939" s="236">
        <v>5.8136599999999996</v>
      </c>
      <c r="I939" s="236">
        <v>-5.35426</v>
      </c>
      <c r="J939" s="235" t="s">
        <v>2612</v>
      </c>
      <c r="K939" s="236" t="s">
        <v>274</v>
      </c>
      <c r="L939" s="236" t="s">
        <v>3927</v>
      </c>
      <c r="M939" s="237" t="s">
        <v>4693</v>
      </c>
      <c r="N939" s="237">
        <v>2150038940</v>
      </c>
      <c r="O939" s="238">
        <v>46014</v>
      </c>
      <c r="P939" s="236"/>
      <c r="Q939" s="238">
        <v>46020</v>
      </c>
      <c r="R939" s="236" t="s">
        <v>2641</v>
      </c>
      <c r="S939" s="236"/>
      <c r="T939" s="236">
        <v>0</v>
      </c>
      <c r="U939" s="997">
        <v>46021</v>
      </c>
      <c r="V939" s="664" t="s">
        <v>310</v>
      </c>
      <c r="W939" s="236">
        <v>250</v>
      </c>
      <c r="X939" s="664" t="s">
        <v>32</v>
      </c>
      <c r="Y939" s="664"/>
      <c r="Z939" s="4"/>
      <c r="AA939" s="1345" t="s">
        <v>532</v>
      </c>
      <c r="AB939" s="1345" t="s">
        <v>16</v>
      </c>
      <c r="AC939" s="1345" t="s">
        <v>4684</v>
      </c>
    </row>
    <row r="940" spans="1:31" ht="15" hidden="1" customHeight="1" thickBot="1">
      <c r="A940" s="2144" t="s">
        <v>25</v>
      </c>
      <c r="B940" s="2145" t="s">
        <v>25</v>
      </c>
      <c r="C940" s="2146" t="s">
        <v>4675</v>
      </c>
      <c r="D940" s="2146" t="s">
        <v>4676</v>
      </c>
      <c r="E940" s="2146" t="s">
        <v>240</v>
      </c>
      <c r="F940" s="2146">
        <v>103081421</v>
      </c>
      <c r="G940" s="2146">
        <v>707045027</v>
      </c>
      <c r="H940" s="2147">
        <v>5.83202</v>
      </c>
      <c r="I940" s="2147">
        <v>-5.3545699999999998</v>
      </c>
      <c r="J940" s="2146" t="s">
        <v>36</v>
      </c>
      <c r="K940" s="2147" t="s">
        <v>274</v>
      </c>
      <c r="L940" s="2147" t="s">
        <v>3169</v>
      </c>
      <c r="M940" s="1826" t="s">
        <v>4689</v>
      </c>
      <c r="N940" s="1826">
        <v>2150031694</v>
      </c>
      <c r="O940" s="2148">
        <v>46014</v>
      </c>
      <c r="P940" s="2147"/>
      <c r="Q940" s="2148">
        <v>46020</v>
      </c>
      <c r="R940" s="2147" t="s">
        <v>2641</v>
      </c>
      <c r="S940" s="2147"/>
      <c r="T940" s="2147">
        <v>0</v>
      </c>
      <c r="U940" s="2149">
        <v>46021</v>
      </c>
      <c r="V940" s="2145" t="s">
        <v>310</v>
      </c>
      <c r="W940" s="2147">
        <v>200</v>
      </c>
      <c r="X940" s="2145" t="s">
        <v>32</v>
      </c>
      <c r="Y940" s="2150"/>
      <c r="Z940" s="2151"/>
      <c r="AA940" s="2152" t="s">
        <v>532</v>
      </c>
      <c r="AB940" s="2152" t="s">
        <v>16</v>
      </c>
      <c r="AC940" s="2152" t="s">
        <v>4728</v>
      </c>
    </row>
    <row r="941" spans="1:31" s="1027" customFormat="1" ht="15" hidden="1" customHeight="1" thickBot="1">
      <c r="A941" s="1603" t="s">
        <v>25</v>
      </c>
      <c r="B941" s="1603" t="s">
        <v>25</v>
      </c>
      <c r="C941" s="1604" t="s">
        <v>4700</v>
      </c>
      <c r="D941" s="1604" t="s">
        <v>4701</v>
      </c>
      <c r="E941" s="1604" t="s">
        <v>1417</v>
      </c>
      <c r="F941" s="1604">
        <v>143802579</v>
      </c>
      <c r="G941" s="1604">
        <v>748774595</v>
      </c>
      <c r="H941" s="1605">
        <v>5.8310899999999997</v>
      </c>
      <c r="I941" s="1605">
        <v>-5.3569599999999999</v>
      </c>
      <c r="J941" s="1604" t="s">
        <v>36</v>
      </c>
      <c r="K941" s="1605" t="s">
        <v>274</v>
      </c>
      <c r="L941" s="1605" t="s">
        <v>521</v>
      </c>
      <c r="M941" s="1606" t="s">
        <v>4704</v>
      </c>
      <c r="N941" s="1606">
        <v>2150031678</v>
      </c>
      <c r="O941" s="1607">
        <v>46020</v>
      </c>
      <c r="P941" s="1605"/>
      <c r="Q941" s="1607">
        <v>46021</v>
      </c>
      <c r="R941" s="1605" t="s">
        <v>2641</v>
      </c>
      <c r="S941" s="1605"/>
      <c r="T941" s="1605">
        <v>0</v>
      </c>
      <c r="U941" s="1608">
        <v>46021</v>
      </c>
      <c r="V941" s="1603" t="s">
        <v>310</v>
      </c>
      <c r="W941" s="1605">
        <v>350</v>
      </c>
      <c r="X941" s="1605" t="s">
        <v>32</v>
      </c>
      <c r="Y941" s="1609"/>
      <c r="Z941" s="1610"/>
      <c r="AA941" s="1611" t="s">
        <v>532</v>
      </c>
      <c r="AB941" s="1612" t="s">
        <v>16</v>
      </c>
      <c r="AC941" s="1613" t="s">
        <v>4730</v>
      </c>
      <c r="AD941" s="1052"/>
      <c r="AE941" s="1051"/>
    </row>
    <row r="942" spans="1:31" s="1346" customFormat="1" ht="15" customHeight="1" thickBot="1">
      <c r="A942" s="4" t="s">
        <v>25</v>
      </c>
      <c r="B942" s="4" t="s">
        <v>25</v>
      </c>
      <c r="C942" s="2266" t="s">
        <v>4677</v>
      </c>
      <c r="D942" s="2266" t="s">
        <v>2991</v>
      </c>
      <c r="E942" s="2266" t="s">
        <v>3053</v>
      </c>
      <c r="F942" s="2266">
        <v>707654708</v>
      </c>
      <c r="G942" s="2266">
        <v>545294572</v>
      </c>
      <c r="H942" s="1345">
        <v>5.8155700000000001</v>
      </c>
      <c r="I942" s="1345">
        <v>-5.3642899999999996</v>
      </c>
      <c r="J942" s="2266" t="s">
        <v>2612</v>
      </c>
      <c r="K942" s="1345" t="s">
        <v>190</v>
      </c>
      <c r="L942" s="1345" t="s">
        <v>3525</v>
      </c>
      <c r="M942" s="4" t="s">
        <v>4727</v>
      </c>
      <c r="N942" s="4">
        <v>2150031679</v>
      </c>
      <c r="O942" s="2267">
        <v>46014</v>
      </c>
      <c r="P942" s="1345"/>
      <c r="Q942" s="2267">
        <v>46020</v>
      </c>
      <c r="R942" s="1345" t="s">
        <v>2641</v>
      </c>
      <c r="S942" s="1345"/>
      <c r="T942" s="1345">
        <v>1</v>
      </c>
      <c r="U942" s="1352">
        <v>46022</v>
      </c>
      <c r="V942" s="4" t="s">
        <v>310</v>
      </c>
      <c r="W942" s="1345">
        <v>200</v>
      </c>
      <c r="X942" s="4" t="s">
        <v>32</v>
      </c>
      <c r="Y942" s="4"/>
      <c r="Z942" s="1067"/>
      <c r="AA942" s="1251" t="s">
        <v>532</v>
      </c>
      <c r="AB942" s="223" t="s">
        <v>16</v>
      </c>
      <c r="AC942" s="223" t="s">
        <v>4678</v>
      </c>
      <c r="AD942" s="1052"/>
      <c r="AE942" s="1051"/>
    </row>
    <row r="943" spans="1:31" s="1027" customFormat="1" ht="15" hidden="1" customHeight="1" thickBot="1">
      <c r="A943" s="2153" t="s">
        <v>25</v>
      </c>
      <c r="B943" s="2153" t="s">
        <v>25</v>
      </c>
      <c r="C943" s="2154" t="s">
        <v>4669</v>
      </c>
      <c r="D943" s="2154" t="s">
        <v>4670</v>
      </c>
      <c r="E943" s="2154" t="s">
        <v>4671</v>
      </c>
      <c r="F943" s="2154">
        <v>141711116</v>
      </c>
      <c r="G943" s="2154">
        <v>709773722</v>
      </c>
      <c r="H943" s="2155">
        <v>5.8464200000000002</v>
      </c>
      <c r="I943" s="2155">
        <v>-5.3589500000000001</v>
      </c>
      <c r="J943" s="2154" t="s">
        <v>36</v>
      </c>
      <c r="K943" s="2155" t="s">
        <v>190</v>
      </c>
      <c r="L943" s="2155" t="s">
        <v>3128</v>
      </c>
      <c r="M943" s="2153" t="s">
        <v>4690</v>
      </c>
      <c r="N943" s="2153">
        <v>2150031693</v>
      </c>
      <c r="O943" s="2156">
        <v>46014</v>
      </c>
      <c r="P943" s="2157"/>
      <c r="Q943" s="2156">
        <v>46020</v>
      </c>
      <c r="R943" s="2155" t="s">
        <v>2641</v>
      </c>
      <c r="S943" s="2157"/>
      <c r="T943" s="2155">
        <v>1</v>
      </c>
      <c r="U943" s="2158">
        <v>46022</v>
      </c>
      <c r="V943" s="2153" t="s">
        <v>310</v>
      </c>
      <c r="W943" s="2155">
        <v>250</v>
      </c>
      <c r="X943" s="2153" t="s">
        <v>32</v>
      </c>
      <c r="Y943" s="2159"/>
      <c r="Z943" s="2160"/>
      <c r="AA943" s="2161" t="s">
        <v>532</v>
      </c>
      <c r="AB943" s="2162" t="s">
        <v>16</v>
      </c>
      <c r="AC943" s="2162" t="s">
        <v>4697</v>
      </c>
      <c r="AD943" s="1052"/>
      <c r="AE943" s="1051"/>
    </row>
    <row r="944" spans="1:31" s="1027" customFormat="1" ht="15" hidden="1" customHeight="1" thickBot="1">
      <c r="A944" s="1614" t="s">
        <v>25</v>
      </c>
      <c r="B944" s="1614" t="s">
        <v>25</v>
      </c>
      <c r="C944" s="1615" t="s">
        <v>4657</v>
      </c>
      <c r="D944" s="1615" t="s">
        <v>2805</v>
      </c>
      <c r="E944" s="1615" t="s">
        <v>157</v>
      </c>
      <c r="F944" s="1615">
        <v>777613076</v>
      </c>
      <c r="G944" s="1615">
        <v>546746779</v>
      </c>
      <c r="H944" s="1616">
        <v>5.8385499999999997</v>
      </c>
      <c r="I944" s="1616">
        <v>-5.3624900000000002</v>
      </c>
      <c r="J944" s="1615" t="s">
        <v>36</v>
      </c>
      <c r="K944" s="1616" t="s">
        <v>190</v>
      </c>
      <c r="L944" s="1616" t="s">
        <v>4681</v>
      </c>
      <c r="M944" s="1614" t="s">
        <v>4691</v>
      </c>
      <c r="N944" s="1614">
        <v>2150031676</v>
      </c>
      <c r="O944" s="1617">
        <v>46017</v>
      </c>
      <c r="P944" s="1618"/>
      <c r="Q944" s="1617">
        <v>46018</v>
      </c>
      <c r="R944" s="1616" t="s">
        <v>2641</v>
      </c>
      <c r="S944" s="1618"/>
      <c r="T944" s="1616">
        <v>1</v>
      </c>
      <c r="U944" s="1619">
        <v>46022</v>
      </c>
      <c r="V944" s="1614" t="s">
        <v>310</v>
      </c>
      <c r="W944" s="1616">
        <v>350</v>
      </c>
      <c r="X944" s="1614" t="s">
        <v>32</v>
      </c>
      <c r="Y944" s="1620"/>
      <c r="Z944" s="1610"/>
      <c r="AA944" s="1611" t="s">
        <v>532</v>
      </c>
      <c r="AB944" s="1613" t="s">
        <v>16</v>
      </c>
      <c r="AC944" s="1613" t="s">
        <v>4699</v>
      </c>
      <c r="AD944" s="1052"/>
      <c r="AE944" s="1051"/>
    </row>
    <row r="945" spans="1:31" s="634" customFormat="1" ht="15" customHeight="1" thickBot="1">
      <c r="A945" s="1009" t="s">
        <v>25</v>
      </c>
      <c r="B945" s="1009" t="s">
        <v>25</v>
      </c>
      <c r="C945" s="1372" t="s">
        <v>4707</v>
      </c>
      <c r="D945" s="1372" t="s">
        <v>4708</v>
      </c>
      <c r="E945" s="1372" t="s">
        <v>3058</v>
      </c>
      <c r="F945" s="1372">
        <v>758336367</v>
      </c>
      <c r="G945" s="1372">
        <v>505450971</v>
      </c>
      <c r="H945" s="232">
        <v>5.8271499999999996</v>
      </c>
      <c r="I945" s="232">
        <v>-5.36172</v>
      </c>
      <c r="J945" s="1372" t="s">
        <v>2612</v>
      </c>
      <c r="K945" s="232" t="s">
        <v>274</v>
      </c>
      <c r="L945" s="232" t="s">
        <v>4731</v>
      </c>
      <c r="M945" s="89" t="s">
        <v>4744</v>
      </c>
      <c r="N945" s="89">
        <v>2150031686</v>
      </c>
      <c r="O945" s="1373">
        <v>46021</v>
      </c>
      <c r="P945" s="232"/>
      <c r="Q945" s="1373">
        <v>46022</v>
      </c>
      <c r="R945" s="1009" t="s">
        <v>2641</v>
      </c>
      <c r="S945" s="1009"/>
      <c r="T945" s="1009">
        <v>1</v>
      </c>
      <c r="U945" s="1064">
        <v>46028</v>
      </c>
      <c r="V945" s="1009" t="s">
        <v>310</v>
      </c>
      <c r="W945" s="1009">
        <v>150</v>
      </c>
      <c r="X945" s="1009" t="s">
        <v>32</v>
      </c>
      <c r="Y945" s="232"/>
      <c r="Z945" s="232"/>
      <c r="AA945" s="1065" t="s">
        <v>532</v>
      </c>
      <c r="AB945" s="1014" t="s">
        <v>16</v>
      </c>
      <c r="AC945" s="232" t="s">
        <v>4732</v>
      </c>
      <c r="AD945" s="1052"/>
      <c r="AE945" s="1051"/>
    </row>
    <row r="946" spans="1:31" s="634" customFormat="1" ht="15" customHeight="1" thickBot="1">
      <c r="A946" s="1009" t="s">
        <v>25</v>
      </c>
      <c r="B946" s="1009" t="s">
        <v>25</v>
      </c>
      <c r="C946" s="306" t="s">
        <v>4724</v>
      </c>
      <c r="D946" s="306" t="s">
        <v>4725</v>
      </c>
      <c r="E946" s="1372" t="s">
        <v>4726</v>
      </c>
      <c r="F946" s="306">
        <v>708166168</v>
      </c>
      <c r="G946" s="306">
        <v>708166168</v>
      </c>
      <c r="H946" s="232">
        <v>5.8185000000000002</v>
      </c>
      <c r="I946" s="232">
        <v>-5.35764</v>
      </c>
      <c r="J946" s="306" t="s">
        <v>4036</v>
      </c>
      <c r="K946" s="232" t="s">
        <v>198</v>
      </c>
      <c r="L946" s="232" t="s">
        <v>4734</v>
      </c>
      <c r="M946" s="89" t="s">
        <v>4742</v>
      </c>
      <c r="N946" s="89">
        <v>2150031684</v>
      </c>
      <c r="O946" s="314">
        <v>46022</v>
      </c>
      <c r="P946" s="232"/>
      <c r="Q946" s="314">
        <v>46022</v>
      </c>
      <c r="R946" s="1009" t="s">
        <v>2641</v>
      </c>
      <c r="S946" s="1009"/>
      <c r="T946" s="1009">
        <v>0</v>
      </c>
      <c r="U946" s="1064">
        <v>46028</v>
      </c>
      <c r="V946" s="1009" t="s">
        <v>310</v>
      </c>
      <c r="W946" s="1009">
        <v>100</v>
      </c>
      <c r="X946" s="1009" t="s">
        <v>32</v>
      </c>
      <c r="Y946" s="232"/>
      <c r="Z946" s="232"/>
      <c r="AA946" s="1065" t="s">
        <v>532</v>
      </c>
      <c r="AB946" s="1014" t="s">
        <v>16</v>
      </c>
      <c r="AC946" s="232" t="s">
        <v>4733</v>
      </c>
      <c r="AD946" s="1052"/>
      <c r="AE946" s="1051"/>
    </row>
    <row r="947" spans="1:31" s="634" customFormat="1" ht="15" customHeight="1" thickBot="1">
      <c r="A947" s="94" t="s">
        <v>25</v>
      </c>
      <c r="B947" s="94" t="s">
        <v>25</v>
      </c>
      <c r="C947" s="1374" t="s">
        <v>4721</v>
      </c>
      <c r="D947" s="1374" t="s">
        <v>4722</v>
      </c>
      <c r="E947" s="1374" t="s">
        <v>4723</v>
      </c>
      <c r="F947" s="1374">
        <v>708805888</v>
      </c>
      <c r="G947" s="1374">
        <v>595879000</v>
      </c>
      <c r="H947" s="1">
        <v>5.8137499999999998</v>
      </c>
      <c r="I947" s="1">
        <v>-5.3540200000000002</v>
      </c>
      <c r="J947" s="1374" t="s">
        <v>4036</v>
      </c>
      <c r="K947" s="1" t="s">
        <v>274</v>
      </c>
      <c r="L947" s="1" t="s">
        <v>4325</v>
      </c>
      <c r="M947" s="4" t="s">
        <v>4743</v>
      </c>
      <c r="N947" s="4">
        <v>2150031682</v>
      </c>
      <c r="O947" s="1375">
        <v>46021</v>
      </c>
      <c r="P947" s="1"/>
      <c r="Q947" s="1375">
        <v>46022</v>
      </c>
      <c r="R947" s="94" t="s">
        <v>2641</v>
      </c>
      <c r="S947" s="94"/>
      <c r="T947" s="94">
        <v>2</v>
      </c>
      <c r="U947" s="95">
        <v>46029</v>
      </c>
      <c r="V947" s="94" t="s">
        <v>310</v>
      </c>
      <c r="W947" s="94">
        <v>300</v>
      </c>
      <c r="X947" s="94" t="s">
        <v>32</v>
      </c>
      <c r="Y947" s="1"/>
      <c r="Z947" s="1"/>
      <c r="AA947" s="1066" t="s">
        <v>532</v>
      </c>
      <c r="AB947" s="729" t="s">
        <v>16</v>
      </c>
      <c r="AC947" s="1" t="s">
        <v>4735</v>
      </c>
      <c r="AD947" s="1052"/>
      <c r="AE947" s="1051"/>
    </row>
    <row r="948" spans="1:31" s="1027" customFormat="1" ht="15" hidden="1" customHeight="1" thickBot="1">
      <c r="A948" s="2163" t="s">
        <v>25</v>
      </c>
      <c r="B948" s="2163" t="s">
        <v>25</v>
      </c>
      <c r="C948" s="2164" t="s">
        <v>4705</v>
      </c>
      <c r="D948" s="2164" t="s">
        <v>4706</v>
      </c>
      <c r="E948" s="2164" t="s">
        <v>864</v>
      </c>
      <c r="F948" s="2164">
        <v>102416586</v>
      </c>
      <c r="G948" s="2164">
        <v>767022553</v>
      </c>
      <c r="H948" s="2165">
        <v>5.8372599999999997</v>
      </c>
      <c r="I948" s="2165">
        <v>-5.3592000000000004</v>
      </c>
      <c r="J948" s="2164" t="s">
        <v>36</v>
      </c>
      <c r="K948" s="2165" t="s">
        <v>198</v>
      </c>
      <c r="L948" s="2165" t="s">
        <v>581</v>
      </c>
      <c r="M948" s="2166" t="s">
        <v>4751</v>
      </c>
      <c r="N948" s="2167">
        <v>2150031692</v>
      </c>
      <c r="O948" s="2168">
        <v>46022</v>
      </c>
      <c r="P948" s="2165"/>
      <c r="Q948" s="2168">
        <v>46024</v>
      </c>
      <c r="R948" s="2163" t="s">
        <v>2641</v>
      </c>
      <c r="S948" s="2163"/>
      <c r="T948" s="2163">
        <v>1</v>
      </c>
      <c r="U948" s="2169">
        <v>46029</v>
      </c>
      <c r="V948" s="2163" t="s">
        <v>310</v>
      </c>
      <c r="W948" s="2163">
        <v>200</v>
      </c>
      <c r="X948" s="2163" t="s">
        <v>32</v>
      </c>
      <c r="Y948" s="1247"/>
      <c r="Z948" s="1247"/>
      <c r="AA948" s="2170" t="s">
        <v>532</v>
      </c>
      <c r="AB948" s="2171" t="s">
        <v>16</v>
      </c>
      <c r="AC948" s="2165" t="s">
        <v>4729</v>
      </c>
      <c r="AD948" s="1052"/>
      <c r="AE948" s="1051"/>
    </row>
    <row r="949" spans="1:31" s="1346" customFormat="1" ht="15" customHeight="1" thickBot="1">
      <c r="A949" s="94" t="s">
        <v>25</v>
      </c>
      <c r="B949" s="94" t="s">
        <v>25</v>
      </c>
      <c r="C949" s="10" t="s">
        <v>4745</v>
      </c>
      <c r="D949" s="10" t="s">
        <v>4746</v>
      </c>
      <c r="E949" s="10" t="s">
        <v>3426</v>
      </c>
      <c r="F949" s="10">
        <v>789155825</v>
      </c>
      <c r="G949" s="10">
        <v>789155825</v>
      </c>
      <c r="H949" s="1">
        <v>5.8250599999999997</v>
      </c>
      <c r="I949" s="1">
        <v>-5.36449</v>
      </c>
      <c r="J949" s="10" t="s">
        <v>2612</v>
      </c>
      <c r="K949" s="1" t="s">
        <v>198</v>
      </c>
      <c r="L949" s="1" t="s">
        <v>3435</v>
      </c>
      <c r="M949" s="1" t="s">
        <v>4773</v>
      </c>
      <c r="N949" s="1">
        <v>2150031677</v>
      </c>
      <c r="O949" s="11">
        <v>46027</v>
      </c>
      <c r="P949" s="1"/>
      <c r="Q949" s="11">
        <v>46028</v>
      </c>
      <c r="R949" s="94" t="s">
        <v>2641</v>
      </c>
      <c r="S949" s="94"/>
      <c r="T949" s="94">
        <v>0</v>
      </c>
      <c r="U949" s="95">
        <v>46029</v>
      </c>
      <c r="V949" s="94" t="s">
        <v>310</v>
      </c>
      <c r="W949" s="94">
        <v>150</v>
      </c>
      <c r="X949" s="94" t="s">
        <v>32</v>
      </c>
      <c r="Y949" s="94"/>
      <c r="Z949" s="94"/>
      <c r="AA949" s="1" t="s">
        <v>1427</v>
      </c>
      <c r="AB949" s="1" t="s">
        <v>16</v>
      </c>
      <c r="AC949" s="1" t="s">
        <v>4752</v>
      </c>
      <c r="AD949" s="1052"/>
      <c r="AE949" s="1051"/>
    </row>
    <row r="950" spans="1:31" s="1027" customFormat="1" ht="15" hidden="1" customHeight="1" thickBot="1">
      <c r="A950" s="2172" t="s">
        <v>25</v>
      </c>
      <c r="B950" s="2172" t="s">
        <v>25</v>
      </c>
      <c r="C950" s="2173" t="s">
        <v>4747</v>
      </c>
      <c r="D950" s="2173" t="s">
        <v>4748</v>
      </c>
      <c r="E950" s="2173" t="s">
        <v>1591</v>
      </c>
      <c r="F950" s="2173">
        <v>501359150</v>
      </c>
      <c r="G950" s="2173">
        <v>787289685</v>
      </c>
      <c r="H950" s="2174">
        <v>5.85025</v>
      </c>
      <c r="I950" s="2174">
        <v>-5.3489599999999999</v>
      </c>
      <c r="J950" s="2173" t="s">
        <v>189</v>
      </c>
      <c r="K950" s="2174" t="s">
        <v>198</v>
      </c>
      <c r="L950" s="2174" t="s">
        <v>1818</v>
      </c>
      <c r="M950" s="2174" t="s">
        <v>4772</v>
      </c>
      <c r="N950" s="2174">
        <v>2150031685</v>
      </c>
      <c r="O950" s="2175">
        <v>46027</v>
      </c>
      <c r="P950" s="2174"/>
      <c r="Q950" s="2175">
        <v>46028</v>
      </c>
      <c r="R950" s="2172" t="s">
        <v>2641</v>
      </c>
      <c r="S950" s="2172"/>
      <c r="T950" s="2172">
        <v>0</v>
      </c>
      <c r="U950" s="2176">
        <v>46029</v>
      </c>
      <c r="V950" s="2172" t="s">
        <v>310</v>
      </c>
      <c r="W950" s="2172">
        <v>200</v>
      </c>
      <c r="X950" s="2172" t="s">
        <v>32</v>
      </c>
      <c r="Y950" s="1247"/>
      <c r="Z950" s="1247"/>
      <c r="AA950" s="2174" t="s">
        <v>532</v>
      </c>
      <c r="AB950" s="2174" t="s">
        <v>16</v>
      </c>
      <c r="AC950" s="2174" t="s">
        <v>4753</v>
      </c>
      <c r="AD950" s="1052"/>
      <c r="AE950" s="1051"/>
    </row>
    <row r="951" spans="1:31" s="1027" customFormat="1" ht="15" hidden="1" customHeight="1" thickBot="1">
      <c r="A951" s="1067" t="s">
        <v>25</v>
      </c>
      <c r="B951" s="1067" t="s">
        <v>25</v>
      </c>
      <c r="C951" s="753" t="s">
        <v>4715</v>
      </c>
      <c r="D951" s="753" t="s">
        <v>4716</v>
      </c>
      <c r="E951" s="1112" t="s">
        <v>4717</v>
      </c>
      <c r="F951" s="753">
        <v>767844093</v>
      </c>
      <c r="G951" s="753">
        <v>758463660</v>
      </c>
      <c r="H951" s="223">
        <v>5.8533299999999997</v>
      </c>
      <c r="I951" s="223">
        <v>-5.3492800000000003</v>
      </c>
      <c r="J951" s="753" t="s">
        <v>189</v>
      </c>
      <c r="K951" s="223" t="s">
        <v>198</v>
      </c>
      <c r="L951" s="223" t="s">
        <v>1085</v>
      </c>
      <c r="M951" s="1248" t="s">
        <v>4774</v>
      </c>
      <c r="N951" s="1249">
        <v>2150031688</v>
      </c>
      <c r="O951" s="754">
        <v>46019</v>
      </c>
      <c r="P951" s="223"/>
      <c r="Q951" s="754">
        <v>46022</v>
      </c>
      <c r="R951" s="1067" t="s">
        <v>2641</v>
      </c>
      <c r="S951" s="1067"/>
      <c r="T951" s="1067">
        <v>4</v>
      </c>
      <c r="U951" s="1207">
        <v>46030</v>
      </c>
      <c r="V951" s="1067" t="s">
        <v>310</v>
      </c>
      <c r="W951" s="1067">
        <v>350</v>
      </c>
      <c r="X951" s="1067" t="s">
        <v>32</v>
      </c>
      <c r="Y951" s="1250"/>
      <c r="Z951" s="1250"/>
      <c r="AA951" s="1251" t="s">
        <v>532</v>
      </c>
      <c r="AB951" s="928" t="s">
        <v>16</v>
      </c>
      <c r="AC951" s="223" t="s">
        <v>4755</v>
      </c>
      <c r="AD951" s="1052"/>
      <c r="AE951" s="1051"/>
    </row>
    <row r="952" spans="1:31" s="1027" customFormat="1" ht="15" hidden="1" customHeight="1" thickBot="1">
      <c r="A952" s="1067" t="s">
        <v>25</v>
      </c>
      <c r="B952" s="1067" t="s">
        <v>25</v>
      </c>
      <c r="C952" s="1112" t="s">
        <v>4712</v>
      </c>
      <c r="D952" s="1112" t="s">
        <v>4713</v>
      </c>
      <c r="E952" s="1112" t="s">
        <v>4714</v>
      </c>
      <c r="F952" s="1112">
        <v>153183354</v>
      </c>
      <c r="G952" s="1112">
        <v>757244390</v>
      </c>
      <c r="H952" s="223">
        <v>5.8401100000000001</v>
      </c>
      <c r="I952" s="223">
        <v>-5.3636400000000002</v>
      </c>
      <c r="J952" s="1112" t="s">
        <v>36</v>
      </c>
      <c r="K952" s="223" t="s">
        <v>203</v>
      </c>
      <c r="L952" s="223" t="s">
        <v>4736</v>
      </c>
      <c r="M952" s="1252" t="s">
        <v>4784</v>
      </c>
      <c r="N952" s="1252">
        <v>2150031683</v>
      </c>
      <c r="O952" s="1253">
        <v>46019</v>
      </c>
      <c r="P952" s="223"/>
      <c r="Q952" s="1253">
        <v>46022</v>
      </c>
      <c r="R952" s="1067" t="s">
        <v>2641</v>
      </c>
      <c r="S952" s="1067"/>
      <c r="T952" s="1067">
        <v>4</v>
      </c>
      <c r="U952" s="1207">
        <v>46030</v>
      </c>
      <c r="V952" s="1067" t="s">
        <v>310</v>
      </c>
      <c r="W952" s="1067">
        <v>300</v>
      </c>
      <c r="X952" s="1067" t="s">
        <v>32</v>
      </c>
      <c r="Y952" s="1250"/>
      <c r="Z952" s="1250"/>
      <c r="AA952" s="1251" t="s">
        <v>532</v>
      </c>
      <c r="AB952" s="1254" t="s">
        <v>16</v>
      </c>
      <c r="AC952" s="223" t="s">
        <v>4737</v>
      </c>
      <c r="AD952" s="1052"/>
      <c r="AE952" s="1051"/>
    </row>
    <row r="953" spans="1:31" s="1027" customFormat="1" ht="15" hidden="1" customHeight="1" thickBot="1">
      <c r="A953" s="1387" t="s">
        <v>25</v>
      </c>
      <c r="B953" s="1387" t="s">
        <v>25</v>
      </c>
      <c r="C953" s="1621" t="s">
        <v>4760</v>
      </c>
      <c r="D953" s="1621" t="s">
        <v>4761</v>
      </c>
      <c r="E953" s="1621" t="s">
        <v>1591</v>
      </c>
      <c r="F953" s="1621">
        <v>554043299</v>
      </c>
      <c r="G953" s="1621">
        <v>749738481</v>
      </c>
      <c r="H953" s="1389">
        <v>5.8498900000000003</v>
      </c>
      <c r="I953" s="1389">
        <v>-5.3501300000000001</v>
      </c>
      <c r="J953" s="1389" t="s">
        <v>189</v>
      </c>
      <c r="K953" s="1389" t="s">
        <v>198</v>
      </c>
      <c r="L953" s="1389" t="s">
        <v>742</v>
      </c>
      <c r="M953" s="1389" t="s">
        <v>4785</v>
      </c>
      <c r="N953" s="1389">
        <v>2150031690</v>
      </c>
      <c r="O953" s="1622">
        <v>46028</v>
      </c>
      <c r="P953" s="1389"/>
      <c r="Q953" s="1622">
        <v>46030</v>
      </c>
      <c r="R953" s="1387" t="s">
        <v>2641</v>
      </c>
      <c r="S953" s="1387"/>
      <c r="T953" s="1387">
        <v>0</v>
      </c>
      <c r="U953" s="1392">
        <v>46031</v>
      </c>
      <c r="V953" s="1387" t="s">
        <v>310</v>
      </c>
      <c r="W953" s="1387">
        <v>350</v>
      </c>
      <c r="X953" s="1387" t="s">
        <v>32</v>
      </c>
      <c r="Y953" s="1250"/>
      <c r="Z953" s="1250"/>
      <c r="AA953" s="1623" t="s">
        <v>532</v>
      </c>
      <c r="AB953" s="1389" t="s">
        <v>16</v>
      </c>
      <c r="AC953" s="1389" t="s">
        <v>4776</v>
      </c>
      <c r="AD953" s="1052"/>
      <c r="AE953" s="1051"/>
    </row>
    <row r="954" spans="1:31" s="1346" customFormat="1" ht="15" customHeight="1" thickBot="1">
      <c r="A954" s="174" t="s">
        <v>25</v>
      </c>
      <c r="B954" s="174" t="s">
        <v>25</v>
      </c>
      <c r="C954" s="166" t="s">
        <v>4770</v>
      </c>
      <c r="D954" s="166" t="s">
        <v>4771</v>
      </c>
      <c r="E954" s="166" t="s">
        <v>3058</v>
      </c>
      <c r="F954" s="166">
        <v>704866279</v>
      </c>
      <c r="G954" s="166">
        <v>704866279</v>
      </c>
      <c r="H954" s="168">
        <v>5.8248300000000004</v>
      </c>
      <c r="I954" s="168">
        <v>-5.3608500000000001</v>
      </c>
      <c r="J954" s="168" t="s">
        <v>2612</v>
      </c>
      <c r="K954" s="168" t="s">
        <v>274</v>
      </c>
      <c r="L954" s="168" t="s">
        <v>4778</v>
      </c>
      <c r="M954" s="169" t="s">
        <v>4789</v>
      </c>
      <c r="N954" s="169">
        <v>2150031537</v>
      </c>
      <c r="O954" s="170">
        <v>46028</v>
      </c>
      <c r="P954" s="168"/>
      <c r="Q954" s="170">
        <v>46030</v>
      </c>
      <c r="R954" s="174" t="s">
        <v>2641</v>
      </c>
      <c r="S954" s="174"/>
      <c r="T954" s="174">
        <v>1</v>
      </c>
      <c r="U954" s="175">
        <v>46031</v>
      </c>
      <c r="V954" s="174" t="s">
        <v>310</v>
      </c>
      <c r="W954" s="174">
        <v>200</v>
      </c>
      <c r="X954" s="174" t="s">
        <v>32</v>
      </c>
      <c r="Y954" s="174"/>
      <c r="Z954" s="174"/>
      <c r="AA954" s="168" t="s">
        <v>532</v>
      </c>
      <c r="AB954" s="168" t="s">
        <v>16</v>
      </c>
      <c r="AC954" s="168" t="s">
        <v>4779</v>
      </c>
      <c r="AD954" s="1052"/>
      <c r="AE954" s="1051"/>
    </row>
    <row r="955" spans="1:31" s="1346" customFormat="1" ht="15" customHeight="1" thickBot="1">
      <c r="A955" s="174" t="s">
        <v>25</v>
      </c>
      <c r="B955" s="174" t="s">
        <v>25</v>
      </c>
      <c r="C955" s="166" t="s">
        <v>4764</v>
      </c>
      <c r="D955" s="166" t="s">
        <v>4765</v>
      </c>
      <c r="E955" s="166" t="s">
        <v>4766</v>
      </c>
      <c r="F955" s="166">
        <v>102009771</v>
      </c>
      <c r="G955" s="166">
        <v>759478901</v>
      </c>
      <c r="H955" s="168">
        <v>5.8223500000000001</v>
      </c>
      <c r="I955" s="168">
        <v>-5.3592700000000004</v>
      </c>
      <c r="J955" s="168" t="s">
        <v>4036</v>
      </c>
      <c r="K955" s="168" t="s">
        <v>190</v>
      </c>
      <c r="L955" s="168" t="s">
        <v>4377</v>
      </c>
      <c r="M955" s="169" t="s">
        <v>4788</v>
      </c>
      <c r="N955" s="169">
        <v>2150031538</v>
      </c>
      <c r="O955" s="170">
        <v>46028</v>
      </c>
      <c r="P955" s="168"/>
      <c r="Q955" s="170">
        <v>46030</v>
      </c>
      <c r="R955" s="174" t="s">
        <v>2641</v>
      </c>
      <c r="S955" s="174"/>
      <c r="T955" s="174">
        <v>1</v>
      </c>
      <c r="U955" s="175">
        <v>46031</v>
      </c>
      <c r="V955" s="174" t="s">
        <v>310</v>
      </c>
      <c r="W955" s="174">
        <v>200</v>
      </c>
      <c r="X955" s="174" t="s">
        <v>32</v>
      </c>
      <c r="Y955" s="174"/>
      <c r="Z955" s="174"/>
      <c r="AA955" s="168" t="s">
        <v>532</v>
      </c>
      <c r="AB955" s="168" t="s">
        <v>16</v>
      </c>
      <c r="AC955" s="168" t="s">
        <v>4780</v>
      </c>
      <c r="AD955" s="1052"/>
      <c r="AE955" s="1051"/>
    </row>
    <row r="956" spans="1:31" s="1346" customFormat="1" ht="15" customHeight="1" thickBot="1">
      <c r="A956" s="174" t="s">
        <v>25</v>
      </c>
      <c r="B956" s="174" t="s">
        <v>25</v>
      </c>
      <c r="C956" s="166" t="s">
        <v>4762</v>
      </c>
      <c r="D956" s="166" t="s">
        <v>4763</v>
      </c>
      <c r="E956" s="166" t="s">
        <v>3681</v>
      </c>
      <c r="F956" s="166">
        <v>160838865</v>
      </c>
      <c r="G956" s="166">
        <v>594968281</v>
      </c>
      <c r="H956" s="168">
        <v>5.8199100000000001</v>
      </c>
      <c r="I956" s="168">
        <v>-5.3691800000000001</v>
      </c>
      <c r="J956" s="168" t="s">
        <v>2612</v>
      </c>
      <c r="K956" s="168" t="s">
        <v>198</v>
      </c>
      <c r="L956" s="168" t="s">
        <v>4269</v>
      </c>
      <c r="M956" s="169" t="s">
        <v>4787</v>
      </c>
      <c r="N956" s="169">
        <v>2150031539</v>
      </c>
      <c r="O956" s="170">
        <v>46028</v>
      </c>
      <c r="P956" s="168"/>
      <c r="Q956" s="170">
        <v>46030</v>
      </c>
      <c r="R956" s="174" t="s">
        <v>2641</v>
      </c>
      <c r="S956" s="174"/>
      <c r="T956" s="174">
        <v>3</v>
      </c>
      <c r="U956" s="175">
        <v>46031</v>
      </c>
      <c r="V956" s="174" t="s">
        <v>310</v>
      </c>
      <c r="W956" s="174">
        <v>250</v>
      </c>
      <c r="X956" s="174" t="s">
        <v>32</v>
      </c>
      <c r="Y956" s="174"/>
      <c r="Z956" s="174"/>
      <c r="AA956" s="168" t="s">
        <v>532</v>
      </c>
      <c r="AB956" s="168" t="s">
        <v>16</v>
      </c>
      <c r="AC956" s="168" t="s">
        <v>4781</v>
      </c>
      <c r="AD956" s="1052"/>
      <c r="AE956" s="1051"/>
    </row>
    <row r="957" spans="1:31" s="1346" customFormat="1" ht="15" customHeight="1" thickBot="1">
      <c r="A957" s="174" t="s">
        <v>25</v>
      </c>
      <c r="B957" s="174" t="s">
        <v>25</v>
      </c>
      <c r="C957" s="166" t="s">
        <v>4767</v>
      </c>
      <c r="D957" s="166" t="s">
        <v>4372</v>
      </c>
      <c r="E957" s="166" t="s">
        <v>3326</v>
      </c>
      <c r="F957" s="166">
        <v>556443460</v>
      </c>
      <c r="G957" s="166">
        <v>768992466</v>
      </c>
      <c r="H957" s="168">
        <v>5.80755</v>
      </c>
      <c r="I957" s="168">
        <v>-5.3664800000000001</v>
      </c>
      <c r="J957" s="168" t="s">
        <v>2612</v>
      </c>
      <c r="K957" s="168" t="s">
        <v>198</v>
      </c>
      <c r="L957" s="168" t="s">
        <v>4269</v>
      </c>
      <c r="M957" s="168" t="s">
        <v>4803</v>
      </c>
      <c r="N957" s="168"/>
      <c r="O957" s="170">
        <v>46028</v>
      </c>
      <c r="P957" s="168"/>
      <c r="Q957" s="170">
        <v>46030</v>
      </c>
      <c r="R957" s="174" t="s">
        <v>2641</v>
      </c>
      <c r="S957" s="174"/>
      <c r="T957" s="174">
        <v>2</v>
      </c>
      <c r="U957" s="175">
        <v>46031</v>
      </c>
      <c r="V957" s="174" t="s">
        <v>310</v>
      </c>
      <c r="W957" s="174">
        <v>350</v>
      </c>
      <c r="X957" s="174" t="s">
        <v>32</v>
      </c>
      <c r="Y957" s="174"/>
      <c r="Z957" s="174"/>
      <c r="AA957" s="168" t="s">
        <v>532</v>
      </c>
      <c r="AB957" s="168" t="s">
        <v>16</v>
      </c>
      <c r="AC957" s="168" t="s">
        <v>4783</v>
      </c>
      <c r="AD957" s="1052"/>
      <c r="AE957" s="1051"/>
    </row>
    <row r="958" spans="1:31" ht="15" hidden="1" customHeight="1" thickBot="1">
      <c r="A958" s="2177" t="s">
        <v>25</v>
      </c>
      <c r="B958" s="2177" t="s">
        <v>25</v>
      </c>
      <c r="C958" s="2178" t="s">
        <v>4392</v>
      </c>
      <c r="D958" s="2178" t="s">
        <v>4393</v>
      </c>
      <c r="E958" s="2178" t="s">
        <v>2564</v>
      </c>
      <c r="F958" s="2178">
        <v>143500024</v>
      </c>
      <c r="G958" s="2178">
        <v>143500024</v>
      </c>
      <c r="H958" s="2179">
        <v>5.8420500000000004</v>
      </c>
      <c r="I958" s="2179">
        <v>-5.3524200000000004</v>
      </c>
      <c r="J958" s="2178" t="s">
        <v>189</v>
      </c>
      <c r="K958" s="2179" t="s">
        <v>274</v>
      </c>
      <c r="L958" s="2179" t="s">
        <v>603</v>
      </c>
      <c r="M958" s="2180" t="s">
        <v>4775</v>
      </c>
      <c r="N958" s="2181">
        <v>2150031687</v>
      </c>
      <c r="O958" s="2182">
        <v>45996</v>
      </c>
      <c r="P958" s="2179"/>
      <c r="Q958" s="2182">
        <v>45997</v>
      </c>
      <c r="R958" s="2177" t="s">
        <v>2641</v>
      </c>
      <c r="S958" s="2177"/>
      <c r="T958" s="2177">
        <v>2</v>
      </c>
      <c r="U958" s="2183">
        <v>46032</v>
      </c>
      <c r="V958" s="2177" t="s">
        <v>310</v>
      </c>
      <c r="W958" s="2177">
        <v>300</v>
      </c>
      <c r="X958" s="2177" t="s">
        <v>32</v>
      </c>
      <c r="AA958" s="2177" t="s">
        <v>532</v>
      </c>
      <c r="AB958" s="2184" t="s">
        <v>16</v>
      </c>
      <c r="AC958" s="2185" t="s">
        <v>4754</v>
      </c>
      <c r="AD958" s="1052"/>
    </row>
    <row r="959" spans="1:31" ht="15" hidden="1" customHeight="1" thickBot="1">
      <c r="A959" s="1256" t="s">
        <v>25</v>
      </c>
      <c r="B959" s="1256" t="s">
        <v>25</v>
      </c>
      <c r="C959" s="705" t="s">
        <v>4768</v>
      </c>
      <c r="D959" s="705" t="s">
        <v>4769</v>
      </c>
      <c r="E959" s="705" t="s">
        <v>1591</v>
      </c>
      <c r="F959" s="705">
        <v>101481918</v>
      </c>
      <c r="G959" s="705">
        <v>707693999</v>
      </c>
      <c r="H959" s="978">
        <v>5.8489599999999999</v>
      </c>
      <c r="I959" s="978">
        <v>-5.3497000000000003</v>
      </c>
      <c r="J959" s="978" t="s">
        <v>189</v>
      </c>
      <c r="K959" s="978" t="s">
        <v>198</v>
      </c>
      <c r="L959" s="978" t="s">
        <v>1962</v>
      </c>
      <c r="M959" s="1263" t="s">
        <v>4790</v>
      </c>
      <c r="N959" s="1264">
        <v>2150031536</v>
      </c>
      <c r="O959" s="706">
        <v>46028</v>
      </c>
      <c r="P959" s="978"/>
      <c r="Q959" s="706">
        <v>46030</v>
      </c>
      <c r="R959" s="1256" t="s">
        <v>2641</v>
      </c>
      <c r="S959" s="1256"/>
      <c r="T959" s="1256">
        <v>1</v>
      </c>
      <c r="U959" s="1258">
        <v>46032</v>
      </c>
      <c r="V959" s="1256" t="s">
        <v>310</v>
      </c>
      <c r="W959" s="1256">
        <v>350</v>
      </c>
      <c r="X959" s="1265" t="s">
        <v>32</v>
      </c>
      <c r="AA959" s="1256" t="s">
        <v>532</v>
      </c>
      <c r="AB959" s="978" t="s">
        <v>16</v>
      </c>
      <c r="AC959" s="978" t="s">
        <v>4777</v>
      </c>
      <c r="AD959" s="1052"/>
    </row>
    <row r="960" spans="1:31" ht="15" hidden="1" customHeight="1" thickBot="1">
      <c r="A960" s="1624" t="s">
        <v>25</v>
      </c>
      <c r="B960" s="1624" t="s">
        <v>25</v>
      </c>
      <c r="C960" s="1625" t="s">
        <v>4758</v>
      </c>
      <c r="D960" s="1625" t="s">
        <v>4759</v>
      </c>
      <c r="E960" s="1625" t="s">
        <v>363</v>
      </c>
      <c r="F960" s="1625">
        <v>708507761</v>
      </c>
      <c r="G960" s="1625">
        <v>505702700</v>
      </c>
      <c r="H960" s="1325">
        <v>5.8326599999999997</v>
      </c>
      <c r="I960" s="1325">
        <v>-5.3612799999999998</v>
      </c>
      <c r="J960" s="1325" t="s">
        <v>36</v>
      </c>
      <c r="K960" s="1325" t="s">
        <v>198</v>
      </c>
      <c r="L960" s="1325" t="s">
        <v>734</v>
      </c>
      <c r="M960" s="1626" t="s">
        <v>4786</v>
      </c>
      <c r="N960" s="1627">
        <v>2150031691</v>
      </c>
      <c r="O960" s="1628">
        <v>46028</v>
      </c>
      <c r="P960" s="1325"/>
      <c r="Q960" s="1628">
        <v>46030</v>
      </c>
      <c r="R960" s="1624" t="s">
        <v>2641</v>
      </c>
      <c r="S960" s="1624"/>
      <c r="T960" s="1624">
        <v>1</v>
      </c>
      <c r="U960" s="1629">
        <v>46032</v>
      </c>
      <c r="V960" s="1624" t="s">
        <v>310</v>
      </c>
      <c r="W960" s="1624">
        <v>250</v>
      </c>
      <c r="X960" s="1630" t="s">
        <v>32</v>
      </c>
      <c r="AA960" s="1624" t="s">
        <v>532</v>
      </c>
      <c r="AB960" s="1325" t="s">
        <v>16</v>
      </c>
      <c r="AC960" s="1325" t="s">
        <v>4782</v>
      </c>
      <c r="AD960" s="1052"/>
    </row>
    <row r="961" spans="1:188" s="1346" customFormat="1" ht="16.2" thickBot="1">
      <c r="A961" s="1256" t="s">
        <v>25</v>
      </c>
      <c r="B961" s="1256" t="s">
        <v>25</v>
      </c>
      <c r="C961" s="1259" t="s">
        <v>4791</v>
      </c>
      <c r="D961" s="1259" t="s">
        <v>4792</v>
      </c>
      <c r="E961" s="1259" t="s">
        <v>4793</v>
      </c>
      <c r="F961" s="1259">
        <v>101558656</v>
      </c>
      <c r="G961" s="2268">
        <v>708000000</v>
      </c>
      <c r="H961" s="1255">
        <v>5.8540000000000001</v>
      </c>
      <c r="I961" s="1255">
        <v>-5.3546899999999997</v>
      </c>
      <c r="J961" s="1259" t="s">
        <v>2612</v>
      </c>
      <c r="K961" s="1255" t="s">
        <v>198</v>
      </c>
      <c r="L961" s="1255" t="s">
        <v>4356</v>
      </c>
      <c r="M961" s="1255" t="s">
        <v>4819</v>
      </c>
      <c r="N961" s="1255">
        <v>2150031555</v>
      </c>
      <c r="O961" s="1262">
        <v>46030</v>
      </c>
      <c r="P961" s="1255"/>
      <c r="Q961" s="1262">
        <v>46031</v>
      </c>
      <c r="R961" s="1256" t="s">
        <v>2641</v>
      </c>
      <c r="S961" s="1256"/>
      <c r="T961" s="1256">
        <v>0</v>
      </c>
      <c r="U961" s="1258">
        <v>46033</v>
      </c>
      <c r="V961" s="1256" t="s">
        <v>310</v>
      </c>
      <c r="W961" s="1256">
        <v>150</v>
      </c>
      <c r="X961" s="1256" t="s">
        <v>32</v>
      </c>
      <c r="Y961" s="246"/>
      <c r="Z961" s="246"/>
      <c r="AA961" s="1256" t="s">
        <v>532</v>
      </c>
      <c r="AB961" s="978" t="s">
        <v>16</v>
      </c>
      <c r="AC961" s="1255" t="s">
        <v>4814</v>
      </c>
      <c r="AD961" s="1382"/>
      <c r="AE961" s="1376"/>
      <c r="AF961" s="1377"/>
      <c r="AG961" s="1377"/>
      <c r="AH961" s="1377"/>
      <c r="AI961" s="1377"/>
      <c r="AJ961" s="1377"/>
      <c r="AK961" s="1377"/>
      <c r="AL961" s="1377"/>
      <c r="AM961" s="1377"/>
      <c r="AN961" s="1377"/>
      <c r="AO961" s="1377"/>
      <c r="AP961" s="1377"/>
      <c r="AQ961" s="1377"/>
      <c r="AR961" s="1377"/>
      <c r="AS961" s="1377"/>
      <c r="AT961" s="1377"/>
      <c r="AU961" s="1377"/>
      <c r="AV961" s="1377"/>
      <c r="AW961" s="1377"/>
      <c r="AX961" s="1377"/>
      <c r="AY961" s="1377"/>
      <c r="AZ961" s="1377"/>
      <c r="BA961" s="1377"/>
      <c r="BB961" s="1377"/>
      <c r="BC961" s="1377"/>
      <c r="BD961" s="1377"/>
      <c r="BE961" s="1377"/>
      <c r="BF961" s="1377"/>
      <c r="BG961" s="1377"/>
      <c r="BH961" s="1377"/>
      <c r="BI961" s="1377"/>
      <c r="BJ961" s="1377"/>
      <c r="BK961" s="1377"/>
      <c r="BL961" s="1377"/>
      <c r="BM961" s="1377"/>
      <c r="BN961" s="1377"/>
      <c r="BO961" s="1377"/>
      <c r="BP961" s="1377"/>
      <c r="BQ961" s="1377"/>
      <c r="BR961" s="1377"/>
      <c r="BS961" s="1377"/>
      <c r="BT961" s="1377"/>
      <c r="BU961" s="1377"/>
      <c r="BV961" s="1377"/>
      <c r="BW961" s="1377"/>
      <c r="BX961" s="1377"/>
      <c r="BY961" s="1377"/>
      <c r="BZ961" s="1377"/>
      <c r="CA961" s="1377"/>
      <c r="CB961" s="1377"/>
      <c r="CC961" s="1377"/>
      <c r="CD961" s="1377"/>
      <c r="CE961" s="1377"/>
      <c r="CF961" s="1377"/>
      <c r="CG961" s="1377"/>
      <c r="CH961" s="1377"/>
      <c r="CI961" s="1377"/>
      <c r="CJ961" s="1377"/>
      <c r="CK961" s="1377"/>
      <c r="CL961" s="1377"/>
      <c r="CM961" s="1377"/>
      <c r="CN961" s="1377"/>
      <c r="CO961" s="1377"/>
      <c r="CP961" s="1377"/>
      <c r="CQ961" s="1377"/>
      <c r="CR961" s="1377"/>
      <c r="CS961" s="1377"/>
      <c r="CT961" s="1377"/>
      <c r="CU961" s="1377"/>
      <c r="CV961" s="1377"/>
      <c r="CW961" s="1377"/>
      <c r="CX961" s="1377"/>
      <c r="CY961" s="1377"/>
      <c r="CZ961" s="1377"/>
      <c r="DA961" s="1377"/>
      <c r="DB961" s="1377"/>
      <c r="DC961" s="1377"/>
      <c r="DD961" s="1377"/>
      <c r="DE961" s="1377"/>
      <c r="DF961" s="1377"/>
      <c r="DG961" s="1377"/>
      <c r="DH961" s="1377"/>
      <c r="DI961" s="1377"/>
      <c r="DJ961" s="1377"/>
      <c r="DK961" s="1377"/>
      <c r="DL961" s="1377"/>
      <c r="DM961" s="1377"/>
      <c r="DN961" s="1377"/>
      <c r="DO961" s="1377"/>
      <c r="DP961" s="1377"/>
      <c r="DQ961" s="1377"/>
      <c r="DR961" s="1377"/>
      <c r="DS961" s="1377"/>
      <c r="DT961" s="1377"/>
      <c r="DU961" s="1377"/>
      <c r="DV961" s="1377"/>
      <c r="DW961" s="1377"/>
      <c r="DX961" s="1377"/>
      <c r="DY961" s="1377"/>
      <c r="DZ961" s="1377"/>
      <c r="EA961" s="1377"/>
      <c r="EB961" s="1377"/>
      <c r="EC961" s="1377"/>
      <c r="ED961" s="1377"/>
      <c r="EE961" s="1377"/>
      <c r="EF961" s="1377"/>
      <c r="EG961" s="1377"/>
      <c r="EH961" s="1377"/>
      <c r="EI961" s="1377"/>
      <c r="EJ961" s="1377"/>
      <c r="EK961" s="1377"/>
      <c r="EL961" s="1377"/>
      <c r="EM961" s="1377"/>
      <c r="EN961" s="1377"/>
      <c r="EO961" s="1377"/>
      <c r="EP961" s="1377"/>
      <c r="EQ961" s="1377"/>
      <c r="ER961" s="1377"/>
      <c r="ES961" s="1377"/>
      <c r="ET961" s="1377"/>
      <c r="EU961" s="1377"/>
      <c r="EV961" s="1377"/>
      <c r="EW961" s="1377"/>
      <c r="EX961" s="1377"/>
      <c r="EY961" s="1377"/>
      <c r="EZ961" s="1377"/>
      <c r="FA961" s="1377"/>
      <c r="FB961" s="1377"/>
      <c r="FC961" s="1377"/>
      <c r="FD961" s="1377"/>
      <c r="FE961" s="1377"/>
      <c r="FF961" s="1377"/>
      <c r="FG961" s="1377"/>
      <c r="FH961" s="1377"/>
      <c r="FI961" s="1377"/>
      <c r="FJ961" s="1377"/>
      <c r="FK961" s="1377"/>
      <c r="FL961" s="1377"/>
      <c r="FM961" s="1377"/>
      <c r="FN961" s="1377"/>
      <c r="FO961" s="1377"/>
      <c r="FP961" s="1377"/>
      <c r="FQ961" s="1377"/>
      <c r="FR961" s="1377"/>
      <c r="FS961" s="1377"/>
      <c r="FT961" s="1377"/>
      <c r="FU961" s="1377"/>
      <c r="FV961" s="1377"/>
      <c r="FW961" s="1377"/>
      <c r="FX961" s="1377"/>
      <c r="FY961" s="1377"/>
      <c r="FZ961" s="1377"/>
      <c r="GA961" s="1377"/>
      <c r="GB961" s="1377"/>
      <c r="GC961" s="1377"/>
      <c r="GD961" s="1377"/>
    </row>
    <row r="962" spans="1:188" customFormat="1" ht="16.2" hidden="1" thickBot="1">
      <c r="A962" s="2186" t="s">
        <v>25</v>
      </c>
      <c r="B962" s="2187" t="s">
        <v>25</v>
      </c>
      <c r="C962" s="2188" t="s">
        <v>4811</v>
      </c>
      <c r="D962" s="2188" t="s">
        <v>3710</v>
      </c>
      <c r="E962" s="2188" t="s">
        <v>4812</v>
      </c>
      <c r="F962" s="2188">
        <v>757332628</v>
      </c>
      <c r="G962" s="2189">
        <v>757000000</v>
      </c>
      <c r="H962" s="2190"/>
      <c r="I962" s="2190"/>
      <c r="J962" s="2191" t="s">
        <v>189</v>
      </c>
      <c r="K962" s="2192" t="s">
        <v>274</v>
      </c>
      <c r="L962" s="2192" t="s">
        <v>2550</v>
      </c>
      <c r="M962" s="2192" t="s">
        <v>4820</v>
      </c>
      <c r="N962" s="2192">
        <v>2150031545</v>
      </c>
      <c r="O962" s="2193">
        <v>46030</v>
      </c>
      <c r="P962" s="2190"/>
      <c r="Q962" s="2193">
        <v>46032</v>
      </c>
      <c r="R962" s="2187" t="s">
        <v>2768</v>
      </c>
      <c r="S962" s="2194"/>
      <c r="T962" s="2194"/>
      <c r="U962" s="2195">
        <v>46033</v>
      </c>
      <c r="V962" s="2187" t="s">
        <v>310</v>
      </c>
      <c r="W962" s="2194"/>
      <c r="X962" s="2187" t="s">
        <v>32</v>
      </c>
      <c r="Y962" s="594"/>
      <c r="Z962" s="594"/>
      <c r="AA962" s="2177" t="s">
        <v>532</v>
      </c>
      <c r="AB962" s="2179" t="s">
        <v>16</v>
      </c>
      <c r="AC962" s="2192" t="s">
        <v>4821</v>
      </c>
      <c r="AD962" s="1272"/>
      <c r="AE962" s="1272"/>
      <c r="AF962" s="1271"/>
      <c r="AG962" s="1271"/>
      <c r="AH962" s="1271"/>
      <c r="AI962" s="1271"/>
      <c r="AJ962" s="1271"/>
      <c r="AK962" s="1271"/>
      <c r="AL962" s="1271"/>
      <c r="AM962" s="1271"/>
      <c r="AN962" s="1271"/>
      <c r="AO962" s="1271"/>
      <c r="AP962" s="1271"/>
      <c r="AQ962" s="1271"/>
      <c r="AR962" s="1271"/>
      <c r="AS962" s="1271"/>
      <c r="AT962" s="1271"/>
      <c r="AU962" s="1271"/>
      <c r="AV962" s="1271"/>
      <c r="AW962" s="1271"/>
      <c r="AX962" s="1271"/>
      <c r="AY962" s="1271"/>
      <c r="AZ962" s="1271"/>
      <c r="BA962" s="1271"/>
      <c r="BB962" s="1271"/>
      <c r="BC962" s="1271"/>
      <c r="BD962" s="1271"/>
      <c r="BE962" s="1271"/>
      <c r="BF962" s="1271"/>
      <c r="BG962" s="1271"/>
      <c r="BH962" s="1271"/>
      <c r="BI962" s="1271"/>
      <c r="BJ962" s="1271"/>
      <c r="BK962" s="1271"/>
      <c r="BL962" s="1271"/>
      <c r="BM962" s="1271"/>
      <c r="BN962" s="1271"/>
      <c r="BO962" s="1271"/>
      <c r="BP962" s="1271"/>
      <c r="BQ962" s="1271"/>
      <c r="BR962" s="1271"/>
      <c r="BS962" s="1271"/>
      <c r="BT962" s="1271"/>
      <c r="BU962" s="1271"/>
      <c r="BV962" s="1271"/>
      <c r="BW962" s="1271"/>
      <c r="BX962" s="1271"/>
      <c r="BY962" s="1271"/>
      <c r="BZ962" s="1271"/>
      <c r="CA962" s="1271"/>
      <c r="CB962" s="1271"/>
      <c r="CC962" s="1271"/>
      <c r="CD962" s="1271"/>
      <c r="CE962" s="1271"/>
      <c r="CF962" s="1271"/>
      <c r="CG962" s="1271"/>
      <c r="CH962" s="1271"/>
      <c r="CI962" s="1271"/>
      <c r="CJ962" s="1271"/>
      <c r="CK962" s="1271"/>
      <c r="CL962" s="1271"/>
      <c r="CM962" s="1271"/>
      <c r="CN962" s="1271"/>
      <c r="CO962" s="1271"/>
      <c r="CP962" s="1271"/>
      <c r="CQ962" s="1271"/>
      <c r="CR962" s="1271"/>
      <c r="CS962" s="1271"/>
      <c r="CT962" s="1271"/>
      <c r="CU962" s="1271"/>
      <c r="CV962" s="1271"/>
      <c r="CW962" s="1271"/>
      <c r="CX962" s="1271"/>
      <c r="CY962" s="1271"/>
      <c r="CZ962" s="1271"/>
      <c r="DA962" s="1271"/>
      <c r="DB962" s="1271"/>
      <c r="DC962" s="1271"/>
      <c r="DD962" s="1271"/>
      <c r="DE962" s="1271"/>
      <c r="DF962" s="1271"/>
      <c r="DG962" s="1271"/>
      <c r="DH962" s="1271"/>
      <c r="DI962" s="1271"/>
      <c r="DJ962" s="1271"/>
      <c r="DK962" s="1271"/>
      <c r="DL962" s="1271"/>
      <c r="DM962" s="1271"/>
      <c r="DN962" s="1271"/>
      <c r="DO962" s="1271"/>
      <c r="DP962" s="1271"/>
      <c r="DQ962" s="1271"/>
      <c r="DR962" s="1271"/>
      <c r="DS962" s="1271"/>
      <c r="DT962" s="1271"/>
      <c r="DU962" s="1271"/>
      <c r="DV962" s="1271"/>
      <c r="DW962" s="1271"/>
      <c r="DX962" s="1271"/>
      <c r="DY962" s="1271"/>
      <c r="DZ962" s="1271"/>
      <c r="EA962" s="1271"/>
      <c r="EB962" s="1271"/>
      <c r="EC962" s="1271"/>
      <c r="ED962" s="1271"/>
      <c r="EE962" s="1271"/>
      <c r="EF962" s="1271"/>
      <c r="EG962" s="1271"/>
      <c r="EH962" s="1271"/>
      <c r="EI962" s="1271"/>
      <c r="EJ962" s="1271"/>
      <c r="EK962" s="1271"/>
      <c r="EL962" s="1271"/>
      <c r="EM962" s="1271"/>
      <c r="EN962" s="1271"/>
      <c r="EO962" s="1271"/>
      <c r="EP962" s="1271"/>
      <c r="EQ962" s="1271"/>
      <c r="ER962" s="1271"/>
      <c r="ES962" s="1271"/>
      <c r="ET962" s="1271"/>
      <c r="EU962" s="1271"/>
      <c r="EV962" s="1271"/>
      <c r="EW962" s="1271"/>
      <c r="EX962" s="1271"/>
      <c r="EY962" s="1271"/>
      <c r="EZ962" s="1271"/>
      <c r="FA962" s="1271"/>
      <c r="FB962" s="1271"/>
      <c r="FC962" s="1271"/>
      <c r="FD962" s="1271"/>
      <c r="FE962" s="1271"/>
      <c r="FF962" s="1271"/>
      <c r="FG962" s="1271"/>
      <c r="FH962" s="1271"/>
      <c r="FI962" s="1271"/>
      <c r="FJ962" s="1271"/>
      <c r="FK962" s="1271"/>
      <c r="FL962" s="1271"/>
      <c r="FM962" s="1271"/>
      <c r="FN962" s="1271"/>
      <c r="FO962" s="1271"/>
      <c r="FP962" s="1271"/>
      <c r="FQ962" s="1271"/>
      <c r="FR962" s="1271"/>
      <c r="FS962" s="1271"/>
      <c r="FT962" s="1271"/>
      <c r="FU962" s="1271"/>
      <c r="FV962" s="1271"/>
      <c r="FW962" s="1271"/>
      <c r="FX962" s="1271"/>
      <c r="FY962" s="1271"/>
      <c r="FZ962" s="1271"/>
      <c r="GA962" s="1271"/>
      <c r="GB962" s="1271"/>
      <c r="GC962" s="1271"/>
      <c r="GD962" s="1271"/>
    </row>
    <row r="963" spans="1:188" s="634" customFormat="1" ht="15" hidden="1" customHeight="1" thickBot="1">
      <c r="A963" s="1256" t="s">
        <v>25</v>
      </c>
      <c r="B963" s="1256" t="s">
        <v>25</v>
      </c>
      <c r="C963" s="705" t="s">
        <v>4815</v>
      </c>
      <c r="D963" s="705" t="s">
        <v>1690</v>
      </c>
      <c r="E963" s="705" t="s">
        <v>84</v>
      </c>
      <c r="F963" s="705">
        <v>507006848</v>
      </c>
      <c r="G963" s="705">
        <v>749160076</v>
      </c>
      <c r="H963" s="978">
        <v>5.8348000000000004</v>
      </c>
      <c r="I963" s="978">
        <v>-5.3653599999999999</v>
      </c>
      <c r="J963" s="705" t="s">
        <v>36</v>
      </c>
      <c r="K963" s="978" t="s">
        <v>203</v>
      </c>
      <c r="L963" s="978" t="s">
        <v>1270</v>
      </c>
      <c r="M963" s="1273" t="s">
        <v>4830</v>
      </c>
      <c r="N963" s="1274">
        <v>2150031544</v>
      </c>
      <c r="O963" s="706">
        <v>46031</v>
      </c>
      <c r="P963" s="978"/>
      <c r="Q963" s="706">
        <v>46032</v>
      </c>
      <c r="R963" s="1256" t="s">
        <v>2641</v>
      </c>
      <c r="S963" s="1256"/>
      <c r="T963" s="1256">
        <v>0</v>
      </c>
      <c r="U963" s="1258">
        <v>46035</v>
      </c>
      <c r="V963" s="1256" t="s">
        <v>310</v>
      </c>
      <c r="W963" s="1256">
        <v>150</v>
      </c>
      <c r="X963" s="1265" t="s">
        <v>32</v>
      </c>
      <c r="AA963" s="1256" t="s">
        <v>532</v>
      </c>
      <c r="AB963" s="978" t="s">
        <v>16</v>
      </c>
      <c r="AC963" s="978" t="s">
        <v>4818</v>
      </c>
    </row>
    <row r="964" spans="1:188" s="634" customFormat="1" ht="15" hidden="1" customHeight="1" thickBot="1">
      <c r="A964" s="1256" t="s">
        <v>25</v>
      </c>
      <c r="B964" s="1256" t="s">
        <v>25</v>
      </c>
      <c r="C964" s="705" t="s">
        <v>4816</v>
      </c>
      <c r="D964" s="705" t="s">
        <v>492</v>
      </c>
      <c r="E964" s="705" t="s">
        <v>295</v>
      </c>
      <c r="F964" s="705">
        <v>708190147</v>
      </c>
      <c r="G964" s="705">
        <v>708190147</v>
      </c>
      <c r="H964" s="978">
        <v>5.8368099999999998</v>
      </c>
      <c r="I964" s="978">
        <v>-5.3536599999999996</v>
      </c>
      <c r="J964" s="705" t="s">
        <v>189</v>
      </c>
      <c r="K964" s="978" t="s">
        <v>190</v>
      </c>
      <c r="L964" s="978" t="s">
        <v>2256</v>
      </c>
      <c r="M964" s="1269" t="s">
        <v>4829</v>
      </c>
      <c r="N964" s="1269">
        <v>2150031541</v>
      </c>
      <c r="O964" s="706">
        <v>46031</v>
      </c>
      <c r="P964" s="978"/>
      <c r="Q964" s="706">
        <v>46032</v>
      </c>
      <c r="R964" s="1256" t="s">
        <v>2641</v>
      </c>
      <c r="S964" s="1256"/>
      <c r="T964" s="1256">
        <v>1</v>
      </c>
      <c r="U964" s="1258">
        <v>46035</v>
      </c>
      <c r="V964" s="1256" t="s">
        <v>310</v>
      </c>
      <c r="W964" s="1256">
        <v>350</v>
      </c>
      <c r="X964" s="1265" t="s">
        <v>32</v>
      </c>
      <c r="AA964" s="1256" t="s">
        <v>532</v>
      </c>
      <c r="AB964" s="978" t="s">
        <v>16</v>
      </c>
      <c r="AC964" s="978" t="s">
        <v>4817</v>
      </c>
    </row>
    <row r="965" spans="1:188" s="624" customFormat="1" ht="15" hidden="1" customHeight="1" thickBot="1">
      <c r="A965" s="1260" t="s">
        <v>25</v>
      </c>
      <c r="B965" s="1260" t="s">
        <v>25</v>
      </c>
      <c r="C965" s="248" t="s">
        <v>4473</v>
      </c>
      <c r="D965" s="248" t="s">
        <v>4474</v>
      </c>
      <c r="E965" s="248" t="s">
        <v>4475</v>
      </c>
      <c r="F965" s="248">
        <v>141528373</v>
      </c>
      <c r="G965" s="248">
        <v>747268128</v>
      </c>
      <c r="H965" s="855">
        <v>5.8329899999999997</v>
      </c>
      <c r="I965" s="855">
        <v>-5.35825</v>
      </c>
      <c r="J965" s="248" t="s">
        <v>36</v>
      </c>
      <c r="K965" s="855" t="s">
        <v>198</v>
      </c>
      <c r="L965" s="855" t="s">
        <v>1800</v>
      </c>
      <c r="M965" s="855" t="s">
        <v>4836</v>
      </c>
      <c r="N965" s="855">
        <v>2150031543</v>
      </c>
      <c r="O965" s="1275">
        <v>46000</v>
      </c>
      <c r="P965" s="855"/>
      <c r="Q965" s="1275">
        <v>46003</v>
      </c>
      <c r="R965" s="1260" t="s">
        <v>2641</v>
      </c>
      <c r="S965" s="1260"/>
      <c r="T965" s="1260">
        <v>1</v>
      </c>
      <c r="U965" s="1261">
        <v>46038</v>
      </c>
      <c r="V965" s="1260" t="s">
        <v>310</v>
      </c>
      <c r="W965" s="1260">
        <v>250</v>
      </c>
      <c r="X965" s="1260" t="s">
        <v>32</v>
      </c>
      <c r="AA965" s="1256" t="s">
        <v>532</v>
      </c>
      <c r="AB965" s="978" t="s">
        <v>16</v>
      </c>
      <c r="AC965" s="855" t="s">
        <v>4833</v>
      </c>
      <c r="AD965" s="1276"/>
      <c r="AE965" s="1277"/>
    </row>
    <row r="966" spans="1:188" s="634" customFormat="1" ht="15" hidden="1" customHeight="1" thickBot="1">
      <c r="A966" s="1624" t="s">
        <v>25</v>
      </c>
      <c r="B966" s="1624" t="s">
        <v>25</v>
      </c>
      <c r="C966" s="1631" t="s">
        <v>4749</v>
      </c>
      <c r="D966" s="1631" t="s">
        <v>4750</v>
      </c>
      <c r="E966" s="1631" t="s">
        <v>295</v>
      </c>
      <c r="F966" s="1631">
        <v>788509179</v>
      </c>
      <c r="G966" s="1631">
        <v>708791307</v>
      </c>
      <c r="H966" s="1325">
        <v>5.8340800000000002</v>
      </c>
      <c r="I966" s="1325">
        <v>-5.3544900000000002</v>
      </c>
      <c r="J966" s="1631" t="s">
        <v>36</v>
      </c>
      <c r="K966" s="1325" t="s">
        <v>274</v>
      </c>
      <c r="L966" s="1325" t="s">
        <v>4825</v>
      </c>
      <c r="M966" s="1325" t="s">
        <v>4831</v>
      </c>
      <c r="N966" s="1325">
        <v>2150031549</v>
      </c>
      <c r="O966" s="1632">
        <v>46027</v>
      </c>
      <c r="P966" s="1325"/>
      <c r="Q966" s="1632">
        <v>46028</v>
      </c>
      <c r="R966" s="1624" t="s">
        <v>2641</v>
      </c>
      <c r="S966" s="1624"/>
      <c r="T966" s="1624">
        <v>1</v>
      </c>
      <c r="U966" s="1629">
        <v>46037</v>
      </c>
      <c r="V966" s="1624" t="s">
        <v>310</v>
      </c>
      <c r="W966" s="1624">
        <v>100</v>
      </c>
      <c r="X966" s="1630" t="s">
        <v>32</v>
      </c>
      <c r="AA966" s="1624" t="s">
        <v>532</v>
      </c>
      <c r="AB966" s="1325" t="s">
        <v>16</v>
      </c>
      <c r="AC966" s="1325" t="s">
        <v>4826</v>
      </c>
      <c r="AD966" s="1052"/>
      <c r="AE966" s="1051"/>
    </row>
    <row r="967" spans="1:188" s="634" customFormat="1" ht="15" customHeight="1" thickBot="1">
      <c r="A967" s="1256" t="s">
        <v>25</v>
      </c>
      <c r="B967" s="1256" t="s">
        <v>25</v>
      </c>
      <c r="C967" s="329" t="s">
        <v>4756</v>
      </c>
      <c r="D967" s="329" t="s">
        <v>4244</v>
      </c>
      <c r="E967" s="329" t="s">
        <v>4757</v>
      </c>
      <c r="F967" s="329">
        <v>709213212</v>
      </c>
      <c r="G967" s="329">
        <v>506102432</v>
      </c>
      <c r="H967" s="978">
        <v>5.8290699999999998</v>
      </c>
      <c r="I967" s="978">
        <v>-5.3590900000000001</v>
      </c>
      <c r="J967" s="329" t="s">
        <v>2612</v>
      </c>
      <c r="K967" s="978" t="s">
        <v>274</v>
      </c>
      <c r="L967" s="978" t="s">
        <v>2614</v>
      </c>
      <c r="M967" s="978" t="s">
        <v>4832</v>
      </c>
      <c r="N967" s="978">
        <v>2150031548</v>
      </c>
      <c r="O967" s="330">
        <v>46028</v>
      </c>
      <c r="P967" s="978"/>
      <c r="Q967" s="330">
        <v>46030</v>
      </c>
      <c r="R967" s="1256" t="s">
        <v>2641</v>
      </c>
      <c r="S967" s="1256"/>
      <c r="T967" s="1256">
        <v>1</v>
      </c>
      <c r="U967" s="1258">
        <v>46037</v>
      </c>
      <c r="V967" s="1256" t="s">
        <v>310</v>
      </c>
      <c r="W967" s="1256">
        <v>100</v>
      </c>
      <c r="X967" s="1265" t="s">
        <v>32</v>
      </c>
      <c r="Y967" s="978"/>
      <c r="Z967" s="978"/>
      <c r="AA967" s="1256" t="s">
        <v>532</v>
      </c>
      <c r="AB967" s="978" t="s">
        <v>16</v>
      </c>
      <c r="AC967" s="978" t="s">
        <v>4822</v>
      </c>
      <c r="AD967" s="1052"/>
      <c r="AE967" s="1051"/>
    </row>
    <row r="968" spans="1:188" ht="15" hidden="1" customHeight="1" thickBot="1">
      <c r="A968" s="2196" t="s">
        <v>25</v>
      </c>
      <c r="B968" s="2197" t="s">
        <v>25</v>
      </c>
      <c r="C968" s="2198" t="s">
        <v>4827</v>
      </c>
      <c r="D968" s="2198" t="s">
        <v>4828</v>
      </c>
      <c r="E968" s="2198" t="s">
        <v>621</v>
      </c>
      <c r="F968" s="2199">
        <v>103105929</v>
      </c>
      <c r="G968" s="2199">
        <v>709300409</v>
      </c>
      <c r="H968" s="2200">
        <v>5.8534300000000004</v>
      </c>
      <c r="I968" s="2200">
        <v>-5.3464299999999998</v>
      </c>
      <c r="J968" s="2198" t="s">
        <v>189</v>
      </c>
      <c r="K968" s="2200" t="s">
        <v>198</v>
      </c>
      <c r="L968" s="2200" t="s">
        <v>888</v>
      </c>
      <c r="M968" s="2201" t="s">
        <v>4848</v>
      </c>
      <c r="N968" s="2201">
        <v>2150031547</v>
      </c>
      <c r="O968" s="2202">
        <v>46021</v>
      </c>
      <c r="P968" s="2201"/>
      <c r="Q968" s="2202">
        <v>46035</v>
      </c>
      <c r="R968" s="2197" t="s">
        <v>2641</v>
      </c>
      <c r="S968" s="2203"/>
      <c r="T968" s="2197">
        <v>2</v>
      </c>
      <c r="U968" s="2204">
        <v>46039</v>
      </c>
      <c r="V968" s="2197" t="s">
        <v>310</v>
      </c>
      <c r="W968" s="2197">
        <v>450</v>
      </c>
      <c r="X968" s="2197" t="s">
        <v>32</v>
      </c>
      <c r="Y968" s="634"/>
      <c r="Z968" s="634"/>
      <c r="AA968" s="2205" t="s">
        <v>532</v>
      </c>
      <c r="AB968" s="2200" t="s">
        <v>16</v>
      </c>
      <c r="AC968" s="2200" t="s">
        <v>4835</v>
      </c>
      <c r="AD968" s="1270"/>
    </row>
    <row r="969" spans="1:188" ht="15" customHeight="1" thickBot="1">
      <c r="A969" s="1260" t="s">
        <v>25</v>
      </c>
      <c r="B969" s="1260" t="s">
        <v>25</v>
      </c>
      <c r="C969" s="1335" t="s">
        <v>4809</v>
      </c>
      <c r="D969" s="1335" t="s">
        <v>4810</v>
      </c>
      <c r="E969" s="1335" t="s">
        <v>3287</v>
      </c>
      <c r="F969" s="1335">
        <v>712158569</v>
      </c>
      <c r="G969" s="1335">
        <v>555230365</v>
      </c>
      <c r="H969" s="855">
        <v>5.8263400000000001</v>
      </c>
      <c r="I969" s="855">
        <v>-5.3606199999999999</v>
      </c>
      <c r="J969" s="1335" t="s">
        <v>2612</v>
      </c>
      <c r="K969" s="855" t="s">
        <v>274</v>
      </c>
      <c r="L969" s="855" t="s">
        <v>4731</v>
      </c>
      <c r="M969" s="855" t="s">
        <v>4849</v>
      </c>
      <c r="N969" s="855">
        <v>2150031540</v>
      </c>
      <c r="O969" s="2269">
        <v>46030</v>
      </c>
      <c r="P969" s="855"/>
      <c r="Q969" s="2269">
        <v>46032</v>
      </c>
      <c r="R969" s="1260" t="s">
        <v>2641</v>
      </c>
      <c r="S969" s="1260"/>
      <c r="T969" s="1260">
        <v>1</v>
      </c>
      <c r="U969" s="1258">
        <v>46039</v>
      </c>
      <c r="V969" s="1260" t="s">
        <v>310</v>
      </c>
      <c r="W969" s="1260">
        <v>300</v>
      </c>
      <c r="X969" s="1260" t="s">
        <v>32</v>
      </c>
      <c r="Y969" s="978"/>
      <c r="Z969" s="978"/>
      <c r="AA969" s="1256" t="s">
        <v>532</v>
      </c>
      <c r="AB969" s="855" t="s">
        <v>16</v>
      </c>
      <c r="AC969" s="855" t="s">
        <v>4834</v>
      </c>
      <c r="AD969" s="1383"/>
    </row>
    <row r="970" spans="1:188" s="635" customFormat="1" ht="15" customHeight="1">
      <c r="A970" s="174" t="s">
        <v>25</v>
      </c>
      <c r="B970" s="174" t="s">
        <v>25</v>
      </c>
      <c r="C970" s="167" t="s">
        <v>4840</v>
      </c>
      <c r="D970" s="167" t="s">
        <v>4841</v>
      </c>
      <c r="E970" s="167" t="s">
        <v>3400</v>
      </c>
      <c r="F970" s="167">
        <v>102919115</v>
      </c>
      <c r="G970" s="167">
        <v>505737318</v>
      </c>
      <c r="H970" s="168">
        <v>5.8189900000000003</v>
      </c>
      <c r="I970" s="168">
        <v>-5.3685999999999998</v>
      </c>
      <c r="J970" s="167" t="s">
        <v>2612</v>
      </c>
      <c r="K970" s="168" t="s">
        <v>198</v>
      </c>
      <c r="L970" s="168" t="s">
        <v>4584</v>
      </c>
      <c r="M970" s="168" t="s">
        <v>4860</v>
      </c>
      <c r="N970" s="168">
        <v>2150031546</v>
      </c>
      <c r="O970" s="299">
        <v>46036</v>
      </c>
      <c r="P970" s="168"/>
      <c r="Q970" s="299">
        <v>46037</v>
      </c>
      <c r="R970" s="174" t="s">
        <v>2641</v>
      </c>
      <c r="S970" s="174"/>
      <c r="T970" s="174">
        <v>1</v>
      </c>
      <c r="U970" s="175">
        <v>46041</v>
      </c>
      <c r="V970" s="174" t="s">
        <v>310</v>
      </c>
      <c r="W970" s="174">
        <v>200</v>
      </c>
      <c r="X970" s="174" t="s">
        <v>32</v>
      </c>
      <c r="Y970" s="168"/>
      <c r="Z970" s="168"/>
      <c r="AA970" s="1256" t="s">
        <v>532</v>
      </c>
      <c r="AB970" s="855" t="s">
        <v>16</v>
      </c>
      <c r="AC970" s="168" t="s">
        <v>4847</v>
      </c>
    </row>
    <row r="971" spans="1:188" s="634" customFormat="1" ht="15" customHeight="1" thickBot="1">
      <c r="A971" s="1260" t="s">
        <v>25</v>
      </c>
      <c r="B971" s="1260" t="s">
        <v>25</v>
      </c>
      <c r="C971" s="246" t="s">
        <v>4845</v>
      </c>
      <c r="D971" s="246" t="s">
        <v>4846</v>
      </c>
      <c r="E971" s="246" t="s">
        <v>4720</v>
      </c>
      <c r="F971" s="246">
        <v>747268188</v>
      </c>
      <c r="G971" s="246">
        <v>747268188</v>
      </c>
      <c r="H971" s="978">
        <v>5.8290899999999999</v>
      </c>
      <c r="I971" s="978">
        <v>-5.3579499999999998</v>
      </c>
      <c r="J971" s="246" t="s">
        <v>2612</v>
      </c>
      <c r="K971" s="978" t="s">
        <v>203</v>
      </c>
      <c r="L971" s="978" t="s">
        <v>3883</v>
      </c>
      <c r="M971" s="978" t="s">
        <v>4861</v>
      </c>
      <c r="N971" s="978">
        <v>2150031551</v>
      </c>
      <c r="O971" s="251">
        <v>46036</v>
      </c>
      <c r="P971" s="978"/>
      <c r="Q971" s="251">
        <v>46036</v>
      </c>
      <c r="R971" s="1256" t="s">
        <v>2641</v>
      </c>
      <c r="S971" s="1256"/>
      <c r="T971" s="1256">
        <v>0</v>
      </c>
      <c r="U971" s="1258">
        <v>46041</v>
      </c>
      <c r="V971" s="1256" t="s">
        <v>310</v>
      </c>
      <c r="W971" s="1256">
        <v>250</v>
      </c>
      <c r="X971" s="1265" t="s">
        <v>32</v>
      </c>
      <c r="Y971" s="978"/>
      <c r="Z971" s="978"/>
      <c r="AA971" s="1256" t="s">
        <v>532</v>
      </c>
      <c r="AB971" s="855" t="s">
        <v>16</v>
      </c>
      <c r="AC971" s="978" t="s">
        <v>4850</v>
      </c>
    </row>
    <row r="972" spans="1:188" s="1346" customFormat="1" ht="31.8" thickBot="1">
      <c r="A972" s="1367" t="s">
        <v>25</v>
      </c>
      <c r="B972" s="1367" t="s">
        <v>25</v>
      </c>
      <c r="C972" s="2259" t="s">
        <v>4877</v>
      </c>
      <c r="D972" s="2259" t="s">
        <v>4878</v>
      </c>
      <c r="E972" s="2259" t="s">
        <v>4879</v>
      </c>
      <c r="F972" s="2259">
        <v>141388211</v>
      </c>
      <c r="G972" s="1367"/>
      <c r="H972" s="1367" t="s">
        <v>4880</v>
      </c>
      <c r="I972" s="1367" t="s">
        <v>4881</v>
      </c>
      <c r="J972" s="490" t="s">
        <v>4882</v>
      </c>
      <c r="K972" s="1022" t="s">
        <v>274</v>
      </c>
      <c r="L972" s="1022" t="s">
        <v>2613</v>
      </c>
      <c r="M972" s="490" t="s">
        <v>4883</v>
      </c>
      <c r="N972" s="2259">
        <v>2150047036</v>
      </c>
      <c r="O972" s="2270">
        <v>46041</v>
      </c>
      <c r="P972" s="1367"/>
      <c r="Q972" s="2270">
        <v>46041</v>
      </c>
      <c r="R972" s="1367"/>
      <c r="S972" s="1367"/>
      <c r="T972" s="1367"/>
      <c r="U972" s="2271">
        <v>46041</v>
      </c>
      <c r="V972" s="1367" t="s">
        <v>4884</v>
      </c>
      <c r="W972" s="490">
        <v>150</v>
      </c>
      <c r="X972" s="490" t="s">
        <v>32</v>
      </c>
      <c r="Y972" s="246"/>
      <c r="Z972" s="246"/>
      <c r="AA972" s="1256" t="s">
        <v>532</v>
      </c>
      <c r="AB972" s="855" t="s">
        <v>16</v>
      </c>
      <c r="AC972" s="1260"/>
      <c r="AE972" s="1310"/>
      <c r="AF972" s="1378"/>
      <c r="AG972" s="1378"/>
      <c r="AH972" s="1238"/>
      <c r="AI972" s="1238"/>
      <c r="AJ972" s="1238"/>
      <c r="AK972" s="1238"/>
      <c r="AL972" s="1238"/>
      <c r="AM972" s="1238"/>
      <c r="AN972" s="1238"/>
      <c r="AO972" s="1238"/>
      <c r="AP972" s="1238"/>
      <c r="AQ972" s="1238"/>
      <c r="AR972" s="1238"/>
      <c r="AS972" s="1238"/>
      <c r="AT972" s="1238"/>
      <c r="AU972" s="1238"/>
      <c r="AV972" s="1238"/>
      <c r="AW972" s="1238"/>
      <c r="AX972" s="1238"/>
      <c r="AY972" s="1238"/>
      <c r="AZ972" s="1238"/>
      <c r="BA972" s="1238"/>
      <c r="BB972" s="1238"/>
      <c r="BC972" s="1238"/>
      <c r="BD972" s="1238"/>
      <c r="BE972" s="1238"/>
      <c r="BF972" s="1238"/>
      <c r="BG972" s="1238"/>
      <c r="BH972" s="1238"/>
      <c r="BI972" s="1238"/>
      <c r="BJ972" s="1238"/>
      <c r="BK972" s="1238"/>
      <c r="BL972" s="1238"/>
      <c r="BM972" s="1238"/>
      <c r="BN972" s="1238"/>
      <c r="BO972" s="1238"/>
      <c r="BP972" s="1238"/>
      <c r="BQ972" s="1238"/>
      <c r="BR972" s="1238"/>
      <c r="BS972" s="1238"/>
      <c r="BT972" s="1238"/>
      <c r="BU972" s="1238"/>
      <c r="BV972" s="1238"/>
      <c r="BW972" s="1238"/>
      <c r="BX972" s="1238"/>
      <c r="BY972" s="1238"/>
      <c r="BZ972" s="1238"/>
      <c r="CA972" s="1238"/>
      <c r="CB972" s="1238"/>
      <c r="CC972" s="1238"/>
      <c r="CD972" s="1238"/>
      <c r="CE972" s="1238"/>
      <c r="CF972" s="1238"/>
      <c r="CG972" s="1238"/>
      <c r="CH972" s="1238"/>
      <c r="CI972" s="1238"/>
      <c r="CJ972" s="1238"/>
      <c r="CK972" s="1238"/>
      <c r="CL972" s="1238"/>
      <c r="CM972" s="1238"/>
      <c r="CN972" s="1238"/>
      <c r="CO972" s="1238"/>
      <c r="CP972" s="1238"/>
      <c r="CQ972" s="1238"/>
      <c r="CR972" s="1238"/>
      <c r="CS972" s="1238"/>
      <c r="CT972" s="1238"/>
      <c r="CU972" s="1238"/>
      <c r="CV972" s="1238"/>
      <c r="CW972" s="1238"/>
      <c r="CX972" s="1238"/>
      <c r="CY972" s="1238"/>
      <c r="CZ972" s="1238"/>
      <c r="DA972" s="1238"/>
      <c r="DB972" s="1238"/>
      <c r="DC972" s="1238"/>
      <c r="DD972" s="1238"/>
      <c r="DE972" s="1238"/>
      <c r="DF972" s="1238"/>
      <c r="DG972" s="1238"/>
      <c r="DH972" s="1238"/>
      <c r="DI972" s="1238"/>
      <c r="DJ972" s="1238"/>
      <c r="DK972" s="1238"/>
      <c r="DL972" s="1238"/>
      <c r="DM972" s="1238"/>
      <c r="DN972" s="1238"/>
      <c r="DO972" s="1238"/>
      <c r="DP972" s="1238"/>
      <c r="DQ972" s="1238"/>
      <c r="DR972" s="1238"/>
      <c r="DS972" s="1238"/>
      <c r="DT972" s="1238"/>
      <c r="DU972" s="1238"/>
      <c r="DV972" s="1238"/>
      <c r="DW972" s="1238"/>
      <c r="DX972" s="1238"/>
      <c r="DY972" s="1238"/>
      <c r="DZ972" s="1238"/>
      <c r="EA972" s="1238"/>
      <c r="EB972" s="1238"/>
      <c r="EC972" s="1238"/>
      <c r="ED972" s="1238"/>
      <c r="EE972" s="1238"/>
      <c r="EF972" s="1238"/>
      <c r="EG972" s="1238"/>
      <c r="EH972" s="1238"/>
      <c r="EI972" s="1238"/>
      <c r="EJ972" s="1238"/>
      <c r="EK972" s="1238"/>
      <c r="EL972" s="1238"/>
      <c r="EM972" s="1238"/>
      <c r="EN972" s="1238"/>
      <c r="EO972" s="1238"/>
      <c r="EP972" s="1238"/>
      <c r="EQ972" s="1238"/>
      <c r="ER972" s="1238"/>
      <c r="ES972" s="1238"/>
      <c r="ET972" s="1238"/>
      <c r="EU972" s="1238"/>
      <c r="EV972" s="1238"/>
      <c r="EW972" s="1238"/>
      <c r="EX972" s="1238"/>
      <c r="EY972" s="1238"/>
      <c r="EZ972" s="1238"/>
      <c r="FA972" s="1238"/>
      <c r="FB972" s="1238"/>
      <c r="FC972" s="1238"/>
      <c r="FD972" s="1238"/>
      <c r="FE972" s="1238"/>
      <c r="FF972" s="1238"/>
      <c r="FG972" s="1238"/>
      <c r="FH972" s="1238"/>
      <c r="FI972" s="1238"/>
      <c r="FJ972" s="1238"/>
      <c r="FK972" s="1238"/>
      <c r="FL972" s="1238"/>
      <c r="FM972" s="1238"/>
      <c r="FN972" s="1238"/>
      <c r="FO972" s="1238"/>
      <c r="FP972" s="1238"/>
      <c r="FQ972" s="1238"/>
      <c r="FR972" s="1238"/>
      <c r="FS972" s="1238"/>
      <c r="FT972" s="1238"/>
      <c r="FU972" s="1238"/>
      <c r="FV972" s="1238"/>
      <c r="FW972" s="1238"/>
      <c r="FX972" s="1238"/>
      <c r="FY972" s="1238"/>
      <c r="FZ972" s="1238"/>
      <c r="GA972" s="1238"/>
      <c r="GB972" s="1238"/>
      <c r="GC972" s="1238"/>
      <c r="GD972" s="1238"/>
      <c r="GE972" s="1238"/>
      <c r="GF972" s="1238"/>
    </row>
    <row r="973" spans="1:188" customFormat="1" ht="16.2" hidden="1" thickBot="1">
      <c r="A973" s="2206" t="s">
        <v>25</v>
      </c>
      <c r="B973" s="2207" t="s">
        <v>25</v>
      </c>
      <c r="C973" s="2207" t="s">
        <v>4868</v>
      </c>
      <c r="D973" s="2207" t="s">
        <v>4460</v>
      </c>
      <c r="E973" s="2208"/>
      <c r="F973" s="2208"/>
      <c r="G973" s="2208"/>
      <c r="H973" s="2208"/>
      <c r="I973" s="2208"/>
      <c r="J973" s="2208"/>
      <c r="K973" s="2208"/>
      <c r="L973" s="2208"/>
      <c r="M973" s="2207" t="s">
        <v>4867</v>
      </c>
      <c r="N973" s="2207">
        <v>2150031542</v>
      </c>
      <c r="O973" s="2208"/>
      <c r="P973" s="2208"/>
      <c r="Q973" s="2208"/>
      <c r="R973" s="2208"/>
      <c r="S973" s="2208"/>
      <c r="T973" s="2208"/>
      <c r="U973" s="2209">
        <v>46041</v>
      </c>
      <c r="V973" s="2210" t="s">
        <v>4884</v>
      </c>
      <c r="W973" s="2208">
        <v>150</v>
      </c>
      <c r="X973" s="2208"/>
      <c r="Y973" s="594"/>
      <c r="Z973" s="594"/>
      <c r="AA973" s="2177" t="s">
        <v>532</v>
      </c>
      <c r="AB973" s="2211" t="s">
        <v>16</v>
      </c>
      <c r="AE973" s="1282"/>
      <c r="AF973" s="1281"/>
      <c r="AG973" s="1281"/>
      <c r="AH973" s="1280"/>
      <c r="AI973" s="1280"/>
      <c r="AJ973" s="1280"/>
      <c r="AK973" s="1280"/>
      <c r="AL973" s="1280"/>
      <c r="AM973" s="1280"/>
      <c r="AN973" s="1280"/>
      <c r="AO973" s="1280"/>
      <c r="AP973" s="1280"/>
      <c r="AQ973" s="1280"/>
      <c r="AR973" s="1280"/>
      <c r="AS973" s="1280"/>
      <c r="AT973" s="1280"/>
      <c r="AU973" s="1280"/>
      <c r="AV973" s="1280"/>
      <c r="AW973" s="1280"/>
      <c r="AX973" s="1280"/>
      <c r="AY973" s="1280"/>
      <c r="AZ973" s="1280"/>
      <c r="BA973" s="1280"/>
      <c r="BB973" s="1280"/>
      <c r="BC973" s="1280"/>
      <c r="BD973" s="1280"/>
      <c r="BE973" s="1280"/>
      <c r="BF973" s="1280"/>
      <c r="BG973" s="1280"/>
      <c r="BH973" s="1280"/>
      <c r="BI973" s="1280"/>
      <c r="BJ973" s="1280"/>
      <c r="BK973" s="1280"/>
      <c r="BL973" s="1280"/>
      <c r="BM973" s="1280"/>
      <c r="BN973" s="1280"/>
      <c r="BO973" s="1280"/>
      <c r="BP973" s="1280"/>
      <c r="BQ973" s="1280"/>
      <c r="BR973" s="1280"/>
      <c r="BS973" s="1280"/>
      <c r="BT973" s="1280"/>
      <c r="BU973" s="1280"/>
      <c r="BV973" s="1280"/>
      <c r="BW973" s="1280"/>
      <c r="BX973" s="1280"/>
      <c r="BY973" s="1280"/>
      <c r="BZ973" s="1280"/>
      <c r="CA973" s="1280"/>
      <c r="CB973" s="1280"/>
      <c r="CC973" s="1280"/>
      <c r="CD973" s="1280"/>
      <c r="CE973" s="1280"/>
      <c r="CF973" s="1280"/>
      <c r="CG973" s="1280"/>
      <c r="CH973" s="1280"/>
      <c r="CI973" s="1280"/>
      <c r="CJ973" s="1280"/>
      <c r="CK973" s="1280"/>
      <c r="CL973" s="1280"/>
      <c r="CM973" s="1280"/>
      <c r="CN973" s="1280"/>
      <c r="CO973" s="1280"/>
      <c r="CP973" s="1280"/>
      <c r="CQ973" s="1280"/>
      <c r="CR973" s="1280"/>
      <c r="CS973" s="1280"/>
      <c r="CT973" s="1280"/>
      <c r="CU973" s="1280"/>
      <c r="CV973" s="1280"/>
      <c r="CW973" s="1280"/>
      <c r="CX973" s="1280"/>
      <c r="CY973" s="1280"/>
      <c r="CZ973" s="1280"/>
      <c r="DA973" s="1280"/>
      <c r="DB973" s="1280"/>
      <c r="DC973" s="1280"/>
      <c r="DD973" s="1280"/>
      <c r="DE973" s="1280"/>
      <c r="DF973" s="1280"/>
      <c r="DG973" s="1280"/>
      <c r="DH973" s="1280"/>
      <c r="DI973" s="1280"/>
      <c r="DJ973" s="1280"/>
      <c r="DK973" s="1280"/>
      <c r="DL973" s="1280"/>
      <c r="DM973" s="1280"/>
      <c r="DN973" s="1280"/>
      <c r="DO973" s="1280"/>
      <c r="DP973" s="1280"/>
      <c r="DQ973" s="1280"/>
      <c r="DR973" s="1280"/>
      <c r="DS973" s="1280"/>
      <c r="DT973" s="1280"/>
      <c r="DU973" s="1280"/>
      <c r="DV973" s="1280"/>
      <c r="DW973" s="1280"/>
      <c r="DX973" s="1280"/>
      <c r="DY973" s="1280"/>
      <c r="DZ973" s="1280"/>
      <c r="EA973" s="1280"/>
      <c r="EB973" s="1280"/>
      <c r="EC973" s="1280"/>
      <c r="ED973" s="1280"/>
      <c r="EE973" s="1280"/>
      <c r="EF973" s="1280"/>
      <c r="EG973" s="1280"/>
      <c r="EH973" s="1280"/>
      <c r="EI973" s="1280"/>
      <c r="EJ973" s="1280"/>
      <c r="EK973" s="1280"/>
      <c r="EL973" s="1280"/>
      <c r="EM973" s="1280"/>
      <c r="EN973" s="1280"/>
      <c r="EO973" s="1280"/>
      <c r="EP973" s="1280"/>
      <c r="EQ973" s="1280"/>
      <c r="ER973" s="1280"/>
      <c r="ES973" s="1280"/>
      <c r="ET973" s="1280"/>
      <c r="EU973" s="1280"/>
      <c r="EV973" s="1280"/>
      <c r="EW973" s="1280"/>
      <c r="EX973" s="1280"/>
      <c r="EY973" s="1280"/>
      <c r="EZ973" s="1280"/>
      <c r="FA973" s="1280"/>
      <c r="FB973" s="1280"/>
      <c r="FC973" s="1280"/>
      <c r="FD973" s="1280"/>
      <c r="FE973" s="1280"/>
      <c r="FF973" s="1280"/>
      <c r="FG973" s="1280"/>
      <c r="FH973" s="1280"/>
      <c r="FI973" s="1280"/>
      <c r="FJ973" s="1280"/>
      <c r="FK973" s="1280"/>
      <c r="FL973" s="1280"/>
      <c r="FM973" s="1280"/>
      <c r="FN973" s="1280"/>
      <c r="FO973" s="1280"/>
      <c r="FP973" s="1280"/>
      <c r="FQ973" s="1280"/>
      <c r="FR973" s="1280"/>
      <c r="FS973" s="1280"/>
      <c r="FT973" s="1280"/>
      <c r="FU973" s="1280"/>
      <c r="FV973" s="1280"/>
      <c r="FW973" s="1280"/>
      <c r="FX973" s="1280"/>
      <c r="FY973" s="1280"/>
      <c r="FZ973" s="1280"/>
      <c r="GA973" s="1280"/>
      <c r="GB973" s="1280"/>
      <c r="GC973" s="1280"/>
      <c r="GD973" s="1280"/>
      <c r="GE973" s="1280"/>
      <c r="GF973" s="1280"/>
    </row>
    <row r="974" spans="1:188" customFormat="1" ht="16.2" hidden="1" thickBot="1">
      <c r="A974" s="1633" t="s">
        <v>25</v>
      </c>
      <c r="B974" s="1634" t="s">
        <v>25</v>
      </c>
      <c r="C974" s="1635" t="s">
        <v>4854</v>
      </c>
      <c r="D974" s="1635" t="s">
        <v>4855</v>
      </c>
      <c r="E974" s="1635" t="s">
        <v>89</v>
      </c>
      <c r="F974" s="1636">
        <v>777984222</v>
      </c>
      <c r="G974" s="1636">
        <v>768160152</v>
      </c>
      <c r="H974" s="1641">
        <v>5.8395799999999998</v>
      </c>
      <c r="I974" s="1641">
        <v>-5.3533600000000003</v>
      </c>
      <c r="J974" s="1635" t="s">
        <v>189</v>
      </c>
      <c r="K974" s="1641" t="s">
        <v>190</v>
      </c>
      <c r="L974" s="1641" t="s">
        <v>411</v>
      </c>
      <c r="M974" s="1641" t="s">
        <v>4866</v>
      </c>
      <c r="N974" s="1641">
        <v>2150031550</v>
      </c>
      <c r="O974" s="1638">
        <v>46038</v>
      </c>
      <c r="P974" s="1639"/>
      <c r="Q974" s="1638">
        <v>46038</v>
      </c>
      <c r="R974" s="1642" t="s">
        <v>2641</v>
      </c>
      <c r="S974" s="1643"/>
      <c r="T974" s="1642">
        <v>1</v>
      </c>
      <c r="U974" s="1640">
        <v>46041</v>
      </c>
      <c r="V974" s="1642" t="s">
        <v>310</v>
      </c>
      <c r="W974" s="1642">
        <v>150</v>
      </c>
      <c r="X974" s="1642" t="s">
        <v>32</v>
      </c>
      <c r="Y974" s="594"/>
      <c r="Z974" s="594"/>
      <c r="AA974" s="1624" t="s">
        <v>532</v>
      </c>
      <c r="AB974" s="1637" t="s">
        <v>16</v>
      </c>
      <c r="AC974" s="1641" t="s">
        <v>4862</v>
      </c>
      <c r="AD974" s="1283"/>
      <c r="AE974" s="1283"/>
      <c r="AF974" s="1271"/>
      <c r="AG974" s="1271"/>
      <c r="AH974" s="1271"/>
      <c r="AI974" s="1271"/>
      <c r="AJ974" s="1271"/>
      <c r="AK974" s="1271"/>
      <c r="AL974" s="1271"/>
      <c r="AM974" s="1271"/>
      <c r="AN974" s="1271"/>
      <c r="AO974" s="1271"/>
      <c r="AP974" s="1271"/>
      <c r="AQ974" s="1271"/>
      <c r="AR974" s="1271"/>
      <c r="AS974" s="1271"/>
      <c r="AT974" s="1271"/>
      <c r="AU974" s="1271"/>
      <c r="AV974" s="1271"/>
      <c r="AW974" s="1271"/>
      <c r="AX974" s="1271"/>
      <c r="AY974" s="1271"/>
      <c r="AZ974" s="1271"/>
      <c r="BA974" s="1271"/>
      <c r="BB974" s="1271"/>
      <c r="BC974" s="1271"/>
      <c r="BD974" s="1271"/>
      <c r="BE974" s="1271"/>
      <c r="BF974" s="1271"/>
      <c r="BG974" s="1271"/>
      <c r="BH974" s="1271"/>
      <c r="BI974" s="1271"/>
      <c r="BJ974" s="1271"/>
      <c r="BK974" s="1271"/>
      <c r="BL974" s="1271"/>
      <c r="BM974" s="1271"/>
      <c r="BN974" s="1271"/>
      <c r="BO974" s="1271"/>
      <c r="BP974" s="1271"/>
      <c r="BQ974" s="1271"/>
      <c r="BR974" s="1271"/>
      <c r="BS974" s="1271"/>
      <c r="BT974" s="1271"/>
      <c r="BU974" s="1271"/>
      <c r="BV974" s="1271"/>
      <c r="BW974" s="1271"/>
      <c r="BX974" s="1271"/>
      <c r="BY974" s="1271"/>
      <c r="BZ974" s="1271"/>
      <c r="CA974" s="1271"/>
      <c r="CB974" s="1271"/>
      <c r="CC974" s="1271"/>
      <c r="CD974" s="1271"/>
      <c r="CE974" s="1271"/>
      <c r="CF974" s="1271"/>
      <c r="CG974" s="1271"/>
      <c r="CH974" s="1271"/>
      <c r="CI974" s="1271"/>
      <c r="CJ974" s="1271"/>
      <c r="CK974" s="1271"/>
      <c r="CL974" s="1271"/>
      <c r="CM974" s="1271"/>
      <c r="CN974" s="1271"/>
      <c r="CO974" s="1271"/>
      <c r="CP974" s="1271"/>
      <c r="CQ974" s="1271"/>
      <c r="CR974" s="1271"/>
      <c r="CS974" s="1271"/>
      <c r="CT974" s="1271"/>
      <c r="CU974" s="1271"/>
      <c r="CV974" s="1271"/>
      <c r="CW974" s="1271"/>
      <c r="CX974" s="1271"/>
      <c r="CY974" s="1271"/>
      <c r="CZ974" s="1271"/>
      <c r="DA974" s="1271"/>
      <c r="DB974" s="1271"/>
      <c r="DC974" s="1271"/>
      <c r="DD974" s="1271"/>
      <c r="DE974" s="1271"/>
      <c r="DF974" s="1271"/>
      <c r="DG974" s="1271"/>
      <c r="DH974" s="1271"/>
      <c r="DI974" s="1271"/>
      <c r="DJ974" s="1271"/>
      <c r="DK974" s="1271"/>
      <c r="DL974" s="1271"/>
      <c r="DM974" s="1271"/>
      <c r="DN974" s="1271"/>
      <c r="DO974" s="1271"/>
      <c r="DP974" s="1271"/>
      <c r="DQ974" s="1271"/>
      <c r="DR974" s="1271"/>
      <c r="DS974" s="1271"/>
      <c r="DT974" s="1271"/>
      <c r="DU974" s="1271"/>
      <c r="DV974" s="1271"/>
      <c r="DW974" s="1271"/>
      <c r="DX974" s="1271"/>
      <c r="DY974" s="1271"/>
      <c r="DZ974" s="1271"/>
      <c r="EA974" s="1271"/>
      <c r="EB974" s="1271"/>
      <c r="EC974" s="1271"/>
      <c r="ED974" s="1271"/>
      <c r="EE974" s="1271"/>
      <c r="EF974" s="1271"/>
      <c r="EG974" s="1271"/>
      <c r="EH974" s="1271"/>
      <c r="EI974" s="1271"/>
      <c r="EJ974" s="1271"/>
      <c r="EK974" s="1271"/>
      <c r="EL974" s="1271"/>
      <c r="EM974" s="1271"/>
      <c r="EN974" s="1271"/>
      <c r="EO974" s="1271"/>
      <c r="EP974" s="1271"/>
      <c r="EQ974" s="1271"/>
      <c r="ER974" s="1271"/>
      <c r="ES974" s="1271"/>
      <c r="ET974" s="1271"/>
      <c r="EU974" s="1271"/>
      <c r="EV974" s="1271"/>
      <c r="EW974" s="1271"/>
      <c r="EX974" s="1271"/>
      <c r="EY974" s="1271"/>
      <c r="EZ974" s="1271"/>
      <c r="FA974" s="1271"/>
      <c r="FB974" s="1271"/>
      <c r="FC974" s="1271"/>
      <c r="FD974" s="1271"/>
      <c r="FE974" s="1271"/>
      <c r="FF974" s="1271"/>
      <c r="FG974" s="1271"/>
      <c r="FH974" s="1271"/>
      <c r="FI974" s="1271"/>
      <c r="FJ974" s="1271"/>
      <c r="FK974" s="1271"/>
      <c r="FL974" s="1271"/>
      <c r="FM974" s="1271"/>
      <c r="FN974" s="1271"/>
      <c r="FO974" s="1271"/>
      <c r="FP974" s="1271"/>
      <c r="FQ974" s="1271"/>
      <c r="FR974" s="1271"/>
      <c r="FS974" s="1271"/>
      <c r="FT974" s="1271"/>
      <c r="FU974" s="1271"/>
      <c r="FV974" s="1271"/>
      <c r="FW974" s="1271"/>
      <c r="FX974" s="1271"/>
      <c r="FY974" s="1271"/>
      <c r="FZ974" s="1271"/>
      <c r="GA974" s="1271"/>
      <c r="GB974" s="1271"/>
      <c r="GC974" s="1271"/>
      <c r="GD974" s="1271"/>
    </row>
    <row r="975" spans="1:188" s="1346" customFormat="1" ht="16.2" thickBot="1">
      <c r="A975" s="1260" t="s">
        <v>25</v>
      </c>
      <c r="B975" s="1260" t="s">
        <v>25</v>
      </c>
      <c r="C975" s="1260" t="s">
        <v>3327</v>
      </c>
      <c r="D975" s="1260" t="s">
        <v>3328</v>
      </c>
      <c r="E975" s="1260" t="s">
        <v>4864</v>
      </c>
      <c r="F975" s="1260">
        <v>555119505</v>
      </c>
      <c r="G975" s="1260">
        <v>757804430</v>
      </c>
      <c r="H975" s="1255"/>
      <c r="I975" s="1255"/>
      <c r="J975" s="1260" t="s">
        <v>3172</v>
      </c>
      <c r="K975" s="1255" t="s">
        <v>190</v>
      </c>
      <c r="L975" s="1255" t="s">
        <v>3300</v>
      </c>
      <c r="M975" s="1255" t="s">
        <v>4885</v>
      </c>
      <c r="N975" s="1255">
        <v>2150047035</v>
      </c>
      <c r="O975" s="1261">
        <v>46038</v>
      </c>
      <c r="P975" s="1255"/>
      <c r="Q975" s="1261">
        <v>46039</v>
      </c>
      <c r="R975" s="1256" t="s">
        <v>2641</v>
      </c>
      <c r="S975" s="1256"/>
      <c r="T975" s="1256"/>
      <c r="U975" s="1258">
        <v>46041</v>
      </c>
      <c r="V975" s="1256" t="s">
        <v>310</v>
      </c>
      <c r="W975" s="1256"/>
      <c r="X975" s="1256" t="s">
        <v>32</v>
      </c>
      <c r="Y975" s="246"/>
      <c r="Z975" s="246"/>
      <c r="AA975" s="1256" t="s">
        <v>532</v>
      </c>
      <c r="AB975" s="855" t="s">
        <v>16</v>
      </c>
      <c r="AC975" s="1255"/>
      <c r="AD975" s="1384"/>
      <c r="AE975" s="1379"/>
      <c r="AF975" s="1377"/>
      <c r="AG975" s="1377"/>
      <c r="AH975" s="1377"/>
      <c r="AI975" s="1377"/>
      <c r="AJ975" s="1377"/>
      <c r="AK975" s="1377"/>
      <c r="AL975" s="1377"/>
      <c r="AM975" s="1377"/>
      <c r="AN975" s="1377"/>
      <c r="AO975" s="1377"/>
      <c r="AP975" s="1377"/>
      <c r="AQ975" s="1377"/>
      <c r="AR975" s="1377"/>
      <c r="AS975" s="1377"/>
      <c r="AT975" s="1377"/>
      <c r="AU975" s="1377"/>
      <c r="AV975" s="1377"/>
      <c r="AW975" s="1377"/>
      <c r="AX975" s="1377"/>
      <c r="AY975" s="1377"/>
      <c r="AZ975" s="1377"/>
      <c r="BA975" s="1377"/>
      <c r="BB975" s="1377"/>
      <c r="BC975" s="1377"/>
      <c r="BD975" s="1377"/>
      <c r="BE975" s="1377"/>
      <c r="BF975" s="1377"/>
      <c r="BG975" s="1377"/>
      <c r="BH975" s="1377"/>
      <c r="BI975" s="1377"/>
      <c r="BJ975" s="1377"/>
      <c r="BK975" s="1377"/>
      <c r="BL975" s="1377"/>
      <c r="BM975" s="1377"/>
      <c r="BN975" s="1377"/>
      <c r="BO975" s="1377"/>
      <c r="BP975" s="1377"/>
      <c r="BQ975" s="1377"/>
      <c r="BR975" s="1377"/>
      <c r="BS975" s="1377"/>
      <c r="BT975" s="1377"/>
      <c r="BU975" s="1377"/>
      <c r="BV975" s="1377"/>
      <c r="BW975" s="1377"/>
      <c r="BX975" s="1377"/>
      <c r="BY975" s="1377"/>
      <c r="BZ975" s="1377"/>
      <c r="CA975" s="1377"/>
      <c r="CB975" s="1377"/>
      <c r="CC975" s="1377"/>
      <c r="CD975" s="1377"/>
      <c r="CE975" s="1377"/>
      <c r="CF975" s="1377"/>
      <c r="CG975" s="1377"/>
      <c r="CH975" s="1377"/>
      <c r="CI975" s="1377"/>
      <c r="CJ975" s="1377"/>
      <c r="CK975" s="1377"/>
      <c r="CL975" s="1377"/>
      <c r="CM975" s="1377"/>
      <c r="CN975" s="1377"/>
      <c r="CO975" s="1377"/>
      <c r="CP975" s="1377"/>
      <c r="CQ975" s="1377"/>
      <c r="CR975" s="1377"/>
      <c r="CS975" s="1377"/>
      <c r="CT975" s="1377"/>
      <c r="CU975" s="1377"/>
      <c r="CV975" s="1377"/>
      <c r="CW975" s="1377"/>
      <c r="CX975" s="1377"/>
      <c r="CY975" s="1377"/>
      <c r="CZ975" s="1377"/>
      <c r="DA975" s="1377"/>
      <c r="DB975" s="1377"/>
      <c r="DC975" s="1377"/>
      <c r="DD975" s="1377"/>
      <c r="DE975" s="1377"/>
      <c r="DF975" s="1377"/>
      <c r="DG975" s="1377"/>
      <c r="DH975" s="1377"/>
      <c r="DI975" s="1377"/>
      <c r="DJ975" s="1377"/>
      <c r="DK975" s="1377"/>
      <c r="DL975" s="1377"/>
      <c r="DM975" s="1377"/>
      <c r="DN975" s="1377"/>
      <c r="DO975" s="1377"/>
      <c r="DP975" s="1377"/>
      <c r="DQ975" s="1377"/>
      <c r="DR975" s="1377"/>
      <c r="DS975" s="1377"/>
      <c r="DT975" s="1377"/>
      <c r="DU975" s="1377"/>
      <c r="DV975" s="1377"/>
      <c r="DW975" s="1377"/>
      <c r="DX975" s="1377"/>
      <c r="DY975" s="1377"/>
      <c r="DZ975" s="1377"/>
      <c r="EA975" s="1377"/>
      <c r="EB975" s="1377"/>
      <c r="EC975" s="1377"/>
      <c r="ED975" s="1377"/>
      <c r="EE975" s="1377"/>
      <c r="EF975" s="1377"/>
      <c r="EG975" s="1377"/>
      <c r="EH975" s="1377"/>
      <c r="EI975" s="1377"/>
      <c r="EJ975" s="1377"/>
      <c r="EK975" s="1377"/>
      <c r="EL975" s="1377"/>
      <c r="EM975" s="1377"/>
      <c r="EN975" s="1377"/>
      <c r="EO975" s="1377"/>
      <c r="EP975" s="1377"/>
      <c r="EQ975" s="1377"/>
      <c r="ER975" s="1377"/>
      <c r="ES975" s="1377"/>
      <c r="ET975" s="1377"/>
      <c r="EU975" s="1377"/>
      <c r="EV975" s="1377"/>
      <c r="EW975" s="1377"/>
      <c r="EX975" s="1377"/>
      <c r="EY975" s="1377"/>
      <c r="EZ975" s="1377"/>
      <c r="FA975" s="1377"/>
      <c r="FB975" s="1377"/>
      <c r="FC975" s="1377"/>
      <c r="FD975" s="1377"/>
      <c r="FE975" s="1377"/>
      <c r="FF975" s="1377"/>
      <c r="FG975" s="1377"/>
      <c r="FH975" s="1377"/>
      <c r="FI975" s="1377"/>
      <c r="FJ975" s="1377"/>
      <c r="FK975" s="1377"/>
      <c r="FL975" s="1377"/>
      <c r="FM975" s="1377"/>
      <c r="FN975" s="1377"/>
      <c r="FO975" s="1377"/>
      <c r="FP975" s="1377"/>
      <c r="FQ975" s="1377"/>
      <c r="FR975" s="1377"/>
      <c r="FS975" s="1377"/>
      <c r="FT975" s="1377"/>
      <c r="FU975" s="1377"/>
      <c r="FV975" s="1377"/>
      <c r="FW975" s="1377"/>
      <c r="FX975" s="1377"/>
      <c r="FY975" s="1377"/>
      <c r="FZ975" s="1377"/>
      <c r="GA975" s="1377"/>
      <c r="GB975" s="1377"/>
      <c r="GC975" s="1377"/>
      <c r="GD975" s="1377"/>
    </row>
    <row r="976" spans="1:188" ht="15" customHeight="1" thickBot="1">
      <c r="A976" s="2272" t="s">
        <v>25</v>
      </c>
      <c r="B976" s="2272" t="s">
        <v>25</v>
      </c>
      <c r="C976" s="2273" t="s">
        <v>4874</v>
      </c>
      <c r="D976" s="2273" t="s">
        <v>4870</v>
      </c>
      <c r="E976" s="2273" t="s">
        <v>4871</v>
      </c>
      <c r="F976" s="2273">
        <v>171826062</v>
      </c>
      <c r="G976" s="2273">
        <v>778607812</v>
      </c>
      <c r="H976" s="2272"/>
      <c r="I976" s="2272"/>
      <c r="J976" s="2273" t="s">
        <v>2612</v>
      </c>
      <c r="K976" s="2272" t="s">
        <v>190</v>
      </c>
      <c r="L976" s="2272" t="s">
        <v>4269</v>
      </c>
      <c r="M976" s="2273" t="s">
        <v>4890</v>
      </c>
      <c r="N976" s="2273">
        <v>2150047041</v>
      </c>
      <c r="O976" s="2274">
        <v>46039</v>
      </c>
      <c r="P976" s="2272"/>
      <c r="Q976" s="2274">
        <v>46041</v>
      </c>
      <c r="R976" s="2273" t="s">
        <v>2641</v>
      </c>
      <c r="S976" s="2273"/>
      <c r="T976" s="2273"/>
      <c r="U976" s="2274">
        <v>46042</v>
      </c>
      <c r="V976" s="2273" t="s">
        <v>310</v>
      </c>
      <c r="W976" s="2273">
        <v>350</v>
      </c>
      <c r="X976" s="2273" t="s">
        <v>32</v>
      </c>
      <c r="Y976" s="2273" t="s">
        <v>4891</v>
      </c>
      <c r="Z976" s="490"/>
      <c r="AA976" s="2273" t="s">
        <v>532</v>
      </c>
      <c r="AB976" s="2272" t="s">
        <v>16</v>
      </c>
      <c r="AC976" s="2272"/>
      <c r="AD976" s="1385"/>
      <c r="AE976" s="1238"/>
      <c r="AF976" s="1238"/>
      <c r="AG976" s="1238"/>
      <c r="AH976" s="1238"/>
      <c r="AI976" s="1238"/>
      <c r="AJ976" s="1238"/>
      <c r="AK976" s="1238"/>
      <c r="AL976" s="1238"/>
      <c r="AM976" s="1238"/>
      <c r="AN976" s="1238"/>
      <c r="AO976" s="1238"/>
      <c r="AP976" s="1238"/>
      <c r="AQ976" s="1238"/>
      <c r="AR976" s="1238"/>
      <c r="AS976" s="1238"/>
      <c r="AT976" s="1238"/>
      <c r="AU976" s="1238"/>
      <c r="AV976" s="1238"/>
      <c r="AW976" s="1238"/>
      <c r="AX976" s="1238"/>
      <c r="AY976" s="1238"/>
      <c r="AZ976" s="1238"/>
      <c r="BA976" s="1238"/>
      <c r="BB976" s="1238"/>
      <c r="BC976" s="1238"/>
      <c r="BD976" s="1238"/>
      <c r="BE976" s="1238"/>
      <c r="BF976" s="1238"/>
      <c r="BG976" s="1238"/>
      <c r="BH976" s="1238"/>
      <c r="BI976" s="1238"/>
      <c r="BJ976" s="1238"/>
      <c r="BK976" s="1238"/>
      <c r="BL976" s="1238"/>
      <c r="BM976" s="1238"/>
      <c r="BN976" s="1238"/>
      <c r="BO976" s="1238"/>
      <c r="BP976" s="1238"/>
      <c r="BQ976" s="1238"/>
      <c r="BR976" s="1238"/>
      <c r="BS976" s="1238"/>
      <c r="BT976" s="1238"/>
      <c r="BU976" s="1238"/>
      <c r="BV976" s="1238"/>
      <c r="BW976" s="1238"/>
      <c r="BX976" s="1238"/>
      <c r="BY976" s="1238"/>
      <c r="BZ976" s="1238"/>
      <c r="CA976" s="1238"/>
      <c r="CB976" s="1238"/>
      <c r="CC976" s="1238"/>
      <c r="CD976" s="1238"/>
      <c r="CE976" s="1238"/>
      <c r="CF976" s="1238"/>
      <c r="CG976" s="1238"/>
      <c r="CH976" s="1238"/>
      <c r="CI976" s="1238"/>
      <c r="CJ976" s="1238"/>
      <c r="CK976" s="1238"/>
      <c r="CL976" s="1238"/>
      <c r="CM976" s="1238"/>
      <c r="CN976" s="1238"/>
      <c r="CO976" s="1238"/>
      <c r="CP976" s="1238"/>
      <c r="CQ976" s="1238"/>
      <c r="CR976" s="1238"/>
      <c r="CS976" s="1238"/>
      <c r="CT976" s="1238"/>
      <c r="CU976" s="1238"/>
      <c r="CV976" s="1238"/>
      <c r="CW976" s="1238"/>
      <c r="CX976" s="1238"/>
      <c r="CY976" s="1238"/>
      <c r="CZ976" s="1238"/>
      <c r="DA976" s="1238"/>
      <c r="DB976" s="1238"/>
      <c r="DC976" s="1238"/>
      <c r="DD976" s="1238"/>
      <c r="DE976" s="1238"/>
      <c r="DF976" s="1238"/>
      <c r="DG976" s="1238"/>
      <c r="DH976" s="1238"/>
      <c r="DI976" s="1238"/>
      <c r="DJ976" s="1238"/>
      <c r="DK976" s="1238"/>
      <c r="DL976" s="1238"/>
      <c r="DM976" s="1238"/>
      <c r="DN976" s="1238"/>
      <c r="DO976" s="1238"/>
      <c r="DP976" s="1238"/>
      <c r="DQ976" s="1238"/>
      <c r="DR976" s="1238"/>
      <c r="DS976" s="1238"/>
      <c r="DT976" s="1238"/>
      <c r="DU976" s="1238"/>
      <c r="DV976" s="1238"/>
      <c r="DW976" s="1238"/>
      <c r="DX976" s="1238"/>
      <c r="DY976" s="1238"/>
      <c r="DZ976" s="1238"/>
      <c r="EA976" s="1238"/>
      <c r="EB976" s="1238"/>
      <c r="EC976" s="1238"/>
      <c r="ED976" s="1238"/>
      <c r="EE976" s="1238"/>
      <c r="EF976" s="1238"/>
      <c r="EG976" s="1238"/>
      <c r="EH976" s="1238"/>
      <c r="EI976" s="1238"/>
      <c r="EJ976" s="1238"/>
      <c r="EK976" s="1238"/>
      <c r="EL976" s="1238"/>
      <c r="EM976" s="1238"/>
      <c r="EN976" s="1238"/>
      <c r="EO976" s="1238"/>
      <c r="EP976" s="1238"/>
      <c r="EQ976" s="1238"/>
      <c r="ER976" s="1238"/>
      <c r="ES976" s="1238"/>
      <c r="ET976" s="1238"/>
      <c r="EU976" s="1238"/>
      <c r="EV976" s="1238"/>
      <c r="EW976" s="1238"/>
      <c r="EX976" s="1238"/>
      <c r="EY976" s="1238"/>
      <c r="EZ976" s="1238"/>
      <c r="FA976" s="1238"/>
      <c r="FB976" s="1238"/>
      <c r="FC976" s="1238"/>
      <c r="FD976" s="1238"/>
      <c r="FE976" s="1238"/>
      <c r="FF976" s="1238"/>
      <c r="FG976" s="1238"/>
      <c r="FH976" s="1238"/>
      <c r="FI976" s="1238"/>
      <c r="FJ976" s="1238"/>
      <c r="FK976" s="1238"/>
      <c r="FL976" s="1238"/>
      <c r="FM976" s="1238"/>
      <c r="FN976" s="1238"/>
      <c r="FO976" s="1238"/>
      <c r="FP976" s="1238"/>
      <c r="FQ976" s="1238"/>
      <c r="FR976" s="1238"/>
      <c r="FS976" s="1238"/>
      <c r="FT976" s="1238"/>
      <c r="FU976" s="1238"/>
      <c r="FV976" s="1238"/>
      <c r="FW976" s="1238"/>
      <c r="FX976" s="1238"/>
      <c r="FY976" s="1238"/>
      <c r="FZ976" s="1238"/>
      <c r="GA976" s="1238"/>
      <c r="GB976" s="1238"/>
      <c r="GC976" s="1238"/>
      <c r="GD976" s="1238"/>
    </row>
    <row r="977" spans="1:186" ht="15" hidden="1" customHeight="1" thickBot="1">
      <c r="A977" s="2212" t="s">
        <v>25</v>
      </c>
      <c r="B977" s="2213" t="s">
        <v>25</v>
      </c>
      <c r="C977" s="2214" t="s">
        <v>4875</v>
      </c>
      <c r="D977" s="2214" t="s">
        <v>4872</v>
      </c>
      <c r="E977" s="2214" t="s">
        <v>4873</v>
      </c>
      <c r="F977" s="2215">
        <v>161235328</v>
      </c>
      <c r="G977" s="2215">
        <v>747909645</v>
      </c>
      <c r="H977" s="2216">
        <v>5.8445200000000002</v>
      </c>
      <c r="I977" s="2216">
        <v>-5.3602100000000004</v>
      </c>
      <c r="J977" s="2214" t="s">
        <v>36</v>
      </c>
      <c r="K977" s="2213" t="s">
        <v>190</v>
      </c>
      <c r="L977" s="2213" t="s">
        <v>545</v>
      </c>
      <c r="M977" s="2213" t="s">
        <v>4886</v>
      </c>
      <c r="N977" s="2216">
        <v>2150047040</v>
      </c>
      <c r="O977" s="2217">
        <v>46039</v>
      </c>
      <c r="P977" s="2218"/>
      <c r="Q977" s="2217">
        <v>46041</v>
      </c>
      <c r="R977" s="2219" t="s">
        <v>2641</v>
      </c>
      <c r="S977" s="2220"/>
      <c r="T977" s="2221">
        <v>0</v>
      </c>
      <c r="U977" s="2222">
        <v>46042</v>
      </c>
      <c r="V977" s="2219" t="s">
        <v>310</v>
      </c>
      <c r="W977" s="2221">
        <v>200</v>
      </c>
      <c r="X977" s="2219" t="s">
        <v>32</v>
      </c>
      <c r="Y977" s="2223" t="s">
        <v>4892</v>
      </c>
      <c r="Z977" s="2224"/>
      <c r="AA977" s="2219" t="s">
        <v>532</v>
      </c>
      <c r="AB977" s="2213" t="s">
        <v>16</v>
      </c>
      <c r="AC977" s="2213" t="s">
        <v>4876</v>
      </c>
      <c r="AD977" s="1285"/>
      <c r="AE977" s="1280"/>
      <c r="AF977" s="1280"/>
      <c r="AG977" s="1280"/>
      <c r="AH977" s="1280"/>
      <c r="AI977" s="1280"/>
      <c r="AJ977" s="1280"/>
      <c r="AK977" s="1280"/>
      <c r="AL977" s="1280"/>
      <c r="AM977" s="1280"/>
      <c r="AN977" s="1280"/>
      <c r="AO977" s="1280"/>
      <c r="AP977" s="1280"/>
      <c r="AQ977" s="1280"/>
      <c r="AR977" s="1280"/>
      <c r="AS977" s="1280"/>
      <c r="AT977" s="1280"/>
      <c r="AU977" s="1280"/>
      <c r="AV977" s="1280"/>
      <c r="AW977" s="1280"/>
      <c r="AX977" s="1280"/>
      <c r="AY977" s="1280"/>
      <c r="AZ977" s="1280"/>
      <c r="BA977" s="1280"/>
      <c r="BB977" s="1280"/>
      <c r="BC977" s="1280"/>
      <c r="BD977" s="1280"/>
      <c r="BE977" s="1280"/>
      <c r="BF977" s="1280"/>
      <c r="BG977" s="1280"/>
      <c r="BH977" s="1280"/>
      <c r="BI977" s="1280"/>
      <c r="BJ977" s="1280"/>
      <c r="BK977" s="1280"/>
      <c r="BL977" s="1280"/>
      <c r="BM977" s="1280"/>
      <c r="BN977" s="1280"/>
      <c r="BO977" s="1280"/>
      <c r="BP977" s="1280"/>
      <c r="BQ977" s="1280"/>
      <c r="BR977" s="1280"/>
      <c r="BS977" s="1280"/>
      <c r="BT977" s="1280"/>
      <c r="BU977" s="1280"/>
      <c r="BV977" s="1280"/>
      <c r="BW977" s="1280"/>
      <c r="BX977" s="1280"/>
      <c r="BY977" s="1280"/>
      <c r="BZ977" s="1280"/>
      <c r="CA977" s="1280"/>
      <c r="CB977" s="1280"/>
      <c r="CC977" s="1280"/>
      <c r="CD977" s="1280"/>
      <c r="CE977" s="1280"/>
      <c r="CF977" s="1280"/>
      <c r="CG977" s="1280"/>
      <c r="CH977" s="1280"/>
      <c r="CI977" s="1280"/>
      <c r="CJ977" s="1280"/>
      <c r="CK977" s="1280"/>
      <c r="CL977" s="1280"/>
      <c r="CM977" s="1280"/>
      <c r="CN977" s="1280"/>
      <c r="CO977" s="1280"/>
      <c r="CP977" s="1280"/>
      <c r="CQ977" s="1280"/>
      <c r="CR977" s="1280"/>
      <c r="CS977" s="1280"/>
      <c r="CT977" s="1280"/>
      <c r="CU977" s="1280"/>
      <c r="CV977" s="1280"/>
      <c r="CW977" s="1280"/>
      <c r="CX977" s="1280"/>
      <c r="CY977" s="1280"/>
      <c r="CZ977" s="1280"/>
      <c r="DA977" s="1280"/>
      <c r="DB977" s="1280"/>
      <c r="DC977" s="1280"/>
      <c r="DD977" s="1280"/>
      <c r="DE977" s="1280"/>
      <c r="DF977" s="1280"/>
      <c r="DG977" s="1280"/>
      <c r="DH977" s="1280"/>
      <c r="DI977" s="1280"/>
      <c r="DJ977" s="1280"/>
      <c r="DK977" s="1280"/>
      <c r="DL977" s="1280"/>
      <c r="DM977" s="1280"/>
      <c r="DN977" s="1280"/>
      <c r="DO977" s="1280"/>
      <c r="DP977" s="1280"/>
      <c r="DQ977" s="1280"/>
      <c r="DR977" s="1280"/>
      <c r="DS977" s="1280"/>
      <c r="DT977" s="1280"/>
      <c r="DU977" s="1280"/>
      <c r="DV977" s="1280"/>
      <c r="DW977" s="1280"/>
      <c r="DX977" s="1280"/>
      <c r="DY977" s="1280"/>
      <c r="DZ977" s="1280"/>
      <c r="EA977" s="1280"/>
      <c r="EB977" s="1280"/>
      <c r="EC977" s="1280"/>
      <c r="ED977" s="1280"/>
      <c r="EE977" s="1280"/>
      <c r="EF977" s="1280"/>
      <c r="EG977" s="1280"/>
      <c r="EH977" s="1280"/>
      <c r="EI977" s="1280"/>
      <c r="EJ977" s="1280"/>
      <c r="EK977" s="1280"/>
      <c r="EL977" s="1280"/>
      <c r="EM977" s="1280"/>
      <c r="EN977" s="1280"/>
      <c r="EO977" s="1280"/>
      <c r="EP977" s="1280"/>
      <c r="EQ977" s="1280"/>
      <c r="ER977" s="1280"/>
      <c r="ES977" s="1280"/>
      <c r="ET977" s="1280"/>
      <c r="EU977" s="1280"/>
      <c r="EV977" s="1280"/>
      <c r="EW977" s="1280"/>
      <c r="EX977" s="1280"/>
      <c r="EY977" s="1280"/>
      <c r="EZ977" s="1280"/>
      <c r="FA977" s="1280"/>
      <c r="FB977" s="1280"/>
      <c r="FC977" s="1280"/>
      <c r="FD977" s="1280"/>
      <c r="FE977" s="1280"/>
      <c r="FF977" s="1280"/>
      <c r="FG977" s="1280"/>
      <c r="FH977" s="1280"/>
      <c r="FI977" s="1280"/>
      <c r="FJ977" s="1280"/>
      <c r="FK977" s="1280"/>
      <c r="FL977" s="1280"/>
      <c r="FM977" s="1280"/>
      <c r="FN977" s="1280"/>
      <c r="FO977" s="1280"/>
      <c r="FP977" s="1280"/>
      <c r="FQ977" s="1280"/>
      <c r="FR977" s="1280"/>
      <c r="FS977" s="1280"/>
      <c r="FT977" s="1280"/>
      <c r="FU977" s="1280"/>
      <c r="FV977" s="1280"/>
      <c r="FW977" s="1280"/>
      <c r="FX977" s="1280"/>
      <c r="FY977" s="1280"/>
      <c r="FZ977" s="1280"/>
      <c r="GA977" s="1280"/>
      <c r="GB977" s="1280"/>
      <c r="GC977" s="1280"/>
      <c r="GD977" s="1280"/>
    </row>
    <row r="978" spans="1:186" ht="15" hidden="1" customHeight="1" thickBot="1">
      <c r="A978" s="1297" t="s">
        <v>25</v>
      </c>
      <c r="B978" s="1293" t="s">
        <v>25</v>
      </c>
      <c r="C978" s="1288" t="s">
        <v>4837</v>
      </c>
      <c r="D978" s="1288" t="s">
        <v>4838</v>
      </c>
      <c r="E978" s="1288" t="s">
        <v>4839</v>
      </c>
      <c r="F978" s="1289">
        <v>140147493</v>
      </c>
      <c r="G978" s="1289">
        <v>777225471</v>
      </c>
      <c r="H978" s="1290">
        <v>5.8450300000000004</v>
      </c>
      <c r="I978" s="1290">
        <v>-5.3574299999999999</v>
      </c>
      <c r="J978" s="1288" t="s">
        <v>36</v>
      </c>
      <c r="K978" s="1287" t="s">
        <v>190</v>
      </c>
      <c r="L978" s="1287" t="s">
        <v>2802</v>
      </c>
      <c r="M978" s="1287" t="s">
        <v>4865</v>
      </c>
      <c r="N978" s="1290">
        <v>2150047034</v>
      </c>
      <c r="O978" s="1291">
        <v>46036</v>
      </c>
      <c r="P978" s="1292"/>
      <c r="Q978" s="1291">
        <v>46037</v>
      </c>
      <c r="R978" s="1293" t="s">
        <v>2641</v>
      </c>
      <c r="S978" s="1294"/>
      <c r="T978" s="1295">
        <v>0</v>
      </c>
      <c r="U978" s="1284">
        <v>46042</v>
      </c>
      <c r="V978" s="1293" t="s">
        <v>310</v>
      </c>
      <c r="W978" s="1295">
        <v>200</v>
      </c>
      <c r="X978" s="1293" t="s">
        <v>32</v>
      </c>
      <c r="Y978" s="1299" t="s">
        <v>4891</v>
      </c>
      <c r="Z978" s="1286"/>
      <c r="AA978" s="1293" t="s">
        <v>532</v>
      </c>
      <c r="AB978" s="1287" t="s">
        <v>16</v>
      </c>
      <c r="AC978" s="1298" t="s">
        <v>4893</v>
      </c>
      <c r="AD978" s="1285"/>
      <c r="AE978" s="1280"/>
      <c r="AF978" s="1280"/>
      <c r="AG978" s="1280"/>
      <c r="AH978" s="1280"/>
      <c r="AI978" s="1280"/>
      <c r="AJ978" s="1280"/>
      <c r="AK978" s="1280"/>
      <c r="AL978" s="1280"/>
      <c r="AM978" s="1280"/>
      <c r="AN978" s="1280"/>
      <c r="AO978" s="1280"/>
      <c r="AP978" s="1280"/>
      <c r="AQ978" s="1280"/>
      <c r="AR978" s="1280"/>
      <c r="AS978" s="1280"/>
      <c r="AT978" s="1280"/>
      <c r="AU978" s="1280"/>
      <c r="AV978" s="1280"/>
      <c r="AW978" s="1280"/>
      <c r="AX978" s="1280"/>
      <c r="AY978" s="1280"/>
      <c r="AZ978" s="1280"/>
      <c r="BA978" s="1280"/>
      <c r="BB978" s="1280"/>
      <c r="BC978" s="1280"/>
      <c r="BD978" s="1280"/>
      <c r="BE978" s="1280"/>
      <c r="BF978" s="1280"/>
      <c r="BG978" s="1280"/>
      <c r="BH978" s="1280"/>
      <c r="BI978" s="1280"/>
      <c r="BJ978" s="1280"/>
      <c r="BK978" s="1280"/>
      <c r="BL978" s="1280"/>
      <c r="BM978" s="1280"/>
      <c r="BN978" s="1280"/>
      <c r="BO978" s="1280"/>
      <c r="BP978" s="1280"/>
      <c r="BQ978" s="1280"/>
      <c r="BR978" s="1280"/>
      <c r="BS978" s="1280"/>
      <c r="BT978" s="1280"/>
      <c r="BU978" s="1280"/>
      <c r="BV978" s="1280"/>
      <c r="BW978" s="1280"/>
      <c r="BX978" s="1280"/>
      <c r="BY978" s="1280"/>
      <c r="BZ978" s="1280"/>
      <c r="CA978" s="1280"/>
      <c r="CB978" s="1280"/>
      <c r="CC978" s="1280"/>
      <c r="CD978" s="1280"/>
      <c r="CE978" s="1280"/>
      <c r="CF978" s="1280"/>
      <c r="CG978" s="1280"/>
      <c r="CH978" s="1280"/>
      <c r="CI978" s="1280"/>
      <c r="CJ978" s="1280"/>
      <c r="CK978" s="1280"/>
      <c r="CL978" s="1280"/>
      <c r="CM978" s="1280"/>
      <c r="CN978" s="1280"/>
      <c r="CO978" s="1280"/>
      <c r="CP978" s="1280"/>
      <c r="CQ978" s="1280"/>
      <c r="CR978" s="1280"/>
      <c r="CS978" s="1280"/>
      <c r="CT978" s="1280"/>
      <c r="CU978" s="1280"/>
      <c r="CV978" s="1280"/>
      <c r="CW978" s="1280"/>
      <c r="CX978" s="1280"/>
      <c r="CY978" s="1280"/>
      <c r="CZ978" s="1280"/>
      <c r="DA978" s="1280"/>
      <c r="DB978" s="1280"/>
      <c r="DC978" s="1280"/>
      <c r="DD978" s="1280"/>
      <c r="DE978" s="1280"/>
      <c r="DF978" s="1280"/>
      <c r="DG978" s="1280"/>
      <c r="DH978" s="1280"/>
      <c r="DI978" s="1280"/>
      <c r="DJ978" s="1280"/>
      <c r="DK978" s="1280"/>
      <c r="DL978" s="1280"/>
      <c r="DM978" s="1280"/>
      <c r="DN978" s="1280"/>
      <c r="DO978" s="1280"/>
      <c r="DP978" s="1280"/>
      <c r="DQ978" s="1280"/>
      <c r="DR978" s="1280"/>
      <c r="DS978" s="1280"/>
      <c r="DT978" s="1280"/>
      <c r="DU978" s="1280"/>
      <c r="DV978" s="1280"/>
      <c r="DW978" s="1280"/>
      <c r="DX978" s="1280"/>
      <c r="DY978" s="1280"/>
      <c r="DZ978" s="1280"/>
      <c r="EA978" s="1280"/>
      <c r="EB978" s="1280"/>
      <c r="EC978" s="1280"/>
      <c r="ED978" s="1280"/>
      <c r="EE978" s="1280"/>
      <c r="EF978" s="1280"/>
      <c r="EG978" s="1280"/>
      <c r="EH978" s="1280"/>
      <c r="EI978" s="1280"/>
      <c r="EJ978" s="1280"/>
      <c r="EK978" s="1280"/>
      <c r="EL978" s="1280"/>
      <c r="EM978" s="1280"/>
      <c r="EN978" s="1280"/>
      <c r="EO978" s="1280"/>
      <c r="EP978" s="1280"/>
      <c r="EQ978" s="1280"/>
      <c r="ER978" s="1280"/>
      <c r="ES978" s="1280"/>
      <c r="ET978" s="1280"/>
      <c r="EU978" s="1280"/>
      <c r="EV978" s="1280"/>
      <c r="EW978" s="1280"/>
      <c r="EX978" s="1280"/>
      <c r="EY978" s="1280"/>
      <c r="EZ978" s="1280"/>
      <c r="FA978" s="1280"/>
      <c r="FB978" s="1280"/>
      <c r="FC978" s="1280"/>
      <c r="FD978" s="1280"/>
      <c r="FE978" s="1280"/>
      <c r="FF978" s="1280"/>
      <c r="FG978" s="1280"/>
      <c r="FH978" s="1280"/>
      <c r="FI978" s="1280"/>
      <c r="FJ978" s="1280"/>
      <c r="FK978" s="1280"/>
      <c r="FL978" s="1280"/>
      <c r="FM978" s="1280"/>
      <c r="FN978" s="1280"/>
      <c r="FO978" s="1280"/>
      <c r="FP978" s="1280"/>
      <c r="FQ978" s="1280"/>
      <c r="FR978" s="1280"/>
      <c r="FS978" s="1280"/>
      <c r="FT978" s="1280"/>
      <c r="FU978" s="1280"/>
      <c r="FV978" s="1280"/>
      <c r="FW978" s="1280"/>
      <c r="FX978" s="1280"/>
      <c r="FY978" s="1280"/>
      <c r="FZ978" s="1280"/>
      <c r="GA978" s="1280"/>
      <c r="GB978" s="1280"/>
      <c r="GC978" s="1280"/>
      <c r="GD978" s="1280"/>
    </row>
    <row r="979" spans="1:186" ht="15" hidden="1" customHeight="1" thickBot="1">
      <c r="A979" s="1256" t="s">
        <v>25</v>
      </c>
      <c r="B979" s="1256" t="s">
        <v>25</v>
      </c>
      <c r="C979" s="1266" t="s">
        <v>4797</v>
      </c>
      <c r="D979" s="1266" t="s">
        <v>4798</v>
      </c>
      <c r="E979" s="1266" t="s">
        <v>35</v>
      </c>
      <c r="F979" s="1266">
        <v>707206197</v>
      </c>
      <c r="G979" s="1266">
        <v>505271588</v>
      </c>
      <c r="H979" s="978">
        <v>5.8387599999999997</v>
      </c>
      <c r="I979" s="978">
        <v>-5.3592300000000002</v>
      </c>
      <c r="J979" s="1266" t="s">
        <v>36</v>
      </c>
      <c r="K979" s="978" t="s">
        <v>190</v>
      </c>
      <c r="L979" s="978" t="s">
        <v>642</v>
      </c>
      <c r="M979" s="1301" t="s">
        <v>4913</v>
      </c>
      <c r="N979" s="1303">
        <v>2150031554</v>
      </c>
      <c r="O979" s="1268">
        <v>46030</v>
      </c>
      <c r="P979" s="978"/>
      <c r="Q979" s="1268">
        <v>46031</v>
      </c>
      <c r="R979" s="1256" t="s">
        <v>2641</v>
      </c>
      <c r="S979" s="1256"/>
      <c r="T979" s="1256">
        <v>0</v>
      </c>
      <c r="U979" s="1296">
        <v>46043</v>
      </c>
      <c r="V979" s="1256" t="s">
        <v>310</v>
      </c>
      <c r="W979" s="1256">
        <v>250</v>
      </c>
      <c r="X979" s="1265" t="s">
        <v>32</v>
      </c>
      <c r="AA979" s="1293" t="s">
        <v>532</v>
      </c>
      <c r="AB979" s="978" t="s">
        <v>16</v>
      </c>
      <c r="AC979" s="978" t="s">
        <v>4805</v>
      </c>
    </row>
    <row r="980" spans="1:186" ht="15" hidden="1" customHeight="1" thickBot="1">
      <c r="A980" s="978" t="s">
        <v>25</v>
      </c>
      <c r="B980" s="978" t="s">
        <v>25</v>
      </c>
      <c r="C980" s="1278" t="s">
        <v>4887</v>
      </c>
      <c r="D980" s="1278" t="s">
        <v>4888</v>
      </c>
      <c r="E980" s="1278" t="s">
        <v>4889</v>
      </c>
      <c r="F980" s="1278">
        <v>140111616</v>
      </c>
      <c r="G980" s="1278">
        <v>749184838</v>
      </c>
      <c r="H980" s="978">
        <v>5.8418999999999999</v>
      </c>
      <c r="I980" s="978">
        <v>-5.3567999999999998</v>
      </c>
      <c r="J980" s="1278" t="s">
        <v>36</v>
      </c>
      <c r="K980" s="978" t="s">
        <v>190</v>
      </c>
      <c r="L980" s="978" t="s">
        <v>2597</v>
      </c>
      <c r="M980" s="1304" t="s">
        <v>4914</v>
      </c>
      <c r="N980" s="1305">
        <v>2150047051</v>
      </c>
      <c r="O980" s="1279">
        <v>46042</v>
      </c>
      <c r="P980" s="978"/>
      <c r="Q980" s="1279">
        <v>46043</v>
      </c>
      <c r="R980" s="1256" t="s">
        <v>2641</v>
      </c>
      <c r="S980" s="1256"/>
      <c r="T980" s="1256">
        <v>4</v>
      </c>
      <c r="U980" s="1296">
        <v>46043</v>
      </c>
      <c r="V980" s="1256" t="s">
        <v>310</v>
      </c>
      <c r="W980" s="1256">
        <v>400</v>
      </c>
      <c r="X980" s="1265" t="s">
        <v>32</v>
      </c>
      <c r="AA980" s="1293" t="s">
        <v>532</v>
      </c>
      <c r="AB980" s="978" t="s">
        <v>16</v>
      </c>
      <c r="AC980" s="978" t="s">
        <v>4894</v>
      </c>
    </row>
    <row r="981" spans="1:186" ht="15" hidden="1" customHeight="1" thickBot="1">
      <c r="A981" s="978" t="s">
        <v>25</v>
      </c>
      <c r="B981" s="978" t="s">
        <v>25</v>
      </c>
      <c r="C981" s="1278" t="s">
        <v>4897</v>
      </c>
      <c r="D981" s="1278" t="s">
        <v>4898</v>
      </c>
      <c r="E981" s="1278" t="s">
        <v>46</v>
      </c>
      <c r="F981" s="1278">
        <v>788661820</v>
      </c>
      <c r="G981" s="1278">
        <v>788661820</v>
      </c>
      <c r="H981" s="978">
        <v>5.84626</v>
      </c>
      <c r="I981" s="978">
        <v>-5.3586200000000002</v>
      </c>
      <c r="J981" s="1278" t="s">
        <v>36</v>
      </c>
      <c r="K981" s="978" t="s">
        <v>190</v>
      </c>
      <c r="L981" s="978" t="s">
        <v>3128</v>
      </c>
      <c r="M981" s="1300" t="s">
        <v>4912</v>
      </c>
      <c r="N981" s="1302">
        <v>2150047037</v>
      </c>
      <c r="O981" s="1279">
        <v>46042</v>
      </c>
      <c r="P981" s="978"/>
      <c r="Q981" s="1279">
        <v>46043</v>
      </c>
      <c r="R981" s="1256" t="s">
        <v>2641</v>
      </c>
      <c r="S981" s="1256"/>
      <c r="T981" s="1256">
        <v>0</v>
      </c>
      <c r="U981" s="1296">
        <v>46043</v>
      </c>
      <c r="V981" s="1256" t="s">
        <v>310</v>
      </c>
      <c r="W981" s="1256">
        <v>300</v>
      </c>
      <c r="X981" s="1265" t="s">
        <v>32</v>
      </c>
      <c r="AA981" s="1293" t="s">
        <v>532</v>
      </c>
      <c r="AB981" s="978" t="s">
        <v>16</v>
      </c>
      <c r="AC981" s="978" t="s">
        <v>4907</v>
      </c>
    </row>
    <row r="982" spans="1:186" s="634" customFormat="1" ht="15" hidden="1" customHeight="1" thickBot="1">
      <c r="A982" s="1325" t="s">
        <v>25</v>
      </c>
      <c r="B982" s="1325" t="s">
        <v>25</v>
      </c>
      <c r="C982" s="1644" t="s">
        <v>4903</v>
      </c>
      <c r="D982" s="1644" t="s">
        <v>4904</v>
      </c>
      <c r="E982" s="1644" t="s">
        <v>4905</v>
      </c>
      <c r="F982" s="1644">
        <v>118210213</v>
      </c>
      <c r="G982" s="1644">
        <v>584505102</v>
      </c>
      <c r="H982" s="1325">
        <v>5.8408300000000004</v>
      </c>
      <c r="I982" s="1325">
        <v>-5.3630699999999996</v>
      </c>
      <c r="J982" s="1644" t="s">
        <v>36</v>
      </c>
      <c r="K982" s="1325" t="s">
        <v>190</v>
      </c>
      <c r="L982" s="1325" t="s">
        <v>4681</v>
      </c>
      <c r="M982" s="1325" t="s">
        <v>4918</v>
      </c>
      <c r="N982" s="1325">
        <v>2150047052</v>
      </c>
      <c r="O982" s="1645">
        <v>46042</v>
      </c>
      <c r="P982" s="1325"/>
      <c r="Q982" s="1645">
        <v>46043</v>
      </c>
      <c r="R982" s="1624" t="s">
        <v>2641</v>
      </c>
      <c r="S982" s="1624"/>
      <c r="T982" s="1624">
        <v>4</v>
      </c>
      <c r="U982" s="1629">
        <v>46045</v>
      </c>
      <c r="V982" s="1624" t="s">
        <v>310</v>
      </c>
      <c r="W982" s="1624">
        <v>300</v>
      </c>
      <c r="X982" s="1630" t="s">
        <v>32</v>
      </c>
      <c r="AA982" s="1646" t="s">
        <v>532</v>
      </c>
      <c r="AB982" s="1325" t="s">
        <v>16</v>
      </c>
      <c r="AC982" s="1325" t="s">
        <v>4906</v>
      </c>
    </row>
    <row r="983" spans="1:186" ht="15" customHeight="1" thickBot="1">
      <c r="A983" s="1022" t="s">
        <v>25</v>
      </c>
      <c r="B983" s="1022" t="s">
        <v>25</v>
      </c>
      <c r="C983" s="490" t="s">
        <v>4895</v>
      </c>
      <c r="D983" s="490" t="s">
        <v>4896</v>
      </c>
      <c r="E983" s="490" t="s">
        <v>3058</v>
      </c>
      <c r="F983" s="490">
        <v>103951950</v>
      </c>
      <c r="G983" s="490">
        <v>574689352</v>
      </c>
      <c r="H983" s="1022">
        <v>5.8186499999999999</v>
      </c>
      <c r="I983" s="1022">
        <v>-5.3573899999999997</v>
      </c>
      <c r="J983" s="490" t="s">
        <v>4036</v>
      </c>
      <c r="K983" s="1022" t="s">
        <v>198</v>
      </c>
      <c r="L983" s="1022" t="s">
        <v>4908</v>
      </c>
      <c r="M983" s="1022" t="s">
        <v>4917</v>
      </c>
      <c r="N983" s="1022">
        <v>2150047033</v>
      </c>
      <c r="O983" s="2270">
        <v>46042</v>
      </c>
      <c r="P983" s="1022"/>
      <c r="Q983" s="2270">
        <v>46043</v>
      </c>
      <c r="R983" s="1367" t="s">
        <v>2641</v>
      </c>
      <c r="S983" s="1367"/>
      <c r="T983" s="1367">
        <v>1</v>
      </c>
      <c r="U983" s="2271">
        <v>46044</v>
      </c>
      <c r="V983" s="1367" t="s">
        <v>310</v>
      </c>
      <c r="W983" s="1367">
        <v>150</v>
      </c>
      <c r="X983" s="1367" t="s">
        <v>32</v>
      </c>
      <c r="Y983" s="490"/>
      <c r="Z983" s="490"/>
      <c r="AA983" s="1022" t="s">
        <v>532</v>
      </c>
      <c r="AB983" s="1022" t="s">
        <v>16</v>
      </c>
      <c r="AC983" s="1022" t="s">
        <v>4909</v>
      </c>
      <c r="AD983" s="1385"/>
      <c r="AE983" s="1378"/>
      <c r="AF983" s="1238"/>
      <c r="AG983" s="1238"/>
      <c r="AH983" s="1238"/>
      <c r="AI983" s="1238"/>
      <c r="AJ983" s="1238"/>
      <c r="AK983" s="1238"/>
      <c r="AL983" s="1238"/>
      <c r="AM983" s="1238"/>
      <c r="AN983" s="1238"/>
      <c r="AO983" s="1238"/>
      <c r="AP983" s="1238"/>
      <c r="AQ983" s="1238"/>
      <c r="AR983" s="1238"/>
      <c r="AS983" s="1238"/>
      <c r="AT983" s="1238"/>
      <c r="AU983" s="1238"/>
      <c r="AV983" s="1238"/>
      <c r="AW983" s="1238"/>
      <c r="AX983" s="1238"/>
      <c r="AY983" s="1238"/>
      <c r="AZ983" s="1238"/>
      <c r="BA983" s="1238"/>
      <c r="BB983" s="1238"/>
      <c r="BC983" s="1238"/>
      <c r="BD983" s="1238"/>
      <c r="BE983" s="1238"/>
      <c r="BF983" s="1238"/>
      <c r="BG983" s="1238"/>
      <c r="BH983" s="1238"/>
      <c r="BI983" s="1238"/>
      <c r="BJ983" s="1238"/>
      <c r="BK983" s="1238"/>
      <c r="BL983" s="1238"/>
      <c r="BM983" s="1238"/>
      <c r="BN983" s="1238"/>
      <c r="BO983" s="1238"/>
      <c r="BP983" s="1238"/>
      <c r="BQ983" s="1238"/>
      <c r="BR983" s="1238"/>
      <c r="BS983" s="1238"/>
      <c r="BT983" s="1238"/>
      <c r="BU983" s="1238"/>
      <c r="BV983" s="1238"/>
      <c r="BW983" s="1238"/>
      <c r="BX983" s="1238"/>
      <c r="BY983" s="1238"/>
      <c r="BZ983" s="1238"/>
      <c r="CA983" s="1238"/>
      <c r="CB983" s="1238"/>
      <c r="CC983" s="1238"/>
      <c r="CD983" s="1238"/>
      <c r="CE983" s="1238"/>
      <c r="CF983" s="1238"/>
      <c r="CG983" s="1238"/>
      <c r="CH983" s="1238"/>
      <c r="CI983" s="1238"/>
      <c r="CJ983" s="1238"/>
      <c r="CK983" s="1238"/>
      <c r="CL983" s="1238"/>
      <c r="CM983" s="1238"/>
      <c r="CN983" s="1238"/>
      <c r="CO983" s="1238"/>
      <c r="CP983" s="1238"/>
      <c r="CQ983" s="1238"/>
      <c r="CR983" s="1238"/>
      <c r="CS983" s="1238"/>
      <c r="CT983" s="1238"/>
      <c r="CU983" s="1238"/>
      <c r="CV983" s="1238"/>
      <c r="CW983" s="1238"/>
      <c r="CX983" s="1238"/>
      <c r="CY983" s="1238"/>
      <c r="CZ983" s="1238"/>
      <c r="DA983" s="1238"/>
      <c r="DB983" s="1238"/>
      <c r="DC983" s="1238"/>
      <c r="DD983" s="1238"/>
      <c r="DE983" s="1238"/>
      <c r="DF983" s="1238"/>
      <c r="DG983" s="1238"/>
      <c r="DH983" s="1238"/>
      <c r="DI983" s="1238"/>
      <c r="DJ983" s="1238"/>
      <c r="DK983" s="1238"/>
      <c r="DL983" s="1238"/>
      <c r="DM983" s="1238"/>
      <c r="DN983" s="1238"/>
      <c r="DO983" s="1238"/>
      <c r="DP983" s="1238"/>
      <c r="DQ983" s="1238"/>
      <c r="DR983" s="1238"/>
      <c r="DS983" s="1238"/>
      <c r="DT983" s="1238"/>
      <c r="DU983" s="1238"/>
      <c r="DV983" s="1238"/>
      <c r="DW983" s="1238"/>
      <c r="DX983" s="1238"/>
      <c r="DY983" s="1238"/>
      <c r="DZ983" s="1238"/>
      <c r="EA983" s="1238"/>
      <c r="EB983" s="1238"/>
      <c r="EC983" s="1238"/>
      <c r="ED983" s="1238"/>
      <c r="EE983" s="1238"/>
      <c r="EF983" s="1238"/>
      <c r="EG983" s="1238"/>
      <c r="EH983" s="1238"/>
      <c r="EI983" s="1238"/>
      <c r="EJ983" s="1238"/>
      <c r="EK983" s="1238"/>
      <c r="EL983" s="1238"/>
      <c r="EM983" s="1238"/>
      <c r="EN983" s="1238"/>
      <c r="EO983" s="1238"/>
      <c r="EP983" s="1238"/>
      <c r="EQ983" s="1238"/>
      <c r="ER983" s="1238"/>
      <c r="ES983" s="1238"/>
      <c r="ET983" s="1238"/>
      <c r="EU983" s="1238"/>
      <c r="EV983" s="1238"/>
      <c r="EW983" s="1238"/>
      <c r="EX983" s="1238"/>
      <c r="EY983" s="1238"/>
      <c r="EZ983" s="1238"/>
      <c r="FA983" s="1238"/>
      <c r="FB983" s="1238"/>
      <c r="FC983" s="1238"/>
      <c r="FD983" s="1238"/>
      <c r="FE983" s="1238"/>
      <c r="FF983" s="1238"/>
      <c r="FG983" s="1238"/>
      <c r="FH983" s="1238"/>
      <c r="FI983" s="1238"/>
      <c r="FJ983" s="1238"/>
      <c r="FK983" s="1238"/>
      <c r="FL983" s="1238"/>
      <c r="FM983" s="1238"/>
      <c r="FN983" s="1238"/>
      <c r="FO983" s="1238"/>
      <c r="FP983" s="1238"/>
      <c r="FQ983" s="1238"/>
      <c r="FR983" s="1238"/>
      <c r="FS983" s="1238"/>
      <c r="FT983" s="1238"/>
      <c r="FU983" s="1238"/>
      <c r="FV983" s="1238"/>
      <c r="FW983" s="1238"/>
      <c r="FX983" s="1238"/>
      <c r="FY983" s="1238"/>
      <c r="FZ983" s="1238"/>
      <c r="GA983" s="1238"/>
      <c r="GB983" s="1238"/>
      <c r="GC983" s="1238"/>
      <c r="GD983" s="1238"/>
    </row>
    <row r="984" spans="1:186" ht="15" customHeight="1" thickBot="1">
      <c r="A984" s="1022" t="s">
        <v>25</v>
      </c>
      <c r="B984" s="1022" t="s">
        <v>25</v>
      </c>
      <c r="C984" s="490" t="s">
        <v>4899</v>
      </c>
      <c r="D984" s="490" t="s">
        <v>4900</v>
      </c>
      <c r="E984" s="490" t="s">
        <v>4071</v>
      </c>
      <c r="F984" s="490">
        <v>709808586</v>
      </c>
      <c r="G984" s="490">
        <v>709808586</v>
      </c>
      <c r="H984" s="1022">
        <v>5.8200200000000004</v>
      </c>
      <c r="I984" s="1022">
        <v>-5.3685999999999998</v>
      </c>
      <c r="J984" s="490" t="s">
        <v>2612</v>
      </c>
      <c r="K984" s="1022" t="s">
        <v>198</v>
      </c>
      <c r="L984" s="1022" t="s">
        <v>4584</v>
      </c>
      <c r="M984" s="1022" t="s">
        <v>4915</v>
      </c>
      <c r="N984" s="1022">
        <v>2150047042</v>
      </c>
      <c r="O984" s="2270">
        <v>46042</v>
      </c>
      <c r="P984" s="1022"/>
      <c r="Q984" s="2270">
        <v>46043</v>
      </c>
      <c r="R984" s="1367" t="s">
        <v>2641</v>
      </c>
      <c r="S984" s="1367"/>
      <c r="T984" s="1367">
        <v>1</v>
      </c>
      <c r="U984" s="2271">
        <v>46044</v>
      </c>
      <c r="V984" s="1367" t="s">
        <v>310</v>
      </c>
      <c r="W984" s="1367">
        <v>300</v>
      </c>
      <c r="X984" s="1367" t="s">
        <v>32</v>
      </c>
      <c r="Y984" s="490"/>
      <c r="Z984" s="490"/>
      <c r="AA984" s="1022" t="s">
        <v>532</v>
      </c>
      <c r="AB984" s="1022" t="s">
        <v>16</v>
      </c>
      <c r="AC984" s="1022" t="s">
        <v>4911</v>
      </c>
      <c r="AD984" s="1385"/>
      <c r="AE984" s="1378"/>
      <c r="AF984" s="1238"/>
      <c r="AG984" s="1238"/>
      <c r="AH984" s="1238"/>
      <c r="AI984" s="1238"/>
      <c r="AJ984" s="1238"/>
      <c r="AK984" s="1238"/>
      <c r="AL984" s="1238"/>
      <c r="AM984" s="1238"/>
      <c r="AN984" s="1238"/>
      <c r="AO984" s="1238"/>
      <c r="AP984" s="1238"/>
      <c r="AQ984" s="1238"/>
      <c r="AR984" s="1238"/>
      <c r="AS984" s="1238"/>
      <c r="AT984" s="1238"/>
      <c r="AU984" s="1238"/>
      <c r="AV984" s="1238"/>
      <c r="AW984" s="1238"/>
      <c r="AX984" s="1238"/>
      <c r="AY984" s="1238"/>
      <c r="AZ984" s="1238"/>
      <c r="BA984" s="1238"/>
      <c r="BB984" s="1238"/>
      <c r="BC984" s="1238"/>
      <c r="BD984" s="1238"/>
      <c r="BE984" s="1238"/>
      <c r="BF984" s="1238"/>
      <c r="BG984" s="1238"/>
      <c r="BH984" s="1238"/>
      <c r="BI984" s="1238"/>
      <c r="BJ984" s="1238"/>
      <c r="BK984" s="1238"/>
      <c r="BL984" s="1238"/>
      <c r="BM984" s="1238"/>
      <c r="BN984" s="1238"/>
      <c r="BO984" s="1238"/>
      <c r="BP984" s="1238"/>
      <c r="BQ984" s="1238"/>
      <c r="BR984" s="1238"/>
      <c r="BS984" s="1238"/>
      <c r="BT984" s="1238"/>
      <c r="BU984" s="1238"/>
      <c r="BV984" s="1238"/>
      <c r="BW984" s="1238"/>
      <c r="BX984" s="1238"/>
      <c r="BY984" s="1238"/>
      <c r="BZ984" s="1238"/>
      <c r="CA984" s="1238"/>
      <c r="CB984" s="1238"/>
      <c r="CC984" s="1238"/>
      <c r="CD984" s="1238"/>
      <c r="CE984" s="1238"/>
      <c r="CF984" s="1238"/>
      <c r="CG984" s="1238"/>
      <c r="CH984" s="1238"/>
      <c r="CI984" s="1238"/>
      <c r="CJ984" s="1238"/>
      <c r="CK984" s="1238"/>
      <c r="CL984" s="1238"/>
      <c r="CM984" s="1238"/>
      <c r="CN984" s="1238"/>
      <c r="CO984" s="1238"/>
      <c r="CP984" s="1238"/>
      <c r="CQ984" s="1238"/>
      <c r="CR984" s="1238"/>
      <c r="CS984" s="1238"/>
      <c r="CT984" s="1238"/>
      <c r="CU984" s="1238"/>
      <c r="CV984" s="1238"/>
      <c r="CW984" s="1238"/>
      <c r="CX984" s="1238"/>
      <c r="CY984" s="1238"/>
      <c r="CZ984" s="1238"/>
      <c r="DA984" s="1238"/>
      <c r="DB984" s="1238"/>
      <c r="DC984" s="1238"/>
      <c r="DD984" s="1238"/>
      <c r="DE984" s="1238"/>
      <c r="DF984" s="1238"/>
      <c r="DG984" s="1238"/>
      <c r="DH984" s="1238"/>
      <c r="DI984" s="1238"/>
      <c r="DJ984" s="1238"/>
      <c r="DK984" s="1238"/>
      <c r="DL984" s="1238"/>
      <c r="DM984" s="1238"/>
      <c r="DN984" s="1238"/>
      <c r="DO984" s="1238"/>
      <c r="DP984" s="1238"/>
      <c r="DQ984" s="1238"/>
      <c r="DR984" s="1238"/>
      <c r="DS984" s="1238"/>
      <c r="DT984" s="1238"/>
      <c r="DU984" s="1238"/>
      <c r="DV984" s="1238"/>
      <c r="DW984" s="1238"/>
      <c r="DX984" s="1238"/>
      <c r="DY984" s="1238"/>
      <c r="DZ984" s="1238"/>
      <c r="EA984" s="1238"/>
      <c r="EB984" s="1238"/>
      <c r="EC984" s="1238"/>
      <c r="ED984" s="1238"/>
      <c r="EE984" s="1238"/>
      <c r="EF984" s="1238"/>
      <c r="EG984" s="1238"/>
      <c r="EH984" s="1238"/>
      <c r="EI984" s="1238"/>
      <c r="EJ984" s="1238"/>
      <c r="EK984" s="1238"/>
      <c r="EL984" s="1238"/>
      <c r="EM984" s="1238"/>
      <c r="EN984" s="1238"/>
      <c r="EO984" s="1238"/>
      <c r="EP984" s="1238"/>
      <c r="EQ984" s="1238"/>
      <c r="ER984" s="1238"/>
      <c r="ES984" s="1238"/>
      <c r="ET984" s="1238"/>
      <c r="EU984" s="1238"/>
      <c r="EV984" s="1238"/>
      <c r="EW984" s="1238"/>
      <c r="EX984" s="1238"/>
      <c r="EY984" s="1238"/>
      <c r="EZ984" s="1238"/>
      <c r="FA984" s="1238"/>
      <c r="FB984" s="1238"/>
      <c r="FC984" s="1238"/>
      <c r="FD984" s="1238"/>
      <c r="FE984" s="1238"/>
      <c r="FF984" s="1238"/>
      <c r="FG984" s="1238"/>
      <c r="FH984" s="1238"/>
      <c r="FI984" s="1238"/>
      <c r="FJ984" s="1238"/>
      <c r="FK984" s="1238"/>
      <c r="FL984" s="1238"/>
      <c r="FM984" s="1238"/>
      <c r="FN984" s="1238"/>
      <c r="FO984" s="1238"/>
      <c r="FP984" s="1238"/>
      <c r="FQ984" s="1238"/>
      <c r="FR984" s="1238"/>
      <c r="FS984" s="1238"/>
      <c r="FT984" s="1238"/>
      <c r="FU984" s="1238"/>
      <c r="FV984" s="1238"/>
      <c r="FW984" s="1238"/>
      <c r="FX984" s="1238"/>
      <c r="FY984" s="1238"/>
      <c r="FZ984" s="1238"/>
      <c r="GA984" s="1238"/>
      <c r="GB984" s="1238"/>
      <c r="GC984" s="1238"/>
      <c r="GD984" s="1238"/>
    </row>
    <row r="985" spans="1:186" ht="15" customHeight="1" thickBot="1">
      <c r="A985" s="1022" t="s">
        <v>25</v>
      </c>
      <c r="B985" s="1022" t="s">
        <v>25</v>
      </c>
      <c r="C985" s="490" t="s">
        <v>4901</v>
      </c>
      <c r="D985" s="490" t="s">
        <v>4902</v>
      </c>
      <c r="E985" s="490" t="s">
        <v>3426</v>
      </c>
      <c r="F985" s="490">
        <v>706087621</v>
      </c>
      <c r="G985" s="490">
        <v>546567074</v>
      </c>
      <c r="H985" s="1022">
        <v>5.8238500000000002</v>
      </c>
      <c r="I985" s="1022">
        <v>-5.3654999999999999</v>
      </c>
      <c r="J985" s="490" t="s">
        <v>2612</v>
      </c>
      <c r="K985" s="1022" t="s">
        <v>198</v>
      </c>
      <c r="L985" s="1022" t="s">
        <v>3433</v>
      </c>
      <c r="M985" s="1022" t="s">
        <v>4916</v>
      </c>
      <c r="N985" s="1022">
        <v>2150047038</v>
      </c>
      <c r="O985" s="2270">
        <v>46042</v>
      </c>
      <c r="P985" s="1022"/>
      <c r="Q985" s="2270">
        <v>46043</v>
      </c>
      <c r="R985" s="1367" t="s">
        <v>2641</v>
      </c>
      <c r="S985" s="1367"/>
      <c r="T985" s="1367">
        <v>1</v>
      </c>
      <c r="U985" s="2271">
        <v>46044</v>
      </c>
      <c r="V985" s="1367" t="s">
        <v>310</v>
      </c>
      <c r="W985" s="1367">
        <v>150</v>
      </c>
      <c r="X985" s="1367" t="s">
        <v>32</v>
      </c>
      <c r="Y985" s="490"/>
      <c r="Z985" s="490"/>
      <c r="AA985" s="1022" t="s">
        <v>532</v>
      </c>
      <c r="AB985" s="1022" t="s">
        <v>16</v>
      </c>
      <c r="AC985" s="1022" t="s">
        <v>4910</v>
      </c>
      <c r="AD985" s="1385"/>
      <c r="AE985" s="1378"/>
      <c r="AF985" s="1238"/>
      <c r="AG985" s="1238"/>
      <c r="AH985" s="1238"/>
      <c r="AI985" s="1238"/>
      <c r="AJ985" s="1238"/>
      <c r="AK985" s="1238"/>
      <c r="AL985" s="1238"/>
      <c r="AM985" s="1238"/>
      <c r="AN985" s="1238"/>
      <c r="AO985" s="1238"/>
      <c r="AP985" s="1238"/>
      <c r="AQ985" s="1238"/>
      <c r="AR985" s="1238"/>
      <c r="AS985" s="1238"/>
      <c r="AT985" s="1238"/>
      <c r="AU985" s="1238"/>
      <c r="AV985" s="1238"/>
      <c r="AW985" s="1238"/>
      <c r="AX985" s="1238"/>
      <c r="AY985" s="1238"/>
      <c r="AZ985" s="1238"/>
      <c r="BA985" s="1238"/>
      <c r="BB985" s="1238"/>
      <c r="BC985" s="1238"/>
      <c r="BD985" s="1238"/>
      <c r="BE985" s="1238"/>
      <c r="BF985" s="1238"/>
      <c r="BG985" s="1238"/>
      <c r="BH985" s="1238"/>
      <c r="BI985" s="1238"/>
      <c r="BJ985" s="1238"/>
      <c r="BK985" s="1238"/>
      <c r="BL985" s="1238"/>
      <c r="BM985" s="1238"/>
      <c r="BN985" s="1238"/>
      <c r="BO985" s="1238"/>
      <c r="BP985" s="1238"/>
      <c r="BQ985" s="1238"/>
      <c r="BR985" s="1238"/>
      <c r="BS985" s="1238"/>
      <c r="BT985" s="1238"/>
      <c r="BU985" s="1238"/>
      <c r="BV985" s="1238"/>
      <c r="BW985" s="1238"/>
      <c r="BX985" s="1238"/>
      <c r="BY985" s="1238"/>
      <c r="BZ985" s="1238"/>
      <c r="CA985" s="1238"/>
      <c r="CB985" s="1238"/>
      <c r="CC985" s="1238"/>
      <c r="CD985" s="1238"/>
      <c r="CE985" s="1238"/>
      <c r="CF985" s="1238"/>
      <c r="CG985" s="1238"/>
      <c r="CH985" s="1238"/>
      <c r="CI985" s="1238"/>
      <c r="CJ985" s="1238"/>
      <c r="CK985" s="1238"/>
      <c r="CL985" s="1238"/>
      <c r="CM985" s="1238"/>
      <c r="CN985" s="1238"/>
      <c r="CO985" s="1238"/>
      <c r="CP985" s="1238"/>
      <c r="CQ985" s="1238"/>
      <c r="CR985" s="1238"/>
      <c r="CS985" s="1238"/>
      <c r="CT985" s="1238"/>
      <c r="CU985" s="1238"/>
      <c r="CV985" s="1238"/>
      <c r="CW985" s="1238"/>
      <c r="CX985" s="1238"/>
      <c r="CY985" s="1238"/>
      <c r="CZ985" s="1238"/>
      <c r="DA985" s="1238"/>
      <c r="DB985" s="1238"/>
      <c r="DC985" s="1238"/>
      <c r="DD985" s="1238"/>
      <c r="DE985" s="1238"/>
      <c r="DF985" s="1238"/>
      <c r="DG985" s="1238"/>
      <c r="DH985" s="1238"/>
      <c r="DI985" s="1238"/>
      <c r="DJ985" s="1238"/>
      <c r="DK985" s="1238"/>
      <c r="DL985" s="1238"/>
      <c r="DM985" s="1238"/>
      <c r="DN985" s="1238"/>
      <c r="DO985" s="1238"/>
      <c r="DP985" s="1238"/>
      <c r="DQ985" s="1238"/>
      <c r="DR985" s="1238"/>
      <c r="DS985" s="1238"/>
      <c r="DT985" s="1238"/>
      <c r="DU985" s="1238"/>
      <c r="DV985" s="1238"/>
      <c r="DW985" s="1238"/>
      <c r="DX985" s="1238"/>
      <c r="DY985" s="1238"/>
      <c r="DZ985" s="1238"/>
      <c r="EA985" s="1238"/>
      <c r="EB985" s="1238"/>
      <c r="EC985" s="1238"/>
      <c r="ED985" s="1238"/>
      <c r="EE985" s="1238"/>
      <c r="EF985" s="1238"/>
      <c r="EG985" s="1238"/>
      <c r="EH985" s="1238"/>
      <c r="EI985" s="1238"/>
      <c r="EJ985" s="1238"/>
      <c r="EK985" s="1238"/>
      <c r="EL985" s="1238"/>
      <c r="EM985" s="1238"/>
      <c r="EN985" s="1238"/>
      <c r="EO985" s="1238"/>
      <c r="EP985" s="1238"/>
      <c r="EQ985" s="1238"/>
      <c r="ER985" s="1238"/>
      <c r="ES985" s="1238"/>
      <c r="ET985" s="1238"/>
      <c r="EU985" s="1238"/>
      <c r="EV985" s="1238"/>
      <c r="EW985" s="1238"/>
      <c r="EX985" s="1238"/>
      <c r="EY985" s="1238"/>
      <c r="EZ985" s="1238"/>
      <c r="FA985" s="1238"/>
      <c r="FB985" s="1238"/>
      <c r="FC985" s="1238"/>
      <c r="FD985" s="1238"/>
      <c r="FE985" s="1238"/>
      <c r="FF985" s="1238"/>
      <c r="FG985" s="1238"/>
      <c r="FH985" s="1238"/>
      <c r="FI985" s="1238"/>
      <c r="FJ985" s="1238"/>
      <c r="FK985" s="1238"/>
      <c r="FL985" s="1238"/>
      <c r="FM985" s="1238"/>
      <c r="FN985" s="1238"/>
      <c r="FO985" s="1238"/>
      <c r="FP985" s="1238"/>
      <c r="FQ985" s="1238"/>
      <c r="FR985" s="1238"/>
      <c r="FS985" s="1238"/>
      <c r="FT985" s="1238"/>
      <c r="FU985" s="1238"/>
      <c r="FV985" s="1238"/>
      <c r="FW985" s="1238"/>
      <c r="FX985" s="1238"/>
      <c r="FY985" s="1238"/>
      <c r="FZ985" s="1238"/>
      <c r="GA985" s="1238"/>
      <c r="GB985" s="1238"/>
      <c r="GC985" s="1238"/>
      <c r="GD985" s="1238"/>
    </row>
    <row r="986" spans="1:186" s="634" customFormat="1" ht="15" customHeight="1" thickBot="1">
      <c r="A986" s="1367" t="s">
        <v>25</v>
      </c>
      <c r="B986" s="1367" t="s">
        <v>25</v>
      </c>
      <c r="C986" s="1367" t="s">
        <v>2509</v>
      </c>
      <c r="D986" s="1367" t="s">
        <v>2510</v>
      </c>
      <c r="E986" s="1367" t="s">
        <v>97</v>
      </c>
      <c r="F986" s="1367">
        <v>709914944</v>
      </c>
      <c r="G986" s="1367">
        <v>709914944</v>
      </c>
      <c r="H986" s="1022">
        <v>5.8417899999999996</v>
      </c>
      <c r="I986" s="1022">
        <v>-5.3526899999999999</v>
      </c>
      <c r="J986" s="1367" t="s">
        <v>189</v>
      </c>
      <c r="K986" s="1022" t="s">
        <v>203</v>
      </c>
      <c r="L986" s="1022" t="s">
        <v>341</v>
      </c>
      <c r="M986" s="1022" t="s">
        <v>4964</v>
      </c>
      <c r="N986" s="1022">
        <v>2150047046</v>
      </c>
      <c r="O986" s="2271">
        <v>45854</v>
      </c>
      <c r="P986" s="1022">
        <v>134</v>
      </c>
      <c r="Q986" s="2271">
        <v>45862</v>
      </c>
      <c r="R986" s="1022" t="s">
        <v>2641</v>
      </c>
      <c r="S986" s="1022"/>
      <c r="T986" s="1022">
        <v>2</v>
      </c>
      <c r="U986" s="2271">
        <v>46048</v>
      </c>
      <c r="V986" s="1022" t="s">
        <v>310</v>
      </c>
      <c r="W986" s="1022">
        <v>200</v>
      </c>
      <c r="X986" s="1367" t="s">
        <v>32</v>
      </c>
      <c r="Y986" s="490"/>
      <c r="Z986" s="490"/>
      <c r="AA986" s="1022" t="s">
        <v>532</v>
      </c>
      <c r="AB986" s="1367" t="s">
        <v>16</v>
      </c>
      <c r="AC986" s="2275" t="s">
        <v>4936</v>
      </c>
      <c r="AD986" s="1386"/>
      <c r="AE986" s="1238"/>
      <c r="AF986" s="1238"/>
      <c r="AG986" s="1238"/>
      <c r="AH986" s="1238"/>
      <c r="AI986" s="1238"/>
      <c r="AJ986" s="1238"/>
      <c r="AK986" s="1238"/>
      <c r="AL986" s="1238"/>
      <c r="AM986" s="1238"/>
      <c r="AN986" s="1238"/>
      <c r="AO986" s="1238"/>
      <c r="AP986" s="1238"/>
      <c r="AQ986" s="1238"/>
      <c r="AR986" s="1238"/>
      <c r="AS986" s="1238"/>
      <c r="AT986" s="1238"/>
      <c r="AU986" s="1238"/>
      <c r="AV986" s="1238"/>
      <c r="AW986" s="1238"/>
      <c r="AX986" s="1238"/>
      <c r="AY986" s="1238"/>
      <c r="AZ986" s="1238"/>
      <c r="BA986" s="1238"/>
      <c r="BB986" s="1238"/>
      <c r="BC986" s="1238"/>
      <c r="BD986" s="1238"/>
      <c r="BE986" s="1238"/>
      <c r="BF986" s="1238"/>
      <c r="BG986" s="1238"/>
      <c r="BH986" s="1238"/>
      <c r="BI986" s="1238"/>
      <c r="BJ986" s="1238"/>
      <c r="BK986" s="1238"/>
      <c r="BL986" s="1238"/>
      <c r="BM986" s="1238"/>
      <c r="BN986" s="1238"/>
      <c r="BO986" s="1238"/>
      <c r="BP986" s="1238"/>
      <c r="BQ986" s="1238"/>
      <c r="BR986" s="1238"/>
      <c r="BS986" s="1238"/>
      <c r="BT986" s="1238"/>
      <c r="BU986" s="1238"/>
      <c r="BV986" s="1238"/>
      <c r="BW986" s="1238"/>
      <c r="BX986" s="1238"/>
      <c r="BY986" s="1238"/>
      <c r="BZ986" s="1238"/>
      <c r="CA986" s="1238"/>
      <c r="CB986" s="1238"/>
      <c r="CC986" s="1238"/>
      <c r="CD986" s="1238"/>
      <c r="CE986" s="1238"/>
      <c r="CF986" s="1238"/>
      <c r="CG986" s="1238"/>
      <c r="CH986" s="1238"/>
      <c r="CI986" s="1238"/>
      <c r="CJ986" s="1238"/>
      <c r="CK986" s="1238"/>
      <c r="CL986" s="1238"/>
      <c r="CM986" s="1238"/>
      <c r="CN986" s="1238"/>
      <c r="CO986" s="1238"/>
      <c r="CP986" s="1238"/>
      <c r="CQ986" s="1238"/>
      <c r="CR986" s="1238"/>
      <c r="CS986" s="1238"/>
      <c r="CT986" s="1238"/>
      <c r="CU986" s="1238"/>
      <c r="CV986" s="1238"/>
      <c r="CW986" s="1238"/>
      <c r="CX986" s="1238"/>
      <c r="CY986" s="1238"/>
      <c r="CZ986" s="1238"/>
      <c r="DA986" s="1238"/>
      <c r="DB986" s="1238"/>
      <c r="DC986" s="1238"/>
      <c r="DD986" s="1238"/>
      <c r="DE986" s="1238"/>
      <c r="DF986" s="1238"/>
      <c r="DG986" s="1238"/>
      <c r="DH986" s="1238"/>
      <c r="DI986" s="1238"/>
      <c r="DJ986" s="1238"/>
      <c r="DK986" s="1238"/>
      <c r="DL986" s="1238"/>
      <c r="DM986" s="1238"/>
      <c r="DN986" s="1238"/>
      <c r="DO986" s="1238"/>
      <c r="DP986" s="1238"/>
      <c r="DQ986" s="1238"/>
      <c r="DR986" s="1238"/>
      <c r="DS986" s="1238"/>
      <c r="DT986" s="1238"/>
      <c r="DU986" s="1238"/>
      <c r="DV986" s="1238"/>
      <c r="DW986" s="1238"/>
      <c r="DX986" s="1238"/>
      <c r="DY986" s="1238"/>
      <c r="DZ986" s="1238"/>
      <c r="EA986" s="1238"/>
      <c r="EB986" s="1238"/>
      <c r="EC986" s="1238"/>
      <c r="ED986" s="1238"/>
      <c r="EE986" s="1238"/>
      <c r="EF986" s="1238"/>
      <c r="EG986" s="1238"/>
      <c r="EH986" s="1238"/>
      <c r="EI986" s="1238"/>
      <c r="EJ986" s="1238"/>
      <c r="EK986" s="1238"/>
      <c r="EL986" s="1238"/>
      <c r="EM986" s="1238"/>
      <c r="EN986" s="1238"/>
      <c r="EO986" s="1238"/>
      <c r="EP986" s="1238"/>
      <c r="EQ986" s="1238"/>
      <c r="ER986" s="1238"/>
      <c r="ES986" s="1238"/>
      <c r="ET986" s="1238"/>
      <c r="EU986" s="1238"/>
      <c r="EV986" s="1238"/>
      <c r="EW986" s="1238"/>
      <c r="EX986" s="1238"/>
      <c r="EY986" s="1238"/>
      <c r="EZ986" s="1238"/>
      <c r="FA986" s="1238"/>
      <c r="FB986" s="1238"/>
      <c r="FC986" s="1238"/>
      <c r="FD986" s="1238"/>
      <c r="FE986" s="1238"/>
      <c r="FF986" s="1238"/>
      <c r="FG986" s="1238"/>
      <c r="FH986" s="1238"/>
      <c r="FI986" s="1238"/>
      <c r="FJ986" s="1238"/>
      <c r="FK986" s="1238"/>
      <c r="FL986" s="1238"/>
      <c r="FM986" s="1238"/>
      <c r="FN986" s="1238"/>
      <c r="FO986" s="1238"/>
      <c r="FP986" s="1238"/>
      <c r="FQ986" s="1238"/>
      <c r="FR986" s="1238"/>
      <c r="FS986" s="1238"/>
      <c r="FT986" s="1238"/>
      <c r="FU986" s="1238"/>
      <c r="FV986" s="1238"/>
      <c r="FW986" s="1238"/>
      <c r="FX986" s="1238"/>
      <c r="FY986" s="1238"/>
      <c r="FZ986" s="1238"/>
      <c r="GA986" s="1238"/>
      <c r="GB986" s="1238"/>
      <c r="GC986" s="1238"/>
      <c r="GD986" s="1238"/>
    </row>
    <row r="987" spans="1:186" s="634" customFormat="1" ht="15" customHeight="1" thickBot="1">
      <c r="A987" s="1367" t="s">
        <v>25</v>
      </c>
      <c r="B987" s="1367" t="s">
        <v>25</v>
      </c>
      <c r="C987" s="2259" t="s">
        <v>4504</v>
      </c>
      <c r="D987" s="2259" t="s">
        <v>4505</v>
      </c>
      <c r="E987" s="2259" t="s">
        <v>4506</v>
      </c>
      <c r="F987" s="2259">
        <v>586864386</v>
      </c>
      <c r="G987" s="2259">
        <v>575513137</v>
      </c>
      <c r="H987" s="1022">
        <v>5.8225199999999999</v>
      </c>
      <c r="I987" s="1022">
        <v>-5.3569199999999997</v>
      </c>
      <c r="J987" s="2259" t="s">
        <v>4036</v>
      </c>
      <c r="K987" s="1022" t="s">
        <v>203</v>
      </c>
      <c r="L987" s="1022" t="s">
        <v>4935</v>
      </c>
      <c r="M987" s="1022" t="s">
        <v>4965</v>
      </c>
      <c r="N987" s="1022">
        <v>2150047044</v>
      </c>
      <c r="O987" s="2260">
        <v>46004</v>
      </c>
      <c r="P987" s="1022"/>
      <c r="Q987" s="2260">
        <v>46006</v>
      </c>
      <c r="R987" s="1367" t="s">
        <v>2641</v>
      </c>
      <c r="S987" s="1367"/>
      <c r="T987" s="1367">
        <v>0</v>
      </c>
      <c r="U987" s="2271">
        <v>46048</v>
      </c>
      <c r="V987" s="1367" t="s">
        <v>310</v>
      </c>
      <c r="W987" s="1367">
        <v>200</v>
      </c>
      <c r="X987" s="1367" t="s">
        <v>32</v>
      </c>
      <c r="Y987" s="490"/>
      <c r="Z987" s="490"/>
      <c r="AA987" s="1022" t="s">
        <v>532</v>
      </c>
      <c r="AB987" s="1022" t="s">
        <v>16</v>
      </c>
      <c r="AC987" s="2275" t="s">
        <v>4966</v>
      </c>
      <c r="AD987" s="1386"/>
      <c r="AE987" s="1238"/>
      <c r="AF987" s="1238"/>
      <c r="AG987" s="1238"/>
      <c r="AH987" s="1238"/>
      <c r="AI987" s="1238"/>
      <c r="AJ987" s="1238"/>
      <c r="AK987" s="1238"/>
      <c r="AL987" s="1238"/>
      <c r="AM987" s="1238"/>
      <c r="AN987" s="1238"/>
      <c r="AO987" s="1238"/>
      <c r="AP987" s="1238"/>
      <c r="AQ987" s="1238"/>
      <c r="AR987" s="1238"/>
      <c r="AS987" s="1238"/>
      <c r="AT987" s="1238"/>
      <c r="AU987" s="1238"/>
      <c r="AV987" s="1238"/>
      <c r="AW987" s="1238"/>
      <c r="AX987" s="1238"/>
      <c r="AY987" s="1238"/>
      <c r="AZ987" s="1238"/>
      <c r="BA987" s="1238"/>
      <c r="BB987" s="1238"/>
      <c r="BC987" s="1238"/>
      <c r="BD987" s="1238"/>
      <c r="BE987" s="1238"/>
      <c r="BF987" s="1238"/>
      <c r="BG987" s="1238"/>
      <c r="BH987" s="1238"/>
      <c r="BI987" s="1238"/>
      <c r="BJ987" s="1238"/>
      <c r="BK987" s="1238"/>
      <c r="BL987" s="1238"/>
      <c r="BM987" s="1238"/>
      <c r="BN987" s="1238"/>
      <c r="BO987" s="1238"/>
      <c r="BP987" s="1238"/>
      <c r="BQ987" s="1238"/>
      <c r="BR987" s="1238"/>
      <c r="BS987" s="1238"/>
      <c r="BT987" s="1238"/>
      <c r="BU987" s="1238"/>
      <c r="BV987" s="1238"/>
      <c r="BW987" s="1238"/>
      <c r="BX987" s="1238"/>
      <c r="BY987" s="1238"/>
      <c r="BZ987" s="1238"/>
      <c r="CA987" s="1238"/>
      <c r="CB987" s="1238"/>
      <c r="CC987" s="1238"/>
      <c r="CD987" s="1238"/>
      <c r="CE987" s="1238"/>
      <c r="CF987" s="1238"/>
      <c r="CG987" s="1238"/>
      <c r="CH987" s="1238"/>
      <c r="CI987" s="1238"/>
      <c r="CJ987" s="1238"/>
      <c r="CK987" s="1238"/>
      <c r="CL987" s="1238"/>
      <c r="CM987" s="1238"/>
      <c r="CN987" s="1238"/>
      <c r="CO987" s="1238"/>
      <c r="CP987" s="1238"/>
      <c r="CQ987" s="1238"/>
      <c r="CR987" s="1238"/>
      <c r="CS987" s="1238"/>
      <c r="CT987" s="1238"/>
      <c r="CU987" s="1238"/>
      <c r="CV987" s="1238"/>
      <c r="CW987" s="1238"/>
      <c r="CX987" s="1238"/>
      <c r="CY987" s="1238"/>
      <c r="CZ987" s="1238"/>
      <c r="DA987" s="1238"/>
      <c r="DB987" s="1238"/>
      <c r="DC987" s="1238"/>
      <c r="DD987" s="1238"/>
      <c r="DE987" s="1238"/>
      <c r="DF987" s="1238"/>
      <c r="DG987" s="1238"/>
      <c r="DH987" s="1238"/>
      <c r="DI987" s="1238"/>
      <c r="DJ987" s="1238"/>
      <c r="DK987" s="1238"/>
      <c r="DL987" s="1238"/>
      <c r="DM987" s="1238"/>
      <c r="DN987" s="1238"/>
      <c r="DO987" s="1238"/>
      <c r="DP987" s="1238"/>
      <c r="DQ987" s="1238"/>
      <c r="DR987" s="1238"/>
      <c r="DS987" s="1238"/>
      <c r="DT987" s="1238"/>
      <c r="DU987" s="1238"/>
      <c r="DV987" s="1238"/>
      <c r="DW987" s="1238"/>
      <c r="DX987" s="1238"/>
      <c r="DY987" s="1238"/>
      <c r="DZ987" s="1238"/>
      <c r="EA987" s="1238"/>
      <c r="EB987" s="1238"/>
      <c r="EC987" s="1238"/>
      <c r="ED987" s="1238"/>
      <c r="EE987" s="1238"/>
      <c r="EF987" s="1238"/>
      <c r="EG987" s="1238"/>
      <c r="EH987" s="1238"/>
      <c r="EI987" s="1238"/>
      <c r="EJ987" s="1238"/>
      <c r="EK987" s="1238"/>
      <c r="EL987" s="1238"/>
      <c r="EM987" s="1238"/>
      <c r="EN987" s="1238"/>
      <c r="EO987" s="1238"/>
      <c r="EP987" s="1238"/>
      <c r="EQ987" s="1238"/>
      <c r="ER987" s="1238"/>
      <c r="ES987" s="1238"/>
      <c r="ET987" s="1238"/>
      <c r="EU987" s="1238"/>
      <c r="EV987" s="1238"/>
      <c r="EW987" s="1238"/>
      <c r="EX987" s="1238"/>
      <c r="EY987" s="1238"/>
      <c r="EZ987" s="1238"/>
      <c r="FA987" s="1238"/>
      <c r="FB987" s="1238"/>
      <c r="FC987" s="1238"/>
      <c r="FD987" s="1238"/>
      <c r="FE987" s="1238"/>
      <c r="FF987" s="1238"/>
      <c r="FG987" s="1238"/>
      <c r="FH987" s="1238"/>
      <c r="FI987" s="1238"/>
      <c r="FJ987" s="1238"/>
      <c r="FK987" s="1238"/>
      <c r="FL987" s="1238"/>
      <c r="FM987" s="1238"/>
      <c r="FN987" s="1238"/>
      <c r="FO987" s="1238"/>
      <c r="FP987" s="1238"/>
      <c r="FQ987" s="1238"/>
      <c r="FR987" s="1238"/>
      <c r="FS987" s="1238"/>
      <c r="FT987" s="1238"/>
      <c r="FU987" s="1238"/>
      <c r="FV987" s="1238"/>
      <c r="FW987" s="1238"/>
      <c r="FX987" s="1238"/>
      <c r="FY987" s="1238"/>
      <c r="FZ987" s="1238"/>
      <c r="GA987" s="1238"/>
      <c r="GB987" s="1238"/>
      <c r="GC987" s="1238"/>
      <c r="GD987" s="1238"/>
    </row>
    <row r="988" spans="1:186" s="634" customFormat="1" ht="15" customHeight="1" thickBot="1">
      <c r="A988" s="1022" t="s">
        <v>25</v>
      </c>
      <c r="B988" s="1022" t="s">
        <v>25</v>
      </c>
      <c r="C988" s="490" t="s">
        <v>4923</v>
      </c>
      <c r="D988" s="490" t="s">
        <v>4924</v>
      </c>
      <c r="E988" s="490" t="s">
        <v>2274</v>
      </c>
      <c r="F988" s="490">
        <v>140990273</v>
      </c>
      <c r="G988" s="490">
        <v>140990273</v>
      </c>
      <c r="H988" s="1022">
        <v>5.8325399999999998</v>
      </c>
      <c r="I988" s="1022">
        <v>-5.3605700000000001</v>
      </c>
      <c r="J988" s="490" t="s">
        <v>36</v>
      </c>
      <c r="K988" s="1022" t="s">
        <v>198</v>
      </c>
      <c r="L988" s="1022" t="s">
        <v>1978</v>
      </c>
      <c r="M988" s="1022" t="s">
        <v>4967</v>
      </c>
      <c r="N988" s="1022">
        <v>2150047045</v>
      </c>
      <c r="O988" s="2270">
        <v>46045</v>
      </c>
      <c r="P988" s="1022"/>
      <c r="Q988" s="2270">
        <v>46046</v>
      </c>
      <c r="R988" s="1367" t="s">
        <v>2641</v>
      </c>
      <c r="S988" s="1367"/>
      <c r="T988" s="1367">
        <v>0</v>
      </c>
      <c r="U988" s="2271">
        <v>46048</v>
      </c>
      <c r="V988" s="1367" t="s">
        <v>310</v>
      </c>
      <c r="W988" s="1367">
        <v>300</v>
      </c>
      <c r="X988" s="1367" t="s">
        <v>32</v>
      </c>
      <c r="Y988" s="490"/>
      <c r="Z988" s="490"/>
      <c r="AA988" s="1022" t="s">
        <v>532</v>
      </c>
      <c r="AB988" s="1022" t="s">
        <v>16</v>
      </c>
      <c r="AC988" s="1022" t="s">
        <v>4934</v>
      </c>
      <c r="AD988" s="1386"/>
      <c r="AE988" s="1238"/>
      <c r="AF988" s="1238"/>
      <c r="AG988" s="1238"/>
      <c r="AH988" s="1238"/>
      <c r="AI988" s="1238"/>
      <c r="AJ988" s="1238"/>
      <c r="AK988" s="1238"/>
      <c r="AL988" s="1238"/>
      <c r="AM988" s="1238"/>
      <c r="AN988" s="1238"/>
      <c r="AO988" s="1238"/>
      <c r="AP988" s="1238"/>
      <c r="AQ988" s="1238"/>
      <c r="AR988" s="1238"/>
      <c r="AS988" s="1238"/>
      <c r="AT988" s="1238"/>
      <c r="AU988" s="1238"/>
      <c r="AV988" s="1238"/>
      <c r="AW988" s="1238"/>
      <c r="AX988" s="1238"/>
      <c r="AY988" s="1238"/>
      <c r="AZ988" s="1238"/>
      <c r="BA988" s="1238"/>
      <c r="BB988" s="1238"/>
      <c r="BC988" s="1238"/>
      <c r="BD988" s="1238"/>
      <c r="BE988" s="1238"/>
      <c r="BF988" s="1238"/>
      <c r="BG988" s="1238"/>
      <c r="BH988" s="1238"/>
      <c r="BI988" s="1238"/>
      <c r="BJ988" s="1238"/>
      <c r="BK988" s="1238"/>
      <c r="BL988" s="1238"/>
      <c r="BM988" s="1238"/>
      <c r="BN988" s="1238"/>
      <c r="BO988" s="1238"/>
      <c r="BP988" s="1238"/>
      <c r="BQ988" s="1238"/>
      <c r="BR988" s="1238"/>
      <c r="BS988" s="1238"/>
      <c r="BT988" s="1238"/>
      <c r="BU988" s="1238"/>
      <c r="BV988" s="1238"/>
      <c r="BW988" s="1238"/>
      <c r="BX988" s="1238"/>
      <c r="BY988" s="1238"/>
      <c r="BZ988" s="1238"/>
      <c r="CA988" s="1238"/>
      <c r="CB988" s="1238"/>
      <c r="CC988" s="1238"/>
      <c r="CD988" s="1238"/>
      <c r="CE988" s="1238"/>
      <c r="CF988" s="1238"/>
      <c r="CG988" s="1238"/>
      <c r="CH988" s="1238"/>
      <c r="CI988" s="1238"/>
      <c r="CJ988" s="1238"/>
      <c r="CK988" s="1238"/>
      <c r="CL988" s="1238"/>
      <c r="CM988" s="1238"/>
      <c r="CN988" s="1238"/>
      <c r="CO988" s="1238"/>
      <c r="CP988" s="1238"/>
      <c r="CQ988" s="1238"/>
      <c r="CR988" s="1238"/>
      <c r="CS988" s="1238"/>
      <c r="CT988" s="1238"/>
      <c r="CU988" s="1238"/>
      <c r="CV988" s="1238"/>
      <c r="CW988" s="1238"/>
      <c r="CX988" s="1238"/>
      <c r="CY988" s="1238"/>
      <c r="CZ988" s="1238"/>
      <c r="DA988" s="1238"/>
      <c r="DB988" s="1238"/>
      <c r="DC988" s="1238"/>
      <c r="DD988" s="1238"/>
      <c r="DE988" s="1238"/>
      <c r="DF988" s="1238"/>
      <c r="DG988" s="1238"/>
      <c r="DH988" s="1238"/>
      <c r="DI988" s="1238"/>
      <c r="DJ988" s="1238"/>
      <c r="DK988" s="1238"/>
      <c r="DL988" s="1238"/>
      <c r="DM988" s="1238"/>
      <c r="DN988" s="1238"/>
      <c r="DO988" s="1238"/>
      <c r="DP988" s="1238"/>
      <c r="DQ988" s="1238"/>
      <c r="DR988" s="1238"/>
      <c r="DS988" s="1238"/>
      <c r="DT988" s="1238"/>
      <c r="DU988" s="1238"/>
      <c r="DV988" s="1238"/>
      <c r="DW988" s="1238"/>
      <c r="DX988" s="1238"/>
      <c r="DY988" s="1238"/>
      <c r="DZ988" s="1238"/>
      <c r="EA988" s="1238"/>
      <c r="EB988" s="1238"/>
      <c r="EC988" s="1238"/>
      <c r="ED988" s="1238"/>
      <c r="EE988" s="1238"/>
      <c r="EF988" s="1238"/>
      <c r="EG988" s="1238"/>
      <c r="EH988" s="1238"/>
      <c r="EI988" s="1238"/>
      <c r="EJ988" s="1238"/>
      <c r="EK988" s="1238"/>
      <c r="EL988" s="1238"/>
      <c r="EM988" s="1238"/>
      <c r="EN988" s="1238"/>
      <c r="EO988" s="1238"/>
      <c r="EP988" s="1238"/>
      <c r="EQ988" s="1238"/>
      <c r="ER988" s="1238"/>
      <c r="ES988" s="1238"/>
      <c r="ET988" s="1238"/>
      <c r="EU988" s="1238"/>
      <c r="EV988" s="1238"/>
      <c r="EW988" s="1238"/>
      <c r="EX988" s="1238"/>
      <c r="EY988" s="1238"/>
      <c r="EZ988" s="1238"/>
      <c r="FA988" s="1238"/>
      <c r="FB988" s="1238"/>
      <c r="FC988" s="1238"/>
      <c r="FD988" s="1238"/>
      <c r="FE988" s="1238"/>
      <c r="FF988" s="1238"/>
      <c r="FG988" s="1238"/>
      <c r="FH988" s="1238"/>
      <c r="FI988" s="1238"/>
      <c r="FJ988" s="1238"/>
      <c r="FK988" s="1238"/>
      <c r="FL988" s="1238"/>
      <c r="FM988" s="1238"/>
      <c r="FN988" s="1238"/>
      <c r="FO988" s="1238"/>
      <c r="FP988" s="1238"/>
      <c r="FQ988" s="1238"/>
      <c r="FR988" s="1238"/>
      <c r="FS988" s="1238"/>
      <c r="FT988" s="1238"/>
      <c r="FU988" s="1238"/>
      <c r="FV988" s="1238"/>
      <c r="FW988" s="1238"/>
      <c r="FX988" s="1238"/>
      <c r="FY988" s="1238"/>
      <c r="FZ988" s="1238"/>
      <c r="GA988" s="1238"/>
      <c r="GB988" s="1238"/>
      <c r="GC988" s="1238"/>
      <c r="GD988" s="1238"/>
    </row>
    <row r="989" spans="1:186" s="634" customFormat="1" ht="15" customHeight="1" thickBot="1">
      <c r="A989" s="1022" t="s">
        <v>25</v>
      </c>
      <c r="B989" s="1022" t="s">
        <v>25</v>
      </c>
      <c r="C989" s="490" t="s">
        <v>4925</v>
      </c>
      <c r="D989" s="490" t="s">
        <v>4926</v>
      </c>
      <c r="E989" s="490" t="s">
        <v>117</v>
      </c>
      <c r="F989" s="490">
        <v>153519488</v>
      </c>
      <c r="G989" s="490">
        <v>789952505</v>
      </c>
      <c r="H989" s="1022">
        <v>5.84748</v>
      </c>
      <c r="I989" s="1022">
        <v>-3.3550599999999999</v>
      </c>
      <c r="J989" s="490" t="s">
        <v>189</v>
      </c>
      <c r="K989" s="1022" t="s">
        <v>203</v>
      </c>
      <c r="L989" s="1022" t="s">
        <v>1422</v>
      </c>
      <c r="M989" s="1022" t="s">
        <v>4968</v>
      </c>
      <c r="N989" s="1022">
        <v>2150047047</v>
      </c>
      <c r="O989" s="2270">
        <v>46045</v>
      </c>
      <c r="P989" s="1022"/>
      <c r="Q989" s="2270">
        <v>46046</v>
      </c>
      <c r="R989" s="1367" t="s">
        <v>2641</v>
      </c>
      <c r="S989" s="1367"/>
      <c r="T989" s="1367">
        <v>0</v>
      </c>
      <c r="U989" s="2271">
        <v>46048</v>
      </c>
      <c r="V989" s="1367" t="s">
        <v>310</v>
      </c>
      <c r="W989" s="1367">
        <v>250</v>
      </c>
      <c r="X989" s="1367" t="s">
        <v>32</v>
      </c>
      <c r="Y989" s="490"/>
      <c r="Z989" s="490"/>
      <c r="AA989" s="1022" t="s">
        <v>532</v>
      </c>
      <c r="AB989" s="1022" t="s">
        <v>16</v>
      </c>
      <c r="AC989" s="1022" t="s">
        <v>4932</v>
      </c>
      <c r="AD989" s="1386"/>
      <c r="AE989" s="1238"/>
      <c r="AF989" s="1238"/>
      <c r="AG989" s="1238"/>
      <c r="AH989" s="1238"/>
      <c r="AI989" s="1238"/>
      <c r="AJ989" s="1238"/>
      <c r="AK989" s="1238"/>
      <c r="AL989" s="1238"/>
      <c r="AM989" s="1238"/>
      <c r="AN989" s="1238"/>
      <c r="AO989" s="1238"/>
      <c r="AP989" s="1238"/>
      <c r="AQ989" s="1238"/>
      <c r="AR989" s="1238"/>
      <c r="AS989" s="1238"/>
      <c r="AT989" s="1238"/>
      <c r="AU989" s="1238"/>
      <c r="AV989" s="1238"/>
      <c r="AW989" s="1238"/>
      <c r="AX989" s="1238"/>
      <c r="AY989" s="1238"/>
      <c r="AZ989" s="1238"/>
      <c r="BA989" s="1238"/>
      <c r="BB989" s="1238"/>
      <c r="BC989" s="1238"/>
      <c r="BD989" s="1238"/>
      <c r="BE989" s="1238"/>
      <c r="BF989" s="1238"/>
      <c r="BG989" s="1238"/>
      <c r="BH989" s="1238"/>
      <c r="BI989" s="1238"/>
      <c r="BJ989" s="1238"/>
      <c r="BK989" s="1238"/>
      <c r="BL989" s="1238"/>
      <c r="BM989" s="1238"/>
      <c r="BN989" s="1238"/>
      <c r="BO989" s="1238"/>
      <c r="BP989" s="1238"/>
      <c r="BQ989" s="1238"/>
      <c r="BR989" s="1238"/>
      <c r="BS989" s="1238"/>
      <c r="BT989" s="1238"/>
      <c r="BU989" s="1238"/>
      <c r="BV989" s="1238"/>
      <c r="BW989" s="1238"/>
      <c r="BX989" s="1238"/>
      <c r="BY989" s="1238"/>
      <c r="BZ989" s="1238"/>
      <c r="CA989" s="1238"/>
      <c r="CB989" s="1238"/>
      <c r="CC989" s="1238"/>
      <c r="CD989" s="1238"/>
      <c r="CE989" s="1238"/>
      <c r="CF989" s="1238"/>
      <c r="CG989" s="1238"/>
      <c r="CH989" s="1238"/>
      <c r="CI989" s="1238"/>
      <c r="CJ989" s="1238"/>
      <c r="CK989" s="1238"/>
      <c r="CL989" s="1238"/>
      <c r="CM989" s="1238"/>
      <c r="CN989" s="1238"/>
      <c r="CO989" s="1238"/>
      <c r="CP989" s="1238"/>
      <c r="CQ989" s="1238"/>
      <c r="CR989" s="1238"/>
      <c r="CS989" s="1238"/>
      <c r="CT989" s="1238"/>
      <c r="CU989" s="1238"/>
      <c r="CV989" s="1238"/>
      <c r="CW989" s="1238"/>
      <c r="CX989" s="1238"/>
      <c r="CY989" s="1238"/>
      <c r="CZ989" s="1238"/>
      <c r="DA989" s="1238"/>
      <c r="DB989" s="1238"/>
      <c r="DC989" s="1238"/>
      <c r="DD989" s="1238"/>
      <c r="DE989" s="1238"/>
      <c r="DF989" s="1238"/>
      <c r="DG989" s="1238"/>
      <c r="DH989" s="1238"/>
      <c r="DI989" s="1238"/>
      <c r="DJ989" s="1238"/>
      <c r="DK989" s="1238"/>
      <c r="DL989" s="1238"/>
      <c r="DM989" s="1238"/>
      <c r="DN989" s="1238"/>
      <c r="DO989" s="1238"/>
      <c r="DP989" s="1238"/>
      <c r="DQ989" s="1238"/>
      <c r="DR989" s="1238"/>
      <c r="DS989" s="1238"/>
      <c r="DT989" s="1238"/>
      <c r="DU989" s="1238"/>
      <c r="DV989" s="1238"/>
      <c r="DW989" s="1238"/>
      <c r="DX989" s="1238"/>
      <c r="DY989" s="1238"/>
      <c r="DZ989" s="1238"/>
      <c r="EA989" s="1238"/>
      <c r="EB989" s="1238"/>
      <c r="EC989" s="1238"/>
      <c r="ED989" s="1238"/>
      <c r="EE989" s="1238"/>
      <c r="EF989" s="1238"/>
      <c r="EG989" s="1238"/>
      <c r="EH989" s="1238"/>
      <c r="EI989" s="1238"/>
      <c r="EJ989" s="1238"/>
      <c r="EK989" s="1238"/>
      <c r="EL989" s="1238"/>
      <c r="EM989" s="1238"/>
      <c r="EN989" s="1238"/>
      <c r="EO989" s="1238"/>
      <c r="EP989" s="1238"/>
      <c r="EQ989" s="1238"/>
      <c r="ER989" s="1238"/>
      <c r="ES989" s="1238"/>
      <c r="ET989" s="1238"/>
      <c r="EU989" s="1238"/>
      <c r="EV989" s="1238"/>
      <c r="EW989" s="1238"/>
      <c r="EX989" s="1238"/>
      <c r="EY989" s="1238"/>
      <c r="EZ989" s="1238"/>
      <c r="FA989" s="1238"/>
      <c r="FB989" s="1238"/>
      <c r="FC989" s="1238"/>
      <c r="FD989" s="1238"/>
      <c r="FE989" s="1238"/>
      <c r="FF989" s="1238"/>
      <c r="FG989" s="1238"/>
      <c r="FH989" s="1238"/>
      <c r="FI989" s="1238"/>
      <c r="FJ989" s="1238"/>
      <c r="FK989" s="1238"/>
      <c r="FL989" s="1238"/>
      <c r="FM989" s="1238"/>
      <c r="FN989" s="1238"/>
      <c r="FO989" s="1238"/>
      <c r="FP989" s="1238"/>
      <c r="FQ989" s="1238"/>
      <c r="FR989" s="1238"/>
      <c r="FS989" s="1238"/>
      <c r="FT989" s="1238"/>
      <c r="FU989" s="1238"/>
      <c r="FV989" s="1238"/>
      <c r="FW989" s="1238"/>
      <c r="FX989" s="1238"/>
      <c r="FY989" s="1238"/>
      <c r="FZ989" s="1238"/>
      <c r="GA989" s="1238"/>
      <c r="GB989" s="1238"/>
      <c r="GC989" s="1238"/>
      <c r="GD989" s="1238"/>
    </row>
    <row r="990" spans="1:186" s="634" customFormat="1" ht="15" customHeight="1" thickBot="1">
      <c r="A990" s="2276" t="s">
        <v>25</v>
      </c>
      <c r="B990" s="2276" t="s">
        <v>25</v>
      </c>
      <c r="C990" s="2277" t="s">
        <v>4927</v>
      </c>
      <c r="D990" s="2277" t="s">
        <v>4928</v>
      </c>
      <c r="E990" s="2277" t="s">
        <v>3053</v>
      </c>
      <c r="F990" s="2277">
        <v>503600477</v>
      </c>
      <c r="G990" s="2277">
        <v>757542001</v>
      </c>
      <c r="H990" s="2276">
        <v>5.8123800000000001</v>
      </c>
      <c r="I990" s="2276">
        <v>-5.36496</v>
      </c>
      <c r="J990" s="2277" t="s">
        <v>2612</v>
      </c>
      <c r="K990" s="2276" t="s">
        <v>203</v>
      </c>
      <c r="L990" s="2276" t="s">
        <v>4937</v>
      </c>
      <c r="M990" s="2276" t="s">
        <v>4969</v>
      </c>
      <c r="N990" s="2276">
        <v>2150047048</v>
      </c>
      <c r="O990" s="2278">
        <v>46045</v>
      </c>
      <c r="P990" s="2276"/>
      <c r="Q990" s="2278">
        <v>46046</v>
      </c>
      <c r="R990" s="2277" t="s">
        <v>2641</v>
      </c>
      <c r="S990" s="2277"/>
      <c r="T990" s="2277">
        <v>1</v>
      </c>
      <c r="U990" s="2278">
        <v>46049</v>
      </c>
      <c r="V990" s="2277" t="s">
        <v>310</v>
      </c>
      <c r="W990" s="2277">
        <v>150</v>
      </c>
      <c r="X990" s="2277" t="s">
        <v>32</v>
      </c>
      <c r="Y990" s="490"/>
      <c r="Z990" s="490"/>
      <c r="AA990" s="2277" t="s">
        <v>532</v>
      </c>
      <c r="AB990" s="2277" t="s">
        <v>16</v>
      </c>
      <c r="AC990" s="2276" t="s">
        <v>4970</v>
      </c>
      <c r="AD990" s="1386"/>
      <c r="AE990" s="1238"/>
      <c r="AF990" s="1238"/>
      <c r="AG990" s="1238"/>
      <c r="AH990" s="1238"/>
      <c r="AI990" s="1238"/>
      <c r="AJ990" s="1238"/>
      <c r="AK990" s="1238"/>
      <c r="AL990" s="1238"/>
      <c r="AM990" s="1238"/>
      <c r="AN990" s="1238"/>
      <c r="AO990" s="1238"/>
      <c r="AP990" s="1238"/>
      <c r="AQ990" s="1238"/>
      <c r="AR990" s="1238"/>
      <c r="AS990" s="1238"/>
      <c r="AT990" s="1238"/>
      <c r="AU990" s="1238"/>
      <c r="AV990" s="1238"/>
      <c r="AW990" s="1238"/>
      <c r="AX990" s="1238"/>
      <c r="AY990" s="1238"/>
      <c r="AZ990" s="1238"/>
      <c r="BA990" s="1238"/>
      <c r="BB990" s="1238"/>
      <c r="BC990" s="1238"/>
      <c r="BD990" s="1238"/>
      <c r="BE990" s="1238"/>
      <c r="BF990" s="1238"/>
      <c r="BG990" s="1238"/>
      <c r="BH990" s="1238"/>
      <c r="BI990" s="1238"/>
      <c r="BJ990" s="1238"/>
      <c r="BK990" s="1238"/>
      <c r="BL990" s="1238"/>
      <c r="BM990" s="1238"/>
      <c r="BN990" s="1238"/>
      <c r="BO990" s="1238"/>
      <c r="BP990" s="1238"/>
      <c r="BQ990" s="1238"/>
      <c r="BR990" s="1238"/>
      <c r="BS990" s="1238"/>
      <c r="BT990" s="1238"/>
      <c r="BU990" s="1238"/>
      <c r="BV990" s="1238"/>
      <c r="BW990" s="1238"/>
      <c r="BX990" s="1238"/>
      <c r="BY990" s="1238"/>
      <c r="BZ990" s="1238"/>
      <c r="CA990" s="1238"/>
      <c r="CB990" s="1238"/>
      <c r="CC990" s="1238"/>
      <c r="CD990" s="1238"/>
      <c r="CE990" s="1238"/>
      <c r="CF990" s="1238"/>
      <c r="CG990" s="1238"/>
      <c r="CH990" s="1238"/>
      <c r="CI990" s="1238"/>
      <c r="CJ990" s="1238"/>
      <c r="CK990" s="1238"/>
      <c r="CL990" s="1238"/>
      <c r="CM990" s="1238"/>
      <c r="CN990" s="1238"/>
      <c r="CO990" s="1238"/>
      <c r="CP990" s="1238"/>
      <c r="CQ990" s="1238"/>
      <c r="CR990" s="1238"/>
      <c r="CS990" s="1238"/>
      <c r="CT990" s="1238"/>
      <c r="CU990" s="1238"/>
      <c r="CV990" s="1238"/>
      <c r="CW990" s="1238"/>
      <c r="CX990" s="1238"/>
      <c r="CY990" s="1238"/>
      <c r="CZ990" s="1238"/>
      <c r="DA990" s="1238"/>
      <c r="DB990" s="1238"/>
      <c r="DC990" s="1238"/>
      <c r="DD990" s="1238"/>
      <c r="DE990" s="1238"/>
      <c r="DF990" s="1238"/>
      <c r="DG990" s="1238"/>
      <c r="DH990" s="1238"/>
      <c r="DI990" s="1238"/>
      <c r="DJ990" s="1238"/>
      <c r="DK990" s="1238"/>
      <c r="DL990" s="1238"/>
      <c r="DM990" s="1238"/>
      <c r="DN990" s="1238"/>
      <c r="DO990" s="1238"/>
      <c r="DP990" s="1238"/>
      <c r="DQ990" s="1238"/>
      <c r="DR990" s="1238"/>
      <c r="DS990" s="1238"/>
      <c r="DT990" s="1238"/>
      <c r="DU990" s="1238"/>
      <c r="DV990" s="1238"/>
      <c r="DW990" s="1238"/>
      <c r="DX990" s="1238"/>
      <c r="DY990" s="1238"/>
      <c r="DZ990" s="1238"/>
      <c r="EA990" s="1238"/>
      <c r="EB990" s="1238"/>
      <c r="EC990" s="1238"/>
      <c r="ED990" s="1238"/>
      <c r="EE990" s="1238"/>
      <c r="EF990" s="1238"/>
      <c r="EG990" s="1238"/>
      <c r="EH990" s="1238"/>
      <c r="EI990" s="1238"/>
      <c r="EJ990" s="1238"/>
      <c r="EK990" s="1238"/>
      <c r="EL990" s="1238"/>
      <c r="EM990" s="1238"/>
      <c r="EN990" s="1238"/>
      <c r="EO990" s="1238"/>
      <c r="EP990" s="1238"/>
      <c r="EQ990" s="1238"/>
      <c r="ER990" s="1238"/>
      <c r="ES990" s="1238"/>
      <c r="ET990" s="1238"/>
      <c r="EU990" s="1238"/>
      <c r="EV990" s="1238"/>
      <c r="EW990" s="1238"/>
      <c r="EX990" s="1238"/>
      <c r="EY990" s="1238"/>
      <c r="EZ990" s="1238"/>
      <c r="FA990" s="1238"/>
      <c r="FB990" s="1238"/>
      <c r="FC990" s="1238"/>
      <c r="FD990" s="1238"/>
      <c r="FE990" s="1238"/>
      <c r="FF990" s="1238"/>
      <c r="FG990" s="1238"/>
      <c r="FH990" s="1238"/>
      <c r="FI990" s="1238"/>
      <c r="FJ990" s="1238"/>
      <c r="FK990" s="1238"/>
      <c r="FL990" s="1238"/>
      <c r="FM990" s="1238"/>
      <c r="FN990" s="1238"/>
      <c r="FO990" s="1238"/>
      <c r="FP990" s="1238"/>
      <c r="FQ990" s="1238"/>
      <c r="FR990" s="1238"/>
      <c r="FS990" s="1238"/>
      <c r="FT990" s="1238"/>
      <c r="FU990" s="1238"/>
      <c r="FV990" s="1238"/>
      <c r="FW990" s="1238"/>
      <c r="FX990" s="1238"/>
      <c r="FY990" s="1238"/>
      <c r="FZ990" s="1238"/>
      <c r="GA990" s="1238"/>
      <c r="GB990" s="1238"/>
      <c r="GC990" s="1238"/>
      <c r="GD990" s="1238"/>
    </row>
    <row r="991" spans="1:186" s="634" customFormat="1" ht="15" customHeight="1" thickBot="1">
      <c r="A991" s="2276" t="s">
        <v>25</v>
      </c>
      <c r="B991" s="2276" t="s">
        <v>25</v>
      </c>
      <c r="C991" s="2277" t="s">
        <v>4938</v>
      </c>
      <c r="D991" s="2277" t="s">
        <v>4939</v>
      </c>
      <c r="E991" s="2277" t="s">
        <v>4940</v>
      </c>
      <c r="F991" s="2277">
        <v>768160152</v>
      </c>
      <c r="G991" s="2277">
        <v>705085031</v>
      </c>
      <c r="H991" s="2276">
        <v>5.8212200000000003</v>
      </c>
      <c r="I991" s="2276">
        <v>-5.3532200000000003</v>
      </c>
      <c r="J991" s="2277" t="s">
        <v>4036</v>
      </c>
      <c r="K991" s="2276" t="s">
        <v>198</v>
      </c>
      <c r="L991" s="2276" t="s">
        <v>4941</v>
      </c>
      <c r="M991" s="2276" t="s">
        <v>4971</v>
      </c>
      <c r="N991" s="2276">
        <v>2150047043</v>
      </c>
      <c r="O991" s="2278">
        <v>46046</v>
      </c>
      <c r="P991" s="2276"/>
      <c r="Q991" s="2278">
        <v>46048</v>
      </c>
      <c r="R991" s="2276" t="s">
        <v>2641</v>
      </c>
      <c r="S991" s="2276"/>
      <c r="T991" s="2276">
        <v>0</v>
      </c>
      <c r="U991" s="2278">
        <v>46049</v>
      </c>
      <c r="V991" s="2277" t="s">
        <v>310</v>
      </c>
      <c r="W991" s="2276">
        <v>100</v>
      </c>
      <c r="X991" s="2277" t="s">
        <v>32</v>
      </c>
      <c r="Y991" s="490"/>
      <c r="Z991" s="490"/>
      <c r="AA991" s="2277" t="s">
        <v>532</v>
      </c>
      <c r="AB991" s="2277" t="s">
        <v>16</v>
      </c>
      <c r="AC991" s="2277" t="s">
        <v>4942</v>
      </c>
      <c r="AD991" s="1386"/>
      <c r="AE991" s="1238"/>
      <c r="AF991" s="1238"/>
      <c r="AG991" s="1238"/>
      <c r="AH991" s="1238"/>
      <c r="AI991" s="1238"/>
      <c r="AJ991" s="1238"/>
      <c r="AK991" s="1238"/>
      <c r="AL991" s="1238"/>
      <c r="AM991" s="1238"/>
      <c r="AN991" s="1238"/>
      <c r="AO991" s="1238"/>
      <c r="AP991" s="1238"/>
      <c r="AQ991" s="1238"/>
      <c r="AR991" s="1238"/>
      <c r="AS991" s="1238"/>
      <c r="AT991" s="1238"/>
      <c r="AU991" s="1238"/>
      <c r="AV991" s="1238"/>
      <c r="AW991" s="1238"/>
      <c r="AX991" s="1238"/>
      <c r="AY991" s="1238"/>
      <c r="AZ991" s="1238"/>
      <c r="BA991" s="1238"/>
      <c r="BB991" s="1238"/>
      <c r="BC991" s="1238"/>
      <c r="BD991" s="1238"/>
      <c r="BE991" s="1238"/>
      <c r="BF991" s="1238"/>
      <c r="BG991" s="1238"/>
      <c r="BH991" s="1238"/>
      <c r="BI991" s="1238"/>
      <c r="BJ991" s="1238"/>
      <c r="BK991" s="1238"/>
      <c r="BL991" s="1238"/>
      <c r="BM991" s="1238"/>
      <c r="BN991" s="1238"/>
      <c r="BO991" s="1238"/>
      <c r="BP991" s="1238"/>
      <c r="BQ991" s="1238"/>
      <c r="BR991" s="1238"/>
      <c r="BS991" s="1238"/>
      <c r="BT991" s="1238"/>
      <c r="BU991" s="1238"/>
      <c r="BV991" s="1238"/>
      <c r="BW991" s="1238"/>
      <c r="BX991" s="1238"/>
      <c r="BY991" s="1238"/>
      <c r="BZ991" s="1238"/>
      <c r="CA991" s="1238"/>
      <c r="CB991" s="1238"/>
      <c r="CC991" s="1238"/>
      <c r="CD991" s="1238"/>
      <c r="CE991" s="1238"/>
      <c r="CF991" s="1238"/>
      <c r="CG991" s="1238"/>
      <c r="CH991" s="1238"/>
      <c r="CI991" s="1238"/>
      <c r="CJ991" s="1238"/>
      <c r="CK991" s="1238"/>
      <c r="CL991" s="1238"/>
      <c r="CM991" s="1238"/>
      <c r="CN991" s="1238"/>
      <c r="CO991" s="1238"/>
      <c r="CP991" s="1238"/>
      <c r="CQ991" s="1238"/>
      <c r="CR991" s="1238"/>
      <c r="CS991" s="1238"/>
      <c r="CT991" s="1238"/>
      <c r="CU991" s="1238"/>
      <c r="CV991" s="1238"/>
      <c r="CW991" s="1238"/>
      <c r="CX991" s="1238"/>
      <c r="CY991" s="1238"/>
      <c r="CZ991" s="1238"/>
      <c r="DA991" s="1238"/>
      <c r="DB991" s="1238"/>
      <c r="DC991" s="1238"/>
      <c r="DD991" s="1238"/>
      <c r="DE991" s="1238"/>
      <c r="DF991" s="1238"/>
      <c r="DG991" s="1238"/>
      <c r="DH991" s="1238"/>
      <c r="DI991" s="1238"/>
      <c r="DJ991" s="1238"/>
      <c r="DK991" s="1238"/>
      <c r="DL991" s="1238"/>
      <c r="DM991" s="1238"/>
      <c r="DN991" s="1238"/>
      <c r="DO991" s="1238"/>
      <c r="DP991" s="1238"/>
      <c r="DQ991" s="1238"/>
      <c r="DR991" s="1238"/>
      <c r="DS991" s="1238"/>
      <c r="DT991" s="1238"/>
      <c r="DU991" s="1238"/>
      <c r="DV991" s="1238"/>
      <c r="DW991" s="1238"/>
      <c r="DX991" s="1238"/>
      <c r="DY991" s="1238"/>
      <c r="DZ991" s="1238"/>
      <c r="EA991" s="1238"/>
      <c r="EB991" s="1238"/>
      <c r="EC991" s="1238"/>
      <c r="ED991" s="1238"/>
      <c r="EE991" s="1238"/>
      <c r="EF991" s="1238"/>
      <c r="EG991" s="1238"/>
      <c r="EH991" s="1238"/>
      <c r="EI991" s="1238"/>
      <c r="EJ991" s="1238"/>
      <c r="EK991" s="1238"/>
      <c r="EL991" s="1238"/>
      <c r="EM991" s="1238"/>
      <c r="EN991" s="1238"/>
      <c r="EO991" s="1238"/>
      <c r="EP991" s="1238"/>
      <c r="EQ991" s="1238"/>
      <c r="ER991" s="1238"/>
      <c r="ES991" s="1238"/>
      <c r="ET991" s="1238"/>
      <c r="EU991" s="1238"/>
      <c r="EV991" s="1238"/>
      <c r="EW991" s="1238"/>
      <c r="EX991" s="1238"/>
      <c r="EY991" s="1238"/>
      <c r="EZ991" s="1238"/>
      <c r="FA991" s="1238"/>
      <c r="FB991" s="1238"/>
      <c r="FC991" s="1238"/>
      <c r="FD991" s="1238"/>
      <c r="FE991" s="1238"/>
      <c r="FF991" s="1238"/>
      <c r="FG991" s="1238"/>
      <c r="FH991" s="1238"/>
      <c r="FI991" s="1238"/>
      <c r="FJ991" s="1238"/>
      <c r="FK991" s="1238"/>
      <c r="FL991" s="1238"/>
      <c r="FM991" s="1238"/>
      <c r="FN991" s="1238"/>
      <c r="FO991" s="1238"/>
      <c r="FP991" s="1238"/>
      <c r="FQ991" s="1238"/>
      <c r="FR991" s="1238"/>
      <c r="FS991" s="1238"/>
      <c r="FT991" s="1238"/>
      <c r="FU991" s="1238"/>
      <c r="FV991" s="1238"/>
      <c r="FW991" s="1238"/>
      <c r="FX991" s="1238"/>
      <c r="FY991" s="1238"/>
      <c r="FZ991" s="1238"/>
      <c r="GA991" s="1238"/>
      <c r="GB991" s="1238"/>
      <c r="GC991" s="1238"/>
      <c r="GD991" s="1238"/>
    </row>
    <row r="992" spans="1:186" s="634" customFormat="1" ht="15" customHeight="1" thickBot="1">
      <c r="A992" s="2276" t="s">
        <v>25</v>
      </c>
      <c r="B992" s="2276" t="s">
        <v>25</v>
      </c>
      <c r="C992" s="2277" t="s">
        <v>4919</v>
      </c>
      <c r="D992" s="2277" t="s">
        <v>4920</v>
      </c>
      <c r="E992" s="2277" t="s">
        <v>4921</v>
      </c>
      <c r="F992" s="2277">
        <v>778649564</v>
      </c>
      <c r="G992" s="2277">
        <v>778649564</v>
      </c>
      <c r="H992" s="2276">
        <v>5.8397600000000001</v>
      </c>
      <c r="I992" s="2276">
        <v>-5.3532000000000002</v>
      </c>
      <c r="J992" s="2276" t="s">
        <v>189</v>
      </c>
      <c r="K992" s="2276" t="s">
        <v>190</v>
      </c>
      <c r="L992" s="2276" t="s">
        <v>411</v>
      </c>
      <c r="M992" s="2276" t="s">
        <v>4972</v>
      </c>
      <c r="N992" s="2276">
        <v>2150047039</v>
      </c>
      <c r="O992" s="2278">
        <v>46044</v>
      </c>
      <c r="P992" s="2276"/>
      <c r="Q992" s="2278">
        <v>46045</v>
      </c>
      <c r="R992" s="2277" t="s">
        <v>2641</v>
      </c>
      <c r="S992" s="2277"/>
      <c r="T992" s="2277">
        <v>1</v>
      </c>
      <c r="U992" s="2278">
        <v>46049</v>
      </c>
      <c r="V992" s="2277" t="s">
        <v>310</v>
      </c>
      <c r="W992" s="2277">
        <v>200</v>
      </c>
      <c r="X992" s="2277" t="s">
        <v>32</v>
      </c>
      <c r="Y992" s="490"/>
      <c r="Z992" s="490"/>
      <c r="AA992" s="2277" t="s">
        <v>532</v>
      </c>
      <c r="AB992" s="2277" t="s">
        <v>16</v>
      </c>
      <c r="AC992" s="2276" t="s">
        <v>4922</v>
      </c>
      <c r="AD992" s="1386"/>
      <c r="AE992" s="1238"/>
      <c r="AF992" s="1238"/>
      <c r="AG992" s="1238"/>
      <c r="AH992" s="1238"/>
      <c r="AI992" s="1238"/>
      <c r="AJ992" s="1238"/>
      <c r="AK992" s="1238"/>
      <c r="AL992" s="1238"/>
      <c r="AM992" s="1238"/>
      <c r="AN992" s="1238"/>
      <c r="AO992" s="1238"/>
      <c r="AP992" s="1238"/>
      <c r="AQ992" s="1238"/>
      <c r="AR992" s="1238"/>
      <c r="AS992" s="1238"/>
      <c r="AT992" s="1238"/>
      <c r="AU992" s="1238"/>
      <c r="AV992" s="1238"/>
      <c r="AW992" s="1238"/>
      <c r="AX992" s="1238"/>
      <c r="AY992" s="1238"/>
      <c r="AZ992" s="1238"/>
      <c r="BA992" s="1238"/>
      <c r="BB992" s="1238"/>
      <c r="BC992" s="1238"/>
      <c r="BD992" s="1238"/>
      <c r="BE992" s="1238"/>
      <c r="BF992" s="1238"/>
      <c r="BG992" s="1238"/>
      <c r="BH992" s="1238"/>
      <c r="BI992" s="1238"/>
      <c r="BJ992" s="1238"/>
      <c r="BK992" s="1238"/>
      <c r="BL992" s="1238"/>
      <c r="BM992" s="1238"/>
      <c r="BN992" s="1238"/>
      <c r="BO992" s="1238"/>
      <c r="BP992" s="1238"/>
      <c r="BQ992" s="1238"/>
      <c r="BR992" s="1238"/>
      <c r="BS992" s="1238"/>
      <c r="BT992" s="1238"/>
      <c r="BU992" s="1238"/>
      <c r="BV992" s="1238"/>
      <c r="BW992" s="1238"/>
      <c r="BX992" s="1238"/>
      <c r="BY992" s="1238"/>
      <c r="BZ992" s="1238"/>
      <c r="CA992" s="1238"/>
      <c r="CB992" s="1238"/>
      <c r="CC992" s="1238"/>
      <c r="CD992" s="1238"/>
      <c r="CE992" s="1238"/>
      <c r="CF992" s="1238"/>
      <c r="CG992" s="1238"/>
      <c r="CH992" s="1238"/>
      <c r="CI992" s="1238"/>
      <c r="CJ992" s="1238"/>
      <c r="CK992" s="1238"/>
      <c r="CL992" s="1238"/>
      <c r="CM992" s="1238"/>
      <c r="CN992" s="1238"/>
      <c r="CO992" s="1238"/>
      <c r="CP992" s="1238"/>
      <c r="CQ992" s="1238"/>
      <c r="CR992" s="1238"/>
      <c r="CS992" s="1238"/>
      <c r="CT992" s="1238"/>
      <c r="CU992" s="1238"/>
      <c r="CV992" s="1238"/>
      <c r="CW992" s="1238"/>
      <c r="CX992" s="1238"/>
      <c r="CY992" s="1238"/>
      <c r="CZ992" s="1238"/>
      <c r="DA992" s="1238"/>
      <c r="DB992" s="1238"/>
      <c r="DC992" s="1238"/>
      <c r="DD992" s="1238"/>
      <c r="DE992" s="1238"/>
      <c r="DF992" s="1238"/>
      <c r="DG992" s="1238"/>
      <c r="DH992" s="1238"/>
      <c r="DI992" s="1238"/>
      <c r="DJ992" s="1238"/>
      <c r="DK992" s="1238"/>
      <c r="DL992" s="1238"/>
      <c r="DM992" s="1238"/>
      <c r="DN992" s="1238"/>
      <c r="DO992" s="1238"/>
      <c r="DP992" s="1238"/>
      <c r="DQ992" s="1238"/>
      <c r="DR992" s="1238"/>
      <c r="DS992" s="1238"/>
      <c r="DT992" s="1238"/>
      <c r="DU992" s="1238"/>
      <c r="DV992" s="1238"/>
      <c r="DW992" s="1238"/>
      <c r="DX992" s="1238"/>
      <c r="DY992" s="1238"/>
      <c r="DZ992" s="1238"/>
      <c r="EA992" s="1238"/>
      <c r="EB992" s="1238"/>
      <c r="EC992" s="1238"/>
      <c r="ED992" s="1238"/>
      <c r="EE992" s="1238"/>
      <c r="EF992" s="1238"/>
      <c r="EG992" s="1238"/>
      <c r="EH992" s="1238"/>
      <c r="EI992" s="1238"/>
      <c r="EJ992" s="1238"/>
      <c r="EK992" s="1238"/>
      <c r="EL992" s="1238"/>
      <c r="EM992" s="1238"/>
      <c r="EN992" s="1238"/>
      <c r="EO992" s="1238"/>
      <c r="EP992" s="1238"/>
      <c r="EQ992" s="1238"/>
      <c r="ER992" s="1238"/>
      <c r="ES992" s="1238"/>
      <c r="ET992" s="1238"/>
      <c r="EU992" s="1238"/>
      <c r="EV992" s="1238"/>
      <c r="EW992" s="1238"/>
      <c r="EX992" s="1238"/>
      <c r="EY992" s="1238"/>
      <c r="EZ992" s="1238"/>
      <c r="FA992" s="1238"/>
      <c r="FB992" s="1238"/>
      <c r="FC992" s="1238"/>
      <c r="FD992" s="1238"/>
      <c r="FE992" s="1238"/>
      <c r="FF992" s="1238"/>
      <c r="FG992" s="1238"/>
      <c r="FH992" s="1238"/>
      <c r="FI992" s="1238"/>
      <c r="FJ992" s="1238"/>
      <c r="FK992" s="1238"/>
      <c r="FL992" s="1238"/>
      <c r="FM992" s="1238"/>
      <c r="FN992" s="1238"/>
      <c r="FO992" s="1238"/>
      <c r="FP992" s="1238"/>
      <c r="FQ992" s="1238"/>
      <c r="FR992" s="1238"/>
      <c r="FS992" s="1238"/>
      <c r="FT992" s="1238"/>
      <c r="FU992" s="1238"/>
      <c r="FV992" s="1238"/>
      <c r="FW992" s="1238"/>
      <c r="FX992" s="1238"/>
      <c r="FY992" s="1238"/>
      <c r="FZ992" s="1238"/>
      <c r="GA992" s="1238"/>
      <c r="GB992" s="1238"/>
      <c r="GC992" s="1238"/>
      <c r="GD992" s="1238"/>
    </row>
    <row r="993" spans="1:186" s="634" customFormat="1" ht="15" customHeight="1" thickBot="1">
      <c r="A993" s="2276" t="s">
        <v>25</v>
      </c>
      <c r="B993" s="2276" t="s">
        <v>25</v>
      </c>
      <c r="C993" s="2277" t="s">
        <v>4929</v>
      </c>
      <c r="D993" s="2277" t="s">
        <v>4930</v>
      </c>
      <c r="E993" s="2277" t="s">
        <v>4931</v>
      </c>
      <c r="F993" s="2277">
        <v>748885656</v>
      </c>
      <c r="G993" s="2277">
        <v>586910732</v>
      </c>
      <c r="H993" s="2276">
        <v>5.8406900000000004</v>
      </c>
      <c r="I993" s="2276">
        <v>-5.37141</v>
      </c>
      <c r="J993" s="2277" t="s">
        <v>36</v>
      </c>
      <c r="K993" s="2276" t="s">
        <v>203</v>
      </c>
      <c r="L993" s="2276" t="s">
        <v>2904</v>
      </c>
      <c r="M993" s="2276" t="s">
        <v>4973</v>
      </c>
      <c r="N993" s="2276">
        <v>2150047049</v>
      </c>
      <c r="O993" s="2278">
        <v>46045</v>
      </c>
      <c r="P993" s="2276"/>
      <c r="Q993" s="2278">
        <v>46046</v>
      </c>
      <c r="R993" s="2277" t="s">
        <v>2641</v>
      </c>
      <c r="S993" s="2277"/>
      <c r="T993" s="2277">
        <v>1</v>
      </c>
      <c r="U993" s="2278">
        <v>46049</v>
      </c>
      <c r="V993" s="2277" t="s">
        <v>310</v>
      </c>
      <c r="W993" s="2277">
        <v>350</v>
      </c>
      <c r="X993" s="2277" t="s">
        <v>32</v>
      </c>
      <c r="Y993" s="490"/>
      <c r="Z993" s="490"/>
      <c r="AA993" s="2277" t="s">
        <v>532</v>
      </c>
      <c r="AB993" s="2277" t="s">
        <v>16</v>
      </c>
      <c r="AC993" s="2276" t="s">
        <v>4933</v>
      </c>
      <c r="AD993" s="1386"/>
      <c r="AE993" s="1238"/>
      <c r="AF993" s="1238"/>
      <c r="AG993" s="1238"/>
      <c r="AH993" s="1238"/>
      <c r="AI993" s="1238"/>
      <c r="AJ993" s="1238"/>
      <c r="AK993" s="1238"/>
      <c r="AL993" s="1238"/>
      <c r="AM993" s="1238"/>
      <c r="AN993" s="1238"/>
      <c r="AO993" s="1238"/>
      <c r="AP993" s="1238"/>
      <c r="AQ993" s="1238"/>
      <c r="AR993" s="1238"/>
      <c r="AS993" s="1238"/>
      <c r="AT993" s="1238"/>
      <c r="AU993" s="1238"/>
      <c r="AV993" s="1238"/>
      <c r="AW993" s="1238"/>
      <c r="AX993" s="1238"/>
      <c r="AY993" s="1238"/>
      <c r="AZ993" s="1238"/>
      <c r="BA993" s="1238"/>
      <c r="BB993" s="1238"/>
      <c r="BC993" s="1238"/>
      <c r="BD993" s="1238"/>
      <c r="BE993" s="1238"/>
      <c r="BF993" s="1238"/>
      <c r="BG993" s="1238"/>
      <c r="BH993" s="1238"/>
      <c r="BI993" s="1238"/>
      <c r="BJ993" s="1238"/>
      <c r="BK993" s="1238"/>
      <c r="BL993" s="1238"/>
      <c r="BM993" s="1238"/>
      <c r="BN993" s="1238"/>
      <c r="BO993" s="1238"/>
      <c r="BP993" s="1238"/>
      <c r="BQ993" s="1238"/>
      <c r="BR993" s="1238"/>
      <c r="BS993" s="1238"/>
      <c r="BT993" s="1238"/>
      <c r="BU993" s="1238"/>
      <c r="BV993" s="1238"/>
      <c r="BW993" s="1238"/>
      <c r="BX993" s="1238"/>
      <c r="BY993" s="1238"/>
      <c r="BZ993" s="1238"/>
      <c r="CA993" s="1238"/>
      <c r="CB993" s="1238"/>
      <c r="CC993" s="1238"/>
      <c r="CD993" s="1238"/>
      <c r="CE993" s="1238"/>
      <c r="CF993" s="1238"/>
      <c r="CG993" s="1238"/>
      <c r="CH993" s="1238"/>
      <c r="CI993" s="1238"/>
      <c r="CJ993" s="1238"/>
      <c r="CK993" s="1238"/>
      <c r="CL993" s="1238"/>
      <c r="CM993" s="1238"/>
      <c r="CN993" s="1238"/>
      <c r="CO993" s="1238"/>
      <c r="CP993" s="1238"/>
      <c r="CQ993" s="1238"/>
      <c r="CR993" s="1238"/>
      <c r="CS993" s="1238"/>
      <c r="CT993" s="1238"/>
      <c r="CU993" s="1238"/>
      <c r="CV993" s="1238"/>
      <c r="CW993" s="1238"/>
      <c r="CX993" s="1238"/>
      <c r="CY993" s="1238"/>
      <c r="CZ993" s="1238"/>
      <c r="DA993" s="1238"/>
      <c r="DB993" s="1238"/>
      <c r="DC993" s="1238"/>
      <c r="DD993" s="1238"/>
      <c r="DE993" s="1238"/>
      <c r="DF993" s="1238"/>
      <c r="DG993" s="1238"/>
      <c r="DH993" s="1238"/>
      <c r="DI993" s="1238"/>
      <c r="DJ993" s="1238"/>
      <c r="DK993" s="1238"/>
      <c r="DL993" s="1238"/>
      <c r="DM993" s="1238"/>
      <c r="DN993" s="1238"/>
      <c r="DO993" s="1238"/>
      <c r="DP993" s="1238"/>
      <c r="DQ993" s="1238"/>
      <c r="DR993" s="1238"/>
      <c r="DS993" s="1238"/>
      <c r="DT993" s="1238"/>
      <c r="DU993" s="1238"/>
      <c r="DV993" s="1238"/>
      <c r="DW993" s="1238"/>
      <c r="DX993" s="1238"/>
      <c r="DY993" s="1238"/>
      <c r="DZ993" s="1238"/>
      <c r="EA993" s="1238"/>
      <c r="EB993" s="1238"/>
      <c r="EC993" s="1238"/>
      <c r="ED993" s="1238"/>
      <c r="EE993" s="1238"/>
      <c r="EF993" s="1238"/>
      <c r="EG993" s="1238"/>
      <c r="EH993" s="1238"/>
      <c r="EI993" s="1238"/>
      <c r="EJ993" s="1238"/>
      <c r="EK993" s="1238"/>
      <c r="EL993" s="1238"/>
      <c r="EM993" s="1238"/>
      <c r="EN993" s="1238"/>
      <c r="EO993" s="1238"/>
      <c r="EP993" s="1238"/>
      <c r="EQ993" s="1238"/>
      <c r="ER993" s="1238"/>
      <c r="ES993" s="1238"/>
      <c r="ET993" s="1238"/>
      <c r="EU993" s="1238"/>
      <c r="EV993" s="1238"/>
      <c r="EW993" s="1238"/>
      <c r="EX993" s="1238"/>
      <c r="EY993" s="1238"/>
      <c r="EZ993" s="1238"/>
      <c r="FA993" s="1238"/>
      <c r="FB993" s="1238"/>
      <c r="FC993" s="1238"/>
      <c r="FD993" s="1238"/>
      <c r="FE993" s="1238"/>
      <c r="FF993" s="1238"/>
      <c r="FG993" s="1238"/>
      <c r="FH993" s="1238"/>
      <c r="FI993" s="1238"/>
      <c r="FJ993" s="1238"/>
      <c r="FK993" s="1238"/>
      <c r="FL993" s="1238"/>
      <c r="FM993" s="1238"/>
      <c r="FN993" s="1238"/>
      <c r="FO993" s="1238"/>
      <c r="FP993" s="1238"/>
      <c r="FQ993" s="1238"/>
      <c r="FR993" s="1238"/>
      <c r="FS993" s="1238"/>
      <c r="FT993" s="1238"/>
      <c r="FU993" s="1238"/>
      <c r="FV993" s="1238"/>
      <c r="FW993" s="1238"/>
      <c r="FX993" s="1238"/>
      <c r="FY993" s="1238"/>
      <c r="FZ993" s="1238"/>
      <c r="GA993" s="1238"/>
      <c r="GB993" s="1238"/>
      <c r="GC993" s="1238"/>
      <c r="GD993" s="1238"/>
    </row>
    <row r="994" spans="1:186" s="634" customFormat="1" ht="15" customHeight="1" thickBot="1">
      <c r="A994" s="1022" t="s">
        <v>25</v>
      </c>
      <c r="B994" s="1022" t="s">
        <v>25</v>
      </c>
      <c r="C994" s="490" t="s">
        <v>4943</v>
      </c>
      <c r="D994" s="490" t="s">
        <v>112</v>
      </c>
      <c r="E994" s="490" t="s">
        <v>3326</v>
      </c>
      <c r="F994" s="490">
        <v>142565303</v>
      </c>
      <c r="G994" s="490">
        <v>555749317</v>
      </c>
      <c r="H994" s="1022">
        <v>5.8117900000000002</v>
      </c>
      <c r="I994" s="1022">
        <v>-5.3677599999999996</v>
      </c>
      <c r="J994" s="490" t="s">
        <v>2612</v>
      </c>
      <c r="K994" s="1022" t="s">
        <v>203</v>
      </c>
      <c r="L994" s="1022" t="s">
        <v>4957</v>
      </c>
      <c r="M994" s="1022" t="s">
        <v>4974</v>
      </c>
      <c r="N994" s="1022">
        <v>2150047020</v>
      </c>
      <c r="O994" s="2270">
        <v>46049</v>
      </c>
      <c r="P994" s="1022"/>
      <c r="Q994" s="2270">
        <v>46050</v>
      </c>
      <c r="R994" s="490" t="s">
        <v>2641</v>
      </c>
      <c r="S994" s="490"/>
      <c r="T994" s="490">
        <v>0</v>
      </c>
      <c r="U994" s="2270">
        <v>46051</v>
      </c>
      <c r="V994" s="490" t="s">
        <v>310</v>
      </c>
      <c r="W994" s="490">
        <v>150</v>
      </c>
      <c r="X994" s="490" t="s">
        <v>32</v>
      </c>
      <c r="Y994" s="490"/>
      <c r="Z994" s="490"/>
      <c r="AA994" s="1367" t="s">
        <v>532</v>
      </c>
      <c r="AB994" s="1367" t="s">
        <v>16</v>
      </c>
      <c r="AC994" s="1022" t="s">
        <v>4958</v>
      </c>
      <c r="AD994" s="1386"/>
      <c r="AE994" s="1238"/>
      <c r="AF994" s="1238"/>
      <c r="AG994" s="1238"/>
      <c r="AH994" s="1238"/>
      <c r="AI994" s="1238"/>
      <c r="AJ994" s="1238"/>
      <c r="AK994" s="1238"/>
      <c r="AL994" s="1238"/>
      <c r="AM994" s="1238"/>
      <c r="AN994" s="1238"/>
      <c r="AO994" s="1238"/>
      <c r="AP994" s="1238"/>
      <c r="AQ994" s="1238"/>
      <c r="AR994" s="1238"/>
      <c r="AS994" s="1238"/>
      <c r="AT994" s="1238"/>
      <c r="AU994" s="1238"/>
      <c r="AV994" s="1238"/>
      <c r="AW994" s="1238"/>
      <c r="AX994" s="1238"/>
      <c r="AY994" s="1238"/>
      <c r="AZ994" s="1238"/>
      <c r="BA994" s="1238"/>
      <c r="BB994" s="1238"/>
      <c r="BC994" s="1238"/>
      <c r="BD994" s="1238"/>
      <c r="BE994" s="1238"/>
      <c r="BF994" s="1238"/>
      <c r="BG994" s="1238"/>
      <c r="BH994" s="1238"/>
      <c r="BI994" s="1238"/>
      <c r="BJ994" s="1238"/>
      <c r="BK994" s="1238"/>
      <c r="BL994" s="1238"/>
      <c r="BM994" s="1238"/>
      <c r="BN994" s="1238"/>
      <c r="BO994" s="1238"/>
      <c r="BP994" s="1238"/>
      <c r="BQ994" s="1238"/>
      <c r="BR994" s="1238"/>
      <c r="BS994" s="1238"/>
      <c r="BT994" s="1238"/>
      <c r="BU994" s="1238"/>
      <c r="BV994" s="1238"/>
      <c r="BW994" s="1238"/>
      <c r="BX994" s="1238"/>
      <c r="BY994" s="1238"/>
      <c r="BZ994" s="1238"/>
      <c r="CA994" s="1238"/>
      <c r="CB994" s="1238"/>
      <c r="CC994" s="1238"/>
      <c r="CD994" s="1238"/>
      <c r="CE994" s="1238"/>
      <c r="CF994" s="1238"/>
      <c r="CG994" s="1238"/>
      <c r="CH994" s="1238"/>
      <c r="CI994" s="1238"/>
      <c r="CJ994" s="1238"/>
      <c r="CK994" s="1238"/>
      <c r="CL994" s="1238"/>
      <c r="CM994" s="1238"/>
      <c r="CN994" s="1238"/>
      <c r="CO994" s="1238"/>
      <c r="CP994" s="1238"/>
      <c r="CQ994" s="1238"/>
      <c r="CR994" s="1238"/>
      <c r="CS994" s="1238"/>
      <c r="CT994" s="1238"/>
      <c r="CU994" s="1238"/>
      <c r="CV994" s="1238"/>
      <c r="CW994" s="1238"/>
      <c r="CX994" s="1238"/>
      <c r="CY994" s="1238"/>
      <c r="CZ994" s="1238"/>
      <c r="DA994" s="1238"/>
      <c r="DB994" s="1238"/>
      <c r="DC994" s="1238"/>
      <c r="DD994" s="1238"/>
      <c r="DE994" s="1238"/>
      <c r="DF994" s="1238"/>
      <c r="DG994" s="1238"/>
      <c r="DH994" s="1238"/>
      <c r="DI994" s="1238"/>
      <c r="DJ994" s="1238"/>
      <c r="DK994" s="1238"/>
      <c r="DL994" s="1238"/>
      <c r="DM994" s="1238"/>
      <c r="DN994" s="1238"/>
      <c r="DO994" s="1238"/>
      <c r="DP994" s="1238"/>
      <c r="DQ994" s="1238"/>
      <c r="DR994" s="1238"/>
      <c r="DS994" s="1238"/>
      <c r="DT994" s="1238"/>
      <c r="DU994" s="1238"/>
      <c r="DV994" s="1238"/>
      <c r="DW994" s="1238"/>
      <c r="DX994" s="1238"/>
      <c r="DY994" s="1238"/>
      <c r="DZ994" s="1238"/>
      <c r="EA994" s="1238"/>
      <c r="EB994" s="1238"/>
      <c r="EC994" s="1238"/>
      <c r="ED994" s="1238"/>
      <c r="EE994" s="1238"/>
      <c r="EF994" s="1238"/>
      <c r="EG994" s="1238"/>
      <c r="EH994" s="1238"/>
      <c r="EI994" s="1238"/>
      <c r="EJ994" s="1238"/>
      <c r="EK994" s="1238"/>
      <c r="EL994" s="1238"/>
      <c r="EM994" s="1238"/>
      <c r="EN994" s="1238"/>
      <c r="EO994" s="1238"/>
      <c r="EP994" s="1238"/>
      <c r="EQ994" s="1238"/>
      <c r="ER994" s="1238"/>
      <c r="ES994" s="1238"/>
      <c r="ET994" s="1238"/>
      <c r="EU994" s="1238"/>
      <c r="EV994" s="1238"/>
      <c r="EW994" s="1238"/>
      <c r="EX994" s="1238"/>
      <c r="EY994" s="1238"/>
      <c r="EZ994" s="1238"/>
      <c r="FA994" s="1238"/>
      <c r="FB994" s="1238"/>
      <c r="FC994" s="1238"/>
      <c r="FD994" s="1238"/>
      <c r="FE994" s="1238"/>
      <c r="FF994" s="1238"/>
      <c r="FG994" s="1238"/>
      <c r="FH994" s="1238"/>
      <c r="FI994" s="1238"/>
      <c r="FJ994" s="1238"/>
      <c r="FK994" s="1238"/>
      <c r="FL994" s="1238"/>
      <c r="FM994" s="1238"/>
      <c r="FN994" s="1238"/>
      <c r="FO994" s="1238"/>
      <c r="FP994" s="1238"/>
      <c r="FQ994" s="1238"/>
      <c r="FR994" s="1238"/>
      <c r="FS994" s="1238"/>
      <c r="FT994" s="1238"/>
      <c r="FU994" s="1238"/>
      <c r="FV994" s="1238"/>
      <c r="FW994" s="1238"/>
      <c r="FX994" s="1238"/>
      <c r="FY994" s="1238"/>
      <c r="FZ994" s="1238"/>
      <c r="GA994" s="1238"/>
      <c r="GB994" s="1238"/>
      <c r="GC994" s="1238"/>
      <c r="GD994" s="1238"/>
    </row>
    <row r="995" spans="1:186" s="634" customFormat="1" ht="15" customHeight="1" thickBot="1">
      <c r="A995" s="1022" t="s">
        <v>25</v>
      </c>
      <c r="B995" s="1022" t="s">
        <v>25</v>
      </c>
      <c r="C995" s="490" t="s">
        <v>4944</v>
      </c>
      <c r="D995" s="490" t="s">
        <v>4945</v>
      </c>
      <c r="E995" s="490" t="s">
        <v>4181</v>
      </c>
      <c r="F995" s="490">
        <v>788183255</v>
      </c>
      <c r="G995" s="490">
        <v>788183255</v>
      </c>
      <c r="H995" s="1022">
        <v>5.8196700000000003</v>
      </c>
      <c r="I995" s="1022">
        <v>-5.3637699999999997</v>
      </c>
      <c r="J995" s="490" t="s">
        <v>2612</v>
      </c>
      <c r="K995" s="1022" t="s">
        <v>198</v>
      </c>
      <c r="L995" s="1022" t="s">
        <v>4698</v>
      </c>
      <c r="M995" s="1022" t="s">
        <v>4975</v>
      </c>
      <c r="N995" s="1022">
        <v>2150047025</v>
      </c>
      <c r="O995" s="2270">
        <v>46049</v>
      </c>
      <c r="P995" s="1022"/>
      <c r="Q995" s="2270">
        <v>46050</v>
      </c>
      <c r="R995" s="490" t="s">
        <v>2641</v>
      </c>
      <c r="S995" s="490"/>
      <c r="T995" s="490">
        <v>3</v>
      </c>
      <c r="U995" s="2270">
        <v>46051</v>
      </c>
      <c r="V995" s="490" t="s">
        <v>310</v>
      </c>
      <c r="W995" s="490">
        <v>350</v>
      </c>
      <c r="X995" s="490" t="s">
        <v>32</v>
      </c>
      <c r="Y995" s="490"/>
      <c r="Z995" s="490"/>
      <c r="AA995" s="1367" t="s">
        <v>532</v>
      </c>
      <c r="AB995" s="1367" t="s">
        <v>16</v>
      </c>
      <c r="AC995" s="1022" t="s">
        <v>4976</v>
      </c>
      <c r="AD995" s="1386"/>
      <c r="AE995" s="1238"/>
      <c r="AF995" s="1238"/>
      <c r="AG995" s="1238"/>
      <c r="AH995" s="1238"/>
      <c r="AI995" s="1238"/>
      <c r="AJ995" s="1238"/>
      <c r="AK995" s="1238"/>
      <c r="AL995" s="1238"/>
      <c r="AM995" s="1238"/>
      <c r="AN995" s="1238"/>
      <c r="AO995" s="1238"/>
      <c r="AP995" s="1238"/>
      <c r="AQ995" s="1238"/>
      <c r="AR995" s="1238"/>
      <c r="AS995" s="1238"/>
      <c r="AT995" s="1238"/>
      <c r="AU995" s="1238"/>
      <c r="AV995" s="1238"/>
      <c r="AW995" s="1238"/>
      <c r="AX995" s="1238"/>
      <c r="AY995" s="1238"/>
      <c r="AZ995" s="1238"/>
      <c r="BA995" s="1238"/>
      <c r="BB995" s="1238"/>
      <c r="BC995" s="1238"/>
      <c r="BD995" s="1238"/>
      <c r="BE995" s="1238"/>
      <c r="BF995" s="1238"/>
      <c r="BG995" s="1238"/>
      <c r="BH995" s="1238"/>
      <c r="BI995" s="1238"/>
      <c r="BJ995" s="1238"/>
      <c r="BK995" s="1238"/>
      <c r="BL995" s="1238"/>
      <c r="BM995" s="1238"/>
      <c r="BN995" s="1238"/>
      <c r="BO995" s="1238"/>
      <c r="BP995" s="1238"/>
      <c r="BQ995" s="1238"/>
      <c r="BR995" s="1238"/>
      <c r="BS995" s="1238"/>
      <c r="BT995" s="1238"/>
      <c r="BU995" s="1238"/>
      <c r="BV995" s="1238"/>
      <c r="BW995" s="1238"/>
      <c r="BX995" s="1238"/>
      <c r="BY995" s="1238"/>
      <c r="BZ995" s="1238"/>
      <c r="CA995" s="1238"/>
      <c r="CB995" s="1238"/>
      <c r="CC995" s="1238"/>
      <c r="CD995" s="1238"/>
      <c r="CE995" s="1238"/>
      <c r="CF995" s="1238"/>
      <c r="CG995" s="1238"/>
      <c r="CH995" s="1238"/>
      <c r="CI995" s="1238"/>
      <c r="CJ995" s="1238"/>
      <c r="CK995" s="1238"/>
      <c r="CL995" s="1238"/>
      <c r="CM995" s="1238"/>
      <c r="CN995" s="1238"/>
      <c r="CO995" s="1238"/>
      <c r="CP995" s="1238"/>
      <c r="CQ995" s="1238"/>
      <c r="CR995" s="1238"/>
      <c r="CS995" s="1238"/>
      <c r="CT995" s="1238"/>
      <c r="CU995" s="1238"/>
      <c r="CV995" s="1238"/>
      <c r="CW995" s="1238"/>
      <c r="CX995" s="1238"/>
      <c r="CY995" s="1238"/>
      <c r="CZ995" s="1238"/>
      <c r="DA995" s="1238"/>
      <c r="DB995" s="1238"/>
      <c r="DC995" s="1238"/>
      <c r="DD995" s="1238"/>
      <c r="DE995" s="1238"/>
      <c r="DF995" s="1238"/>
      <c r="DG995" s="1238"/>
      <c r="DH995" s="1238"/>
      <c r="DI995" s="1238"/>
      <c r="DJ995" s="1238"/>
      <c r="DK995" s="1238"/>
      <c r="DL995" s="1238"/>
      <c r="DM995" s="1238"/>
      <c r="DN995" s="1238"/>
      <c r="DO995" s="1238"/>
      <c r="DP995" s="1238"/>
      <c r="DQ995" s="1238"/>
      <c r="DR995" s="1238"/>
      <c r="DS995" s="1238"/>
      <c r="DT995" s="1238"/>
      <c r="DU995" s="1238"/>
      <c r="DV995" s="1238"/>
      <c r="DW995" s="1238"/>
      <c r="DX995" s="1238"/>
      <c r="DY995" s="1238"/>
      <c r="DZ995" s="1238"/>
      <c r="EA995" s="1238"/>
      <c r="EB995" s="1238"/>
      <c r="EC995" s="1238"/>
      <c r="ED995" s="1238"/>
      <c r="EE995" s="1238"/>
      <c r="EF995" s="1238"/>
      <c r="EG995" s="1238"/>
      <c r="EH995" s="1238"/>
      <c r="EI995" s="1238"/>
      <c r="EJ995" s="1238"/>
      <c r="EK995" s="1238"/>
      <c r="EL995" s="1238"/>
      <c r="EM995" s="1238"/>
      <c r="EN995" s="1238"/>
      <c r="EO995" s="1238"/>
      <c r="EP995" s="1238"/>
      <c r="EQ995" s="1238"/>
      <c r="ER995" s="1238"/>
      <c r="ES995" s="1238"/>
      <c r="ET995" s="1238"/>
      <c r="EU995" s="1238"/>
      <c r="EV995" s="1238"/>
      <c r="EW995" s="1238"/>
      <c r="EX995" s="1238"/>
      <c r="EY995" s="1238"/>
      <c r="EZ995" s="1238"/>
      <c r="FA995" s="1238"/>
      <c r="FB995" s="1238"/>
      <c r="FC995" s="1238"/>
      <c r="FD995" s="1238"/>
      <c r="FE995" s="1238"/>
      <c r="FF995" s="1238"/>
      <c r="FG995" s="1238"/>
      <c r="FH995" s="1238"/>
      <c r="FI995" s="1238"/>
      <c r="FJ995" s="1238"/>
      <c r="FK995" s="1238"/>
      <c r="FL995" s="1238"/>
      <c r="FM995" s="1238"/>
      <c r="FN995" s="1238"/>
      <c r="FO995" s="1238"/>
      <c r="FP995" s="1238"/>
      <c r="FQ995" s="1238"/>
      <c r="FR995" s="1238"/>
      <c r="FS995" s="1238"/>
      <c r="FT995" s="1238"/>
      <c r="FU995" s="1238"/>
      <c r="FV995" s="1238"/>
      <c r="FW995" s="1238"/>
      <c r="FX995" s="1238"/>
      <c r="FY995" s="1238"/>
      <c r="FZ995" s="1238"/>
      <c r="GA995" s="1238"/>
      <c r="GB995" s="1238"/>
      <c r="GC995" s="1238"/>
      <c r="GD995" s="1238"/>
    </row>
    <row r="996" spans="1:186" s="634" customFormat="1" ht="15" customHeight="1" thickBot="1">
      <c r="A996" s="1022" t="s">
        <v>25</v>
      </c>
      <c r="B996" s="1022" t="s">
        <v>25</v>
      </c>
      <c r="C996" s="490" t="s">
        <v>4946</v>
      </c>
      <c r="D996" s="490" t="s">
        <v>1862</v>
      </c>
      <c r="E996" s="490" t="s">
        <v>1591</v>
      </c>
      <c r="F996" s="490">
        <v>143201000</v>
      </c>
      <c r="G996" s="490">
        <v>171513769</v>
      </c>
      <c r="H996" s="1022">
        <v>5.8495999999999997</v>
      </c>
      <c r="I996" s="1022">
        <v>-5.3468999999999998</v>
      </c>
      <c r="J996" s="490" t="s">
        <v>189</v>
      </c>
      <c r="K996" s="1022" t="s">
        <v>198</v>
      </c>
      <c r="L996" s="1022" t="s">
        <v>742</v>
      </c>
      <c r="M996" s="1022" t="s">
        <v>4977</v>
      </c>
      <c r="N996" s="1022">
        <v>2150047021</v>
      </c>
      <c r="O996" s="2270">
        <v>46049</v>
      </c>
      <c r="P996" s="1022"/>
      <c r="Q996" s="2270">
        <v>46050</v>
      </c>
      <c r="R996" s="490" t="s">
        <v>2641</v>
      </c>
      <c r="S996" s="490"/>
      <c r="T996" s="490">
        <v>0</v>
      </c>
      <c r="U996" s="2270">
        <v>46051</v>
      </c>
      <c r="V996" s="490" t="s">
        <v>310</v>
      </c>
      <c r="W996" s="490">
        <v>250</v>
      </c>
      <c r="X996" s="490" t="s">
        <v>32</v>
      </c>
      <c r="Y996" s="490"/>
      <c r="Z996" s="490"/>
      <c r="AA996" s="1367" t="s">
        <v>532</v>
      </c>
      <c r="AB996" s="1367" t="s">
        <v>16</v>
      </c>
      <c r="AC996" s="1022" t="s">
        <v>4954</v>
      </c>
      <c r="AD996" s="1386"/>
      <c r="AE996" s="1238"/>
      <c r="AF996" s="1238"/>
      <c r="AG996" s="1238"/>
      <c r="AH996" s="1238"/>
      <c r="AI996" s="1238"/>
      <c r="AJ996" s="1238"/>
      <c r="AK996" s="1238"/>
      <c r="AL996" s="1238"/>
      <c r="AM996" s="1238"/>
      <c r="AN996" s="1238"/>
      <c r="AO996" s="1238"/>
      <c r="AP996" s="1238"/>
      <c r="AQ996" s="1238"/>
      <c r="AR996" s="1238"/>
      <c r="AS996" s="1238"/>
      <c r="AT996" s="1238"/>
      <c r="AU996" s="1238"/>
      <c r="AV996" s="1238"/>
      <c r="AW996" s="1238"/>
      <c r="AX996" s="1238"/>
      <c r="AY996" s="1238"/>
      <c r="AZ996" s="1238"/>
      <c r="BA996" s="1238"/>
      <c r="BB996" s="1238"/>
      <c r="BC996" s="1238"/>
      <c r="BD996" s="1238"/>
      <c r="BE996" s="1238"/>
      <c r="BF996" s="1238"/>
      <c r="BG996" s="1238"/>
      <c r="BH996" s="1238"/>
      <c r="BI996" s="1238"/>
      <c r="BJ996" s="1238"/>
      <c r="BK996" s="1238"/>
      <c r="BL996" s="1238"/>
      <c r="BM996" s="1238"/>
      <c r="BN996" s="1238"/>
      <c r="BO996" s="1238"/>
      <c r="BP996" s="1238"/>
      <c r="BQ996" s="1238"/>
      <c r="BR996" s="1238"/>
      <c r="BS996" s="1238"/>
      <c r="BT996" s="1238"/>
      <c r="BU996" s="1238"/>
      <c r="BV996" s="1238"/>
      <c r="BW996" s="1238"/>
      <c r="BX996" s="1238"/>
      <c r="BY996" s="1238"/>
      <c r="BZ996" s="1238"/>
      <c r="CA996" s="1238"/>
      <c r="CB996" s="1238"/>
      <c r="CC996" s="1238"/>
      <c r="CD996" s="1238"/>
      <c r="CE996" s="1238"/>
      <c r="CF996" s="1238"/>
      <c r="CG996" s="1238"/>
      <c r="CH996" s="1238"/>
      <c r="CI996" s="1238"/>
      <c r="CJ996" s="1238"/>
      <c r="CK996" s="1238"/>
      <c r="CL996" s="1238"/>
      <c r="CM996" s="1238"/>
      <c r="CN996" s="1238"/>
      <c r="CO996" s="1238"/>
      <c r="CP996" s="1238"/>
      <c r="CQ996" s="1238"/>
      <c r="CR996" s="1238"/>
      <c r="CS996" s="1238"/>
      <c r="CT996" s="1238"/>
      <c r="CU996" s="1238"/>
      <c r="CV996" s="1238"/>
      <c r="CW996" s="1238"/>
      <c r="CX996" s="1238"/>
      <c r="CY996" s="1238"/>
      <c r="CZ996" s="1238"/>
      <c r="DA996" s="1238"/>
      <c r="DB996" s="1238"/>
      <c r="DC996" s="1238"/>
      <c r="DD996" s="1238"/>
      <c r="DE996" s="1238"/>
      <c r="DF996" s="1238"/>
      <c r="DG996" s="1238"/>
      <c r="DH996" s="1238"/>
      <c r="DI996" s="1238"/>
      <c r="DJ996" s="1238"/>
      <c r="DK996" s="1238"/>
      <c r="DL996" s="1238"/>
      <c r="DM996" s="1238"/>
      <c r="DN996" s="1238"/>
      <c r="DO996" s="1238"/>
      <c r="DP996" s="1238"/>
      <c r="DQ996" s="1238"/>
      <c r="DR996" s="1238"/>
      <c r="DS996" s="1238"/>
      <c r="DT996" s="1238"/>
      <c r="DU996" s="1238"/>
      <c r="DV996" s="1238"/>
      <c r="DW996" s="1238"/>
      <c r="DX996" s="1238"/>
      <c r="DY996" s="1238"/>
      <c r="DZ996" s="1238"/>
      <c r="EA996" s="1238"/>
      <c r="EB996" s="1238"/>
      <c r="EC996" s="1238"/>
      <c r="ED996" s="1238"/>
      <c r="EE996" s="1238"/>
      <c r="EF996" s="1238"/>
      <c r="EG996" s="1238"/>
      <c r="EH996" s="1238"/>
      <c r="EI996" s="1238"/>
      <c r="EJ996" s="1238"/>
      <c r="EK996" s="1238"/>
      <c r="EL996" s="1238"/>
      <c r="EM996" s="1238"/>
      <c r="EN996" s="1238"/>
      <c r="EO996" s="1238"/>
      <c r="EP996" s="1238"/>
      <c r="EQ996" s="1238"/>
      <c r="ER996" s="1238"/>
      <c r="ES996" s="1238"/>
      <c r="ET996" s="1238"/>
      <c r="EU996" s="1238"/>
      <c r="EV996" s="1238"/>
      <c r="EW996" s="1238"/>
      <c r="EX996" s="1238"/>
      <c r="EY996" s="1238"/>
      <c r="EZ996" s="1238"/>
      <c r="FA996" s="1238"/>
      <c r="FB996" s="1238"/>
      <c r="FC996" s="1238"/>
      <c r="FD996" s="1238"/>
      <c r="FE996" s="1238"/>
      <c r="FF996" s="1238"/>
      <c r="FG996" s="1238"/>
      <c r="FH996" s="1238"/>
      <c r="FI996" s="1238"/>
      <c r="FJ996" s="1238"/>
      <c r="FK996" s="1238"/>
      <c r="FL996" s="1238"/>
      <c r="FM996" s="1238"/>
      <c r="FN996" s="1238"/>
      <c r="FO996" s="1238"/>
      <c r="FP996" s="1238"/>
      <c r="FQ996" s="1238"/>
      <c r="FR996" s="1238"/>
      <c r="FS996" s="1238"/>
      <c r="FT996" s="1238"/>
      <c r="FU996" s="1238"/>
      <c r="FV996" s="1238"/>
      <c r="FW996" s="1238"/>
      <c r="FX996" s="1238"/>
      <c r="FY996" s="1238"/>
      <c r="FZ996" s="1238"/>
      <c r="GA996" s="1238"/>
      <c r="GB996" s="1238"/>
      <c r="GC996" s="1238"/>
      <c r="GD996" s="1238"/>
    </row>
    <row r="997" spans="1:186" s="634" customFormat="1" ht="15" customHeight="1" thickBot="1">
      <c r="A997" s="1022" t="s">
        <v>25</v>
      </c>
      <c r="B997" s="1022" t="s">
        <v>25</v>
      </c>
      <c r="C997" s="490" t="s">
        <v>4947</v>
      </c>
      <c r="D997" s="490" t="s">
        <v>4948</v>
      </c>
      <c r="E997" s="490" t="s">
        <v>4949</v>
      </c>
      <c r="F997" s="490">
        <v>103054351</v>
      </c>
      <c r="G997" s="490">
        <v>709430932</v>
      </c>
      <c r="H997" s="1022">
        <v>5.8143599999999998</v>
      </c>
      <c r="I997" s="1022">
        <v>-5.3540299999999998</v>
      </c>
      <c r="J997" s="490" t="s">
        <v>4036</v>
      </c>
      <c r="K997" s="1022" t="s">
        <v>274</v>
      </c>
      <c r="L997" s="1022" t="s">
        <v>4955</v>
      </c>
      <c r="M997" s="1022" t="s">
        <v>4978</v>
      </c>
      <c r="N997" s="1022">
        <v>2150047050</v>
      </c>
      <c r="O997" s="2270">
        <v>46049</v>
      </c>
      <c r="P997" s="1022"/>
      <c r="Q997" s="2270">
        <v>46050</v>
      </c>
      <c r="R997" s="490" t="s">
        <v>2641</v>
      </c>
      <c r="S997" s="490"/>
      <c r="T997" s="490">
        <v>0</v>
      </c>
      <c r="U997" s="2270">
        <v>46051</v>
      </c>
      <c r="V997" s="490" t="s">
        <v>310</v>
      </c>
      <c r="W997" s="490">
        <v>100</v>
      </c>
      <c r="X997" s="490" t="s">
        <v>32</v>
      </c>
      <c r="Y997" s="490"/>
      <c r="Z997" s="490"/>
      <c r="AA997" s="1367" t="s">
        <v>532</v>
      </c>
      <c r="AB997" s="1367" t="s">
        <v>16</v>
      </c>
      <c r="AC997" s="1022" t="s">
        <v>4956</v>
      </c>
      <c r="AD997" s="1386"/>
      <c r="AE997" s="1238"/>
      <c r="AF997" s="1238"/>
      <c r="AG997" s="1238"/>
      <c r="AH997" s="1238"/>
      <c r="AI997" s="1238"/>
      <c r="AJ997" s="1238"/>
      <c r="AK997" s="1238"/>
      <c r="AL997" s="1238"/>
      <c r="AM997" s="1238"/>
      <c r="AN997" s="1238"/>
      <c r="AO997" s="1238"/>
      <c r="AP997" s="1238"/>
      <c r="AQ997" s="1238"/>
      <c r="AR997" s="1238"/>
      <c r="AS997" s="1238"/>
      <c r="AT997" s="1238"/>
      <c r="AU997" s="1238"/>
      <c r="AV997" s="1238"/>
      <c r="AW997" s="1238"/>
      <c r="AX997" s="1238"/>
      <c r="AY997" s="1238"/>
      <c r="AZ997" s="1238"/>
      <c r="BA997" s="1238"/>
      <c r="BB997" s="1238"/>
      <c r="BC997" s="1238"/>
      <c r="BD997" s="1238"/>
      <c r="BE997" s="1238"/>
      <c r="BF997" s="1238"/>
      <c r="BG997" s="1238"/>
      <c r="BH997" s="1238"/>
      <c r="BI997" s="1238"/>
      <c r="BJ997" s="1238"/>
      <c r="BK997" s="1238"/>
      <c r="BL997" s="1238"/>
      <c r="BM997" s="1238"/>
      <c r="BN997" s="1238"/>
      <c r="BO997" s="1238"/>
      <c r="BP997" s="1238"/>
      <c r="BQ997" s="1238"/>
      <c r="BR997" s="1238"/>
      <c r="BS997" s="1238"/>
      <c r="BT997" s="1238"/>
      <c r="BU997" s="1238"/>
      <c r="BV997" s="1238"/>
      <c r="BW997" s="1238"/>
      <c r="BX997" s="1238"/>
      <c r="BY997" s="1238"/>
      <c r="BZ997" s="1238"/>
      <c r="CA997" s="1238"/>
      <c r="CB997" s="1238"/>
      <c r="CC997" s="1238"/>
      <c r="CD997" s="1238"/>
      <c r="CE997" s="1238"/>
      <c r="CF997" s="1238"/>
      <c r="CG997" s="1238"/>
      <c r="CH997" s="1238"/>
      <c r="CI997" s="1238"/>
      <c r="CJ997" s="1238"/>
      <c r="CK997" s="1238"/>
      <c r="CL997" s="1238"/>
      <c r="CM997" s="1238"/>
      <c r="CN997" s="1238"/>
      <c r="CO997" s="1238"/>
      <c r="CP997" s="1238"/>
      <c r="CQ997" s="1238"/>
      <c r="CR997" s="1238"/>
      <c r="CS997" s="1238"/>
      <c r="CT997" s="1238"/>
      <c r="CU997" s="1238"/>
      <c r="CV997" s="1238"/>
      <c r="CW997" s="1238"/>
      <c r="CX997" s="1238"/>
      <c r="CY997" s="1238"/>
      <c r="CZ997" s="1238"/>
      <c r="DA997" s="1238"/>
      <c r="DB997" s="1238"/>
      <c r="DC997" s="1238"/>
      <c r="DD997" s="1238"/>
      <c r="DE997" s="1238"/>
      <c r="DF997" s="1238"/>
      <c r="DG997" s="1238"/>
      <c r="DH997" s="1238"/>
      <c r="DI997" s="1238"/>
      <c r="DJ997" s="1238"/>
      <c r="DK997" s="1238"/>
      <c r="DL997" s="1238"/>
      <c r="DM997" s="1238"/>
      <c r="DN997" s="1238"/>
      <c r="DO997" s="1238"/>
      <c r="DP997" s="1238"/>
      <c r="DQ997" s="1238"/>
      <c r="DR997" s="1238"/>
      <c r="DS997" s="1238"/>
      <c r="DT997" s="1238"/>
      <c r="DU997" s="1238"/>
      <c r="DV997" s="1238"/>
      <c r="DW997" s="1238"/>
      <c r="DX997" s="1238"/>
      <c r="DY997" s="1238"/>
      <c r="DZ997" s="1238"/>
      <c r="EA997" s="1238"/>
      <c r="EB997" s="1238"/>
      <c r="EC997" s="1238"/>
      <c r="ED997" s="1238"/>
      <c r="EE997" s="1238"/>
      <c r="EF997" s="1238"/>
      <c r="EG997" s="1238"/>
      <c r="EH997" s="1238"/>
      <c r="EI997" s="1238"/>
      <c r="EJ997" s="1238"/>
      <c r="EK997" s="1238"/>
      <c r="EL997" s="1238"/>
      <c r="EM997" s="1238"/>
      <c r="EN997" s="1238"/>
      <c r="EO997" s="1238"/>
      <c r="EP997" s="1238"/>
      <c r="EQ997" s="1238"/>
      <c r="ER997" s="1238"/>
      <c r="ES997" s="1238"/>
      <c r="ET997" s="1238"/>
      <c r="EU997" s="1238"/>
      <c r="EV997" s="1238"/>
      <c r="EW997" s="1238"/>
      <c r="EX997" s="1238"/>
      <c r="EY997" s="1238"/>
      <c r="EZ997" s="1238"/>
      <c r="FA997" s="1238"/>
      <c r="FB997" s="1238"/>
      <c r="FC997" s="1238"/>
      <c r="FD997" s="1238"/>
      <c r="FE997" s="1238"/>
      <c r="FF997" s="1238"/>
      <c r="FG997" s="1238"/>
      <c r="FH997" s="1238"/>
      <c r="FI997" s="1238"/>
      <c r="FJ997" s="1238"/>
      <c r="FK997" s="1238"/>
      <c r="FL997" s="1238"/>
      <c r="FM997" s="1238"/>
      <c r="FN997" s="1238"/>
      <c r="FO997" s="1238"/>
      <c r="FP997" s="1238"/>
      <c r="FQ997" s="1238"/>
      <c r="FR997" s="1238"/>
      <c r="FS997" s="1238"/>
      <c r="FT997" s="1238"/>
      <c r="FU997" s="1238"/>
      <c r="FV997" s="1238"/>
      <c r="FW997" s="1238"/>
      <c r="FX997" s="1238"/>
      <c r="FY997" s="1238"/>
      <c r="FZ997" s="1238"/>
      <c r="GA997" s="1238"/>
      <c r="GB997" s="1238"/>
      <c r="GC997" s="1238"/>
      <c r="GD997" s="1238"/>
    </row>
    <row r="998" spans="1:186" s="634" customFormat="1" ht="15" customHeight="1" thickBot="1">
      <c r="A998" s="1022" t="s">
        <v>25</v>
      </c>
      <c r="B998" s="1022" t="s">
        <v>25</v>
      </c>
      <c r="C998" s="490" t="s">
        <v>4950</v>
      </c>
      <c r="D998" s="490" t="s">
        <v>4951</v>
      </c>
      <c r="E998" s="490" t="s">
        <v>4952</v>
      </c>
      <c r="F998" s="490">
        <v>707841802</v>
      </c>
      <c r="G998" s="490">
        <v>707841802</v>
      </c>
      <c r="H998" s="1022">
        <v>5.8447300000000002</v>
      </c>
      <c r="I998" s="1022">
        <v>-5.3514400000000002</v>
      </c>
      <c r="J998" s="490" t="s">
        <v>189</v>
      </c>
      <c r="K998" s="1022" t="s">
        <v>203</v>
      </c>
      <c r="L998" s="1022" t="s">
        <v>280</v>
      </c>
      <c r="M998" s="1022" t="s">
        <v>4979</v>
      </c>
      <c r="N998" s="1022">
        <v>2150047017</v>
      </c>
      <c r="O998" s="2270">
        <v>46049</v>
      </c>
      <c r="P998" s="1022"/>
      <c r="Q998" s="2270">
        <v>46050</v>
      </c>
      <c r="R998" s="490" t="s">
        <v>2641</v>
      </c>
      <c r="S998" s="490"/>
      <c r="T998" s="490">
        <v>19</v>
      </c>
      <c r="U998" s="2270">
        <v>46051</v>
      </c>
      <c r="V998" s="490" t="s">
        <v>310</v>
      </c>
      <c r="W998" s="490">
        <v>350</v>
      </c>
      <c r="X998" s="490" t="s">
        <v>32</v>
      </c>
      <c r="Y998" s="490"/>
      <c r="Z998" s="490"/>
      <c r="AA998" s="1367" t="s">
        <v>532</v>
      </c>
      <c r="AB998" s="1367" t="s">
        <v>16</v>
      </c>
      <c r="AC998" s="1022" t="s">
        <v>4953</v>
      </c>
      <c r="AD998" s="1386"/>
      <c r="AE998" s="1238"/>
      <c r="AF998" s="1238"/>
      <c r="AG998" s="1238"/>
      <c r="AH998" s="1238"/>
      <c r="AI998" s="1238"/>
      <c r="AJ998" s="1238"/>
      <c r="AK998" s="1238"/>
      <c r="AL998" s="1238"/>
      <c r="AM998" s="1238"/>
      <c r="AN998" s="1238"/>
      <c r="AO998" s="1238"/>
      <c r="AP998" s="1238"/>
      <c r="AQ998" s="1238"/>
      <c r="AR998" s="1238"/>
      <c r="AS998" s="1238"/>
      <c r="AT998" s="1238"/>
      <c r="AU998" s="1238"/>
      <c r="AV998" s="1238"/>
      <c r="AW998" s="1238"/>
      <c r="AX998" s="1238"/>
      <c r="AY998" s="1238"/>
      <c r="AZ998" s="1238"/>
      <c r="BA998" s="1238"/>
      <c r="BB998" s="1238"/>
      <c r="BC998" s="1238"/>
      <c r="BD998" s="1238"/>
      <c r="BE998" s="1238"/>
      <c r="BF998" s="1238"/>
      <c r="BG998" s="1238"/>
      <c r="BH998" s="1238"/>
      <c r="BI998" s="1238"/>
      <c r="BJ998" s="1238"/>
      <c r="BK998" s="1238"/>
      <c r="BL998" s="1238"/>
      <c r="BM998" s="1238"/>
      <c r="BN998" s="1238"/>
      <c r="BO998" s="1238"/>
      <c r="BP998" s="1238"/>
      <c r="BQ998" s="1238"/>
      <c r="BR998" s="1238"/>
      <c r="BS998" s="1238"/>
      <c r="BT998" s="1238"/>
      <c r="BU998" s="1238"/>
      <c r="BV998" s="1238"/>
      <c r="BW998" s="1238"/>
      <c r="BX998" s="1238"/>
      <c r="BY998" s="1238"/>
      <c r="BZ998" s="1238"/>
      <c r="CA998" s="1238"/>
      <c r="CB998" s="1238"/>
      <c r="CC998" s="1238"/>
      <c r="CD998" s="1238"/>
      <c r="CE998" s="1238"/>
      <c r="CF998" s="1238"/>
      <c r="CG998" s="1238"/>
      <c r="CH998" s="1238"/>
      <c r="CI998" s="1238"/>
      <c r="CJ998" s="1238"/>
      <c r="CK998" s="1238"/>
      <c r="CL998" s="1238"/>
      <c r="CM998" s="1238"/>
      <c r="CN998" s="1238"/>
      <c r="CO998" s="1238"/>
      <c r="CP998" s="1238"/>
      <c r="CQ998" s="1238"/>
      <c r="CR998" s="1238"/>
      <c r="CS998" s="1238"/>
      <c r="CT998" s="1238"/>
      <c r="CU998" s="1238"/>
      <c r="CV998" s="1238"/>
      <c r="CW998" s="1238"/>
      <c r="CX998" s="1238"/>
      <c r="CY998" s="1238"/>
      <c r="CZ998" s="1238"/>
      <c r="DA998" s="1238"/>
      <c r="DB998" s="1238"/>
      <c r="DC998" s="1238"/>
      <c r="DD998" s="1238"/>
      <c r="DE998" s="1238"/>
      <c r="DF998" s="1238"/>
      <c r="DG998" s="1238"/>
      <c r="DH998" s="1238"/>
      <c r="DI998" s="1238"/>
      <c r="DJ998" s="1238"/>
      <c r="DK998" s="1238"/>
      <c r="DL998" s="1238"/>
      <c r="DM998" s="1238"/>
      <c r="DN998" s="1238"/>
      <c r="DO998" s="1238"/>
      <c r="DP998" s="1238"/>
      <c r="DQ998" s="1238"/>
      <c r="DR998" s="1238"/>
      <c r="DS998" s="1238"/>
      <c r="DT998" s="1238"/>
      <c r="DU998" s="1238"/>
      <c r="DV998" s="1238"/>
      <c r="DW998" s="1238"/>
      <c r="DX998" s="1238"/>
      <c r="DY998" s="1238"/>
      <c r="DZ998" s="1238"/>
      <c r="EA998" s="1238"/>
      <c r="EB998" s="1238"/>
      <c r="EC998" s="1238"/>
      <c r="ED998" s="1238"/>
      <c r="EE998" s="1238"/>
      <c r="EF998" s="1238"/>
      <c r="EG998" s="1238"/>
      <c r="EH998" s="1238"/>
      <c r="EI998" s="1238"/>
      <c r="EJ998" s="1238"/>
      <c r="EK998" s="1238"/>
      <c r="EL998" s="1238"/>
      <c r="EM998" s="1238"/>
      <c r="EN998" s="1238"/>
      <c r="EO998" s="1238"/>
      <c r="EP998" s="1238"/>
      <c r="EQ998" s="1238"/>
      <c r="ER998" s="1238"/>
      <c r="ES998" s="1238"/>
      <c r="ET998" s="1238"/>
      <c r="EU998" s="1238"/>
      <c r="EV998" s="1238"/>
      <c r="EW998" s="1238"/>
      <c r="EX998" s="1238"/>
      <c r="EY998" s="1238"/>
      <c r="EZ998" s="1238"/>
      <c r="FA998" s="1238"/>
      <c r="FB998" s="1238"/>
      <c r="FC998" s="1238"/>
      <c r="FD998" s="1238"/>
      <c r="FE998" s="1238"/>
      <c r="FF998" s="1238"/>
      <c r="FG998" s="1238"/>
      <c r="FH998" s="1238"/>
      <c r="FI998" s="1238"/>
      <c r="FJ998" s="1238"/>
      <c r="FK998" s="1238"/>
      <c r="FL998" s="1238"/>
      <c r="FM998" s="1238"/>
      <c r="FN998" s="1238"/>
      <c r="FO998" s="1238"/>
      <c r="FP998" s="1238"/>
      <c r="FQ998" s="1238"/>
      <c r="FR998" s="1238"/>
      <c r="FS998" s="1238"/>
      <c r="FT998" s="1238"/>
      <c r="FU998" s="1238"/>
      <c r="FV998" s="1238"/>
      <c r="FW998" s="1238"/>
      <c r="FX998" s="1238"/>
      <c r="FY998" s="1238"/>
      <c r="FZ998" s="1238"/>
      <c r="GA998" s="1238"/>
      <c r="GB998" s="1238"/>
      <c r="GC998" s="1238"/>
      <c r="GD998" s="1238"/>
    </row>
    <row r="999" spans="1:186" ht="15" customHeight="1">
      <c r="A999" s="978" t="s">
        <v>25</v>
      </c>
      <c r="B999" s="978" t="s">
        <v>25</v>
      </c>
      <c r="C999" s="1260" t="s">
        <v>4980</v>
      </c>
      <c r="D999" s="1260" t="s">
        <v>4981</v>
      </c>
      <c r="E999" s="1260" t="s">
        <v>375</v>
      </c>
      <c r="F999" s="1260">
        <v>173551339</v>
      </c>
      <c r="G999" s="1260">
        <v>749612839</v>
      </c>
      <c r="H999" s="978">
        <v>5.8397399999999999</v>
      </c>
      <c r="I999" s="978">
        <v>-5.3637600000000001</v>
      </c>
      <c r="J999" s="1260" t="s">
        <v>36</v>
      </c>
      <c r="K999" s="978" t="s">
        <v>203</v>
      </c>
      <c r="L999" s="978" t="s">
        <v>4736</v>
      </c>
      <c r="M999" s="978" t="s">
        <v>4993</v>
      </c>
      <c r="N999" s="978">
        <v>2150047030</v>
      </c>
      <c r="O999" s="1261">
        <v>46051</v>
      </c>
      <c r="P999" s="978"/>
      <c r="Q999" s="1261">
        <v>46053</v>
      </c>
      <c r="R999" s="1256" t="s">
        <v>2641</v>
      </c>
      <c r="S999" s="1256"/>
      <c r="T999" s="1256">
        <v>2</v>
      </c>
      <c r="U999" s="1258">
        <v>46055</v>
      </c>
      <c r="V999" s="1256" t="s">
        <v>310</v>
      </c>
      <c r="W999" s="1256">
        <v>350</v>
      </c>
      <c r="X999" s="1265" t="s">
        <v>32</v>
      </c>
      <c r="Y999" s="246"/>
      <c r="Z999" s="246"/>
      <c r="AA999" s="1367" t="s">
        <v>532</v>
      </c>
      <c r="AB999" s="1367" t="s">
        <v>16</v>
      </c>
      <c r="AC999" s="978" t="s">
        <v>4990</v>
      </c>
    </row>
    <row r="1000" spans="1:186" ht="15" customHeight="1">
      <c r="A1000" s="978" t="s">
        <v>25</v>
      </c>
      <c r="B1000" s="978" t="s">
        <v>25</v>
      </c>
      <c r="C1000" s="1260" t="s">
        <v>4983</v>
      </c>
      <c r="D1000" s="1260" t="s">
        <v>4984</v>
      </c>
      <c r="E1000" s="1260" t="s">
        <v>3374</v>
      </c>
      <c r="F1000" s="1260">
        <v>141109374</v>
      </c>
      <c r="G1000" s="1260">
        <v>707842619</v>
      </c>
      <c r="H1000" s="978">
        <v>5.8236999999999997</v>
      </c>
      <c r="I1000" s="978">
        <v>-5.3616599999999996</v>
      </c>
      <c r="J1000" s="1260" t="s">
        <v>2612</v>
      </c>
      <c r="K1000" s="978" t="s">
        <v>274</v>
      </c>
      <c r="L1000" s="978" t="s">
        <v>4997</v>
      </c>
      <c r="M1000" s="978" t="s">
        <v>4995</v>
      </c>
      <c r="N1000" s="978">
        <v>2150047028</v>
      </c>
      <c r="O1000" s="1261">
        <v>46052</v>
      </c>
      <c r="P1000" s="978"/>
      <c r="Q1000" s="1261">
        <v>46053</v>
      </c>
      <c r="R1000" s="1256" t="s">
        <v>2641</v>
      </c>
      <c r="S1000" s="1256"/>
      <c r="T1000" s="1256">
        <v>2</v>
      </c>
      <c r="U1000" s="1258">
        <v>46055</v>
      </c>
      <c r="V1000" s="1256" t="s">
        <v>310</v>
      </c>
      <c r="W1000" s="1256">
        <v>200</v>
      </c>
      <c r="X1000" s="1265" t="s">
        <v>32</v>
      </c>
      <c r="Y1000" s="246"/>
      <c r="Z1000" s="246"/>
      <c r="AA1000" s="1367" t="s">
        <v>532</v>
      </c>
      <c r="AB1000" s="1367" t="s">
        <v>16</v>
      </c>
      <c r="AC1000" s="978" t="s">
        <v>4998</v>
      </c>
    </row>
    <row r="1001" spans="1:186" ht="15" customHeight="1">
      <c r="A1001" s="978" t="s">
        <v>25</v>
      </c>
      <c r="B1001" s="978" t="s">
        <v>25</v>
      </c>
      <c r="C1001" s="1260" t="s">
        <v>4985</v>
      </c>
      <c r="D1001" s="1260" t="s">
        <v>4986</v>
      </c>
      <c r="E1001" s="1260" t="s">
        <v>4873</v>
      </c>
      <c r="F1001" s="1260">
        <v>140558197</v>
      </c>
      <c r="G1001" s="1260">
        <v>709546871</v>
      </c>
      <c r="H1001" s="978">
        <v>5.8422799999999997</v>
      </c>
      <c r="I1001" s="978">
        <v>-5.3644100000000003</v>
      </c>
      <c r="J1001" s="1260" t="s">
        <v>36</v>
      </c>
      <c r="K1001" s="978" t="s">
        <v>190</v>
      </c>
      <c r="L1001" s="978" t="s">
        <v>545</v>
      </c>
      <c r="M1001" s="978" t="s">
        <v>4994</v>
      </c>
      <c r="N1001" s="978">
        <v>2150047024</v>
      </c>
      <c r="O1001" s="1261">
        <v>46052</v>
      </c>
      <c r="P1001" s="978"/>
      <c r="Q1001" s="1261">
        <v>46053</v>
      </c>
      <c r="R1001" s="1256" t="s">
        <v>2641</v>
      </c>
      <c r="S1001" s="1256"/>
      <c r="T1001" s="1256">
        <v>0</v>
      </c>
      <c r="U1001" s="1258">
        <v>46055</v>
      </c>
      <c r="V1001" s="1256" t="s">
        <v>310</v>
      </c>
      <c r="W1001" s="1256">
        <v>200</v>
      </c>
      <c r="X1001" s="1265" t="s">
        <v>32</v>
      </c>
      <c r="Y1001" s="246"/>
      <c r="Z1001" s="246"/>
      <c r="AA1001" s="1367" t="s">
        <v>532</v>
      </c>
      <c r="AB1001" s="1367" t="s">
        <v>16</v>
      </c>
      <c r="AC1001" s="978" t="s">
        <v>4996</v>
      </c>
    </row>
    <row r="1002" spans="1:186" ht="15" customHeight="1">
      <c r="A1002" s="978" t="s">
        <v>25</v>
      </c>
      <c r="B1002" s="978" t="s">
        <v>25</v>
      </c>
      <c r="C1002" s="1260" t="s">
        <v>4987</v>
      </c>
      <c r="D1002" s="1260" t="s">
        <v>4988</v>
      </c>
      <c r="E1002" s="1260" t="s">
        <v>4989</v>
      </c>
      <c r="F1002" s="1260">
        <v>798254093</v>
      </c>
      <c r="G1002" s="1260">
        <v>798254093</v>
      </c>
      <c r="H1002" s="978">
        <v>5.8432500000000003</v>
      </c>
      <c r="I1002" s="978">
        <v>-5.3630800000000001</v>
      </c>
      <c r="J1002" s="1260" t="s">
        <v>36</v>
      </c>
      <c r="K1002" s="978" t="s">
        <v>190</v>
      </c>
      <c r="L1002" s="978" t="s">
        <v>545</v>
      </c>
      <c r="M1002" s="978" t="s">
        <v>4992</v>
      </c>
      <c r="N1002" s="978">
        <v>2150047029</v>
      </c>
      <c r="O1002" s="1261">
        <v>46052</v>
      </c>
      <c r="P1002" s="978"/>
      <c r="Q1002" s="1261">
        <v>46053</v>
      </c>
      <c r="R1002" s="1256" t="s">
        <v>2641</v>
      </c>
      <c r="S1002" s="1256"/>
      <c r="T1002" s="1256">
        <v>1</v>
      </c>
      <c r="U1002" s="1258">
        <v>46055</v>
      </c>
      <c r="V1002" s="1256" t="s">
        <v>310</v>
      </c>
      <c r="W1002" s="1256">
        <v>250</v>
      </c>
      <c r="X1002" s="1265" t="s">
        <v>32</v>
      </c>
      <c r="Y1002" s="246"/>
      <c r="Z1002" s="246"/>
      <c r="AA1002" s="1367" t="s">
        <v>532</v>
      </c>
      <c r="AB1002" s="1367" t="s">
        <v>16</v>
      </c>
      <c r="AC1002" s="978" t="s">
        <v>4991</v>
      </c>
    </row>
    <row r="1003" spans="1:186" ht="15" customHeight="1">
      <c r="A1003" s="1256" t="s">
        <v>25</v>
      </c>
      <c r="B1003" s="1256" t="s">
        <v>25</v>
      </c>
      <c r="C1003" s="329" t="s">
        <v>4388</v>
      </c>
      <c r="D1003" s="329" t="s">
        <v>4389</v>
      </c>
      <c r="E1003" s="329" t="s">
        <v>885</v>
      </c>
      <c r="F1003" s="329">
        <v>707325003</v>
      </c>
      <c r="G1003" s="329">
        <v>505922120</v>
      </c>
      <c r="H1003" s="978">
        <v>5.8420100000000001</v>
      </c>
      <c r="I1003" s="978">
        <v>-5.3646799999999999</v>
      </c>
      <c r="J1003" s="329" t="s">
        <v>36</v>
      </c>
      <c r="K1003" s="978" t="s">
        <v>190</v>
      </c>
      <c r="L1003" s="978" t="s">
        <v>545</v>
      </c>
      <c r="M1003" s="978" t="s">
        <v>5001</v>
      </c>
      <c r="N1003" s="978">
        <v>2150047031</v>
      </c>
      <c r="O1003" s="330">
        <v>45995</v>
      </c>
      <c r="P1003" s="978"/>
      <c r="Q1003" s="330">
        <v>45997</v>
      </c>
      <c r="R1003" s="1256" t="s">
        <v>2641</v>
      </c>
      <c r="S1003" s="1256"/>
      <c r="T1003" s="1256">
        <v>1</v>
      </c>
      <c r="U1003" s="1257">
        <v>46056</v>
      </c>
      <c r="V1003" s="1256" t="s">
        <v>310</v>
      </c>
      <c r="W1003" s="1256">
        <v>350</v>
      </c>
      <c r="X1003" s="1265" t="s">
        <v>32</v>
      </c>
      <c r="Y1003" s="246"/>
      <c r="Z1003" s="246"/>
      <c r="AA1003" s="1367" t="s">
        <v>532</v>
      </c>
      <c r="AB1003" s="1367" t="s">
        <v>16</v>
      </c>
      <c r="AC1003" s="978" t="s">
        <v>5000</v>
      </c>
    </row>
    <row r="1004" spans="1:186" ht="15" customHeight="1">
      <c r="A1004" s="978" t="s">
        <v>25</v>
      </c>
      <c r="B1004" s="978" t="s">
        <v>25</v>
      </c>
      <c r="C1004" s="1260" t="s">
        <v>4982</v>
      </c>
      <c r="D1004" s="1260" t="s">
        <v>1346</v>
      </c>
      <c r="E1004" s="1260" t="s">
        <v>4014</v>
      </c>
      <c r="F1004" s="1260">
        <v>555335043</v>
      </c>
      <c r="G1004" s="1260">
        <v>700188085</v>
      </c>
      <c r="H1004" s="978">
        <v>5.8259100000000004</v>
      </c>
      <c r="I1004" s="978">
        <v>-5.3619500000000002</v>
      </c>
      <c r="J1004" s="1260" t="s">
        <v>2612</v>
      </c>
      <c r="K1004" s="978" t="s">
        <v>274</v>
      </c>
      <c r="L1004" s="978" t="s">
        <v>4731</v>
      </c>
      <c r="M1004" s="978"/>
      <c r="N1004" s="978"/>
      <c r="O1004" s="1261">
        <v>46052</v>
      </c>
      <c r="P1004" s="978"/>
      <c r="Q1004" s="1261">
        <v>46053</v>
      </c>
      <c r="R1004" s="1256" t="s">
        <v>2641</v>
      </c>
      <c r="S1004" s="1256"/>
      <c r="T1004" s="1256">
        <v>0</v>
      </c>
      <c r="U1004" s="1258">
        <v>46055</v>
      </c>
      <c r="V1004" s="1256" t="s">
        <v>310</v>
      </c>
      <c r="W1004" s="1256">
        <v>200</v>
      </c>
      <c r="X1004" s="1265" t="s">
        <v>32</v>
      </c>
      <c r="Y1004" s="246"/>
      <c r="Z1004" s="246"/>
      <c r="AA1004" s="1367" t="s">
        <v>532</v>
      </c>
      <c r="AB1004" s="1367" t="s">
        <v>16</v>
      </c>
      <c r="AC1004" s="978" t="s">
        <v>4999</v>
      </c>
    </row>
    <row r="1005" spans="1:186" ht="15" customHeight="1">
      <c r="A1005" s="978" t="s">
        <v>25</v>
      </c>
      <c r="B1005" s="978" t="s">
        <v>25</v>
      </c>
      <c r="C1005" s="246" t="s">
        <v>5002</v>
      </c>
      <c r="D1005" s="246" t="s">
        <v>5003</v>
      </c>
      <c r="E1005" s="246" t="s">
        <v>84</v>
      </c>
      <c r="F1005" s="246">
        <v>140899998</v>
      </c>
      <c r="G1005" s="246">
        <v>769709125</v>
      </c>
      <c r="H1005" s="978">
        <v>5.83744</v>
      </c>
      <c r="I1005" s="978">
        <v>-5.3642599999999998</v>
      </c>
      <c r="J1005" s="246" t="s">
        <v>36</v>
      </c>
      <c r="K1005" s="978" t="s">
        <v>203</v>
      </c>
      <c r="L1005" s="978" t="s">
        <v>858</v>
      </c>
      <c r="M1005" s="978"/>
      <c r="N1005" s="978"/>
      <c r="O1005" s="251">
        <v>46055</v>
      </c>
      <c r="P1005" s="978"/>
      <c r="Q1005" s="251">
        <v>46056</v>
      </c>
      <c r="R1005" s="1256" t="s">
        <v>2641</v>
      </c>
      <c r="S1005" s="1256"/>
      <c r="T1005" s="1256">
        <v>0</v>
      </c>
      <c r="U1005" s="1258">
        <v>46057</v>
      </c>
      <c r="V1005" s="1256" t="s">
        <v>310</v>
      </c>
      <c r="W1005" s="1256">
        <v>100</v>
      </c>
      <c r="X1005" s="1265" t="s">
        <v>32</v>
      </c>
      <c r="Y1005" s="246"/>
      <c r="Z1005" s="246"/>
      <c r="AA1005" s="1367" t="s">
        <v>532</v>
      </c>
      <c r="AB1005" s="1367" t="s">
        <v>16</v>
      </c>
      <c r="AC1005" s="978" t="s">
        <v>5006</v>
      </c>
    </row>
    <row r="1006" spans="1:186" ht="15" customHeight="1" thickBot="1">
      <c r="A1006" s="1256" t="s">
        <v>25</v>
      </c>
      <c r="B1006" s="1256" t="s">
        <v>25</v>
      </c>
      <c r="C1006" s="1259" t="s">
        <v>4247</v>
      </c>
      <c r="D1006" s="1259" t="s">
        <v>4248</v>
      </c>
      <c r="E1006" s="1259" t="s">
        <v>4249</v>
      </c>
      <c r="F1006" s="1259">
        <v>709775601</v>
      </c>
      <c r="G1006" s="1259">
        <v>555042291</v>
      </c>
      <c r="H1006" s="1255">
        <v>5.8415600000000003</v>
      </c>
      <c r="I1006" s="1255">
        <v>-5.3582200000000002</v>
      </c>
      <c r="J1006" s="246" t="s">
        <v>2612</v>
      </c>
      <c r="K1006" s="978" t="s">
        <v>190</v>
      </c>
      <c r="L1006" s="978" t="s">
        <v>4296</v>
      </c>
      <c r="M1006" s="1022" t="s">
        <v>5038</v>
      </c>
      <c r="N1006" s="1022">
        <v>2150046724</v>
      </c>
      <c r="O1006" s="1262">
        <v>45987</v>
      </c>
      <c r="P1006" s="1255">
        <v>8</v>
      </c>
      <c r="Q1006" s="1262">
        <v>45988</v>
      </c>
      <c r="R1006" s="1256" t="s">
        <v>273</v>
      </c>
      <c r="S1006" s="1256"/>
      <c r="T1006" s="1256">
        <v>0</v>
      </c>
      <c r="U1006" s="1258">
        <v>46063</v>
      </c>
      <c r="V1006" s="1256" t="s">
        <v>310</v>
      </c>
      <c r="W1006" s="1256"/>
      <c r="X1006" s="1256" t="s">
        <v>32</v>
      </c>
      <c r="Y1006" s="246"/>
      <c r="Z1006" s="246"/>
      <c r="AA1006" s="1367" t="s">
        <v>532</v>
      </c>
      <c r="AB1006" s="1367" t="s">
        <v>16</v>
      </c>
      <c r="AC1006" s="1255" t="s">
        <v>4352</v>
      </c>
      <c r="AD1006" s="1371"/>
    </row>
    <row r="1007" spans="1:186" ht="15" customHeight="1" thickBot="1">
      <c r="A1007" s="1022" t="s">
        <v>25</v>
      </c>
      <c r="B1007" s="1022" t="s">
        <v>25</v>
      </c>
      <c r="C1007" s="490" t="s">
        <v>5022</v>
      </c>
      <c r="D1007" s="490" t="s">
        <v>5023</v>
      </c>
      <c r="E1007" s="490" t="s">
        <v>5024</v>
      </c>
      <c r="F1007" s="490">
        <v>103289743</v>
      </c>
      <c r="G1007" s="490">
        <v>707082815</v>
      </c>
      <c r="H1007" s="1022">
        <v>5.8405500000000004</v>
      </c>
      <c r="I1007" s="1022">
        <v>-5.3517700000000001</v>
      </c>
      <c r="J1007" s="490" t="s">
        <v>189</v>
      </c>
      <c r="K1007" s="1022" t="s">
        <v>203</v>
      </c>
      <c r="L1007" s="1022" t="s">
        <v>381</v>
      </c>
      <c r="M1007" s="1022" t="s">
        <v>5039</v>
      </c>
      <c r="N1007" s="1022">
        <v>2150046725</v>
      </c>
      <c r="O1007" s="2270">
        <v>46058</v>
      </c>
      <c r="P1007" s="1022"/>
      <c r="Q1007" s="2270">
        <v>46060</v>
      </c>
      <c r="R1007" s="1367" t="s">
        <v>2641</v>
      </c>
      <c r="S1007" s="1367"/>
      <c r="T1007" s="1367">
        <v>0</v>
      </c>
      <c r="U1007" s="1258">
        <v>46063</v>
      </c>
      <c r="V1007" s="1367" t="s">
        <v>310</v>
      </c>
      <c r="W1007" s="1367">
        <v>250</v>
      </c>
      <c r="X1007" s="1367" t="s">
        <v>32</v>
      </c>
      <c r="Y1007" s="246"/>
      <c r="Z1007" s="246"/>
      <c r="AA1007" s="1367" t="s">
        <v>532</v>
      </c>
      <c r="AB1007" s="1367" t="s">
        <v>16</v>
      </c>
      <c r="AC1007" s="2275" t="s">
        <v>5040</v>
      </c>
      <c r="AD1007" s="1386"/>
    </row>
    <row r="1008" spans="1:186" ht="15" customHeight="1" thickBot="1">
      <c r="A1008" s="978" t="s">
        <v>25</v>
      </c>
      <c r="B1008" s="978" t="s">
        <v>25</v>
      </c>
      <c r="C1008" s="246" t="s">
        <v>5026</v>
      </c>
      <c r="D1008" s="246" t="s">
        <v>5027</v>
      </c>
      <c r="E1008" s="246" t="s">
        <v>1591</v>
      </c>
      <c r="F1008" s="246">
        <v>101669442</v>
      </c>
      <c r="G1008" s="246">
        <v>759142606</v>
      </c>
      <c r="H1008" s="978">
        <v>5.8497199999999996</v>
      </c>
      <c r="I1008" s="978">
        <v>-5.3483400000000003</v>
      </c>
      <c r="J1008" s="246" t="s">
        <v>189</v>
      </c>
      <c r="K1008" s="978" t="s">
        <v>274</v>
      </c>
      <c r="L1008" s="978" t="s">
        <v>5028</v>
      </c>
      <c r="M1008" s="1367" t="s">
        <v>5041</v>
      </c>
      <c r="N1008" s="1367">
        <v>2150046611</v>
      </c>
      <c r="O1008" s="251">
        <v>46062</v>
      </c>
      <c r="P1008" s="978"/>
      <c r="Q1008" s="251">
        <v>46063</v>
      </c>
      <c r="R1008" s="1256" t="s">
        <v>2641</v>
      </c>
      <c r="S1008" s="1256"/>
      <c r="T1008" s="1256"/>
      <c r="U1008" s="1258">
        <v>46063</v>
      </c>
      <c r="V1008" s="1256" t="s">
        <v>310</v>
      </c>
      <c r="W1008" s="1256">
        <v>200</v>
      </c>
      <c r="X1008" s="1265" t="s">
        <v>32</v>
      </c>
      <c r="Y1008" s="246"/>
      <c r="Z1008" s="246"/>
      <c r="AA1008" s="1367" t="s">
        <v>532</v>
      </c>
      <c r="AB1008" s="1367" t="s">
        <v>16</v>
      </c>
      <c r="AC1008" s="978" t="s">
        <v>5029</v>
      </c>
      <c r="AD1008" s="634"/>
    </row>
    <row r="1009" spans="1:31" ht="15" customHeight="1" thickBot="1">
      <c r="A1009" s="978" t="s">
        <v>25</v>
      </c>
      <c r="B1009" s="978" t="s">
        <v>25</v>
      </c>
      <c r="C1009" s="490" t="s">
        <v>5033</v>
      </c>
      <c r="D1009" s="490" t="s">
        <v>5034</v>
      </c>
      <c r="E1009" s="490" t="s">
        <v>5035</v>
      </c>
      <c r="F1009" s="490">
        <v>160650124</v>
      </c>
      <c r="G1009" s="490">
        <v>556632067</v>
      </c>
      <c r="H1009" s="490" t="s">
        <v>25</v>
      </c>
      <c r="I1009" s="490" t="s">
        <v>5036</v>
      </c>
      <c r="J1009" s="246" t="s">
        <v>2612</v>
      </c>
      <c r="K1009" s="978" t="s">
        <v>190</v>
      </c>
      <c r="L1009" s="978" t="s">
        <v>4296</v>
      </c>
      <c r="M1009" s="490" t="s">
        <v>5037</v>
      </c>
      <c r="N1009" s="490">
        <v>2150046727</v>
      </c>
      <c r="O1009" s="2270">
        <v>46034</v>
      </c>
      <c r="P1009" s="978"/>
      <c r="Q1009" s="2270">
        <v>46035</v>
      </c>
      <c r="R1009" s="1367" t="s">
        <v>2641</v>
      </c>
      <c r="S1009" s="1367"/>
      <c r="T1009" s="1367"/>
      <c r="U1009" s="1258">
        <v>46063</v>
      </c>
      <c r="V1009" s="1256" t="s">
        <v>310</v>
      </c>
      <c r="W1009" s="1256">
        <v>200</v>
      </c>
      <c r="X1009" s="1265" t="s">
        <v>32</v>
      </c>
      <c r="Y1009" s="246"/>
      <c r="Z1009" s="246"/>
      <c r="AA1009" s="1367" t="s">
        <v>532</v>
      </c>
      <c r="AB1009" s="1367" t="s">
        <v>16</v>
      </c>
      <c r="AC1009" s="1367"/>
      <c r="AD1009" s="1386"/>
    </row>
    <row r="1010" spans="1:31" ht="15" customHeight="1">
      <c r="A1010" s="978" t="s">
        <v>25</v>
      </c>
      <c r="B1010" s="978" t="s">
        <v>25</v>
      </c>
      <c r="C1010" s="490" t="s">
        <v>4852</v>
      </c>
      <c r="D1010" s="1260" t="s">
        <v>4853</v>
      </c>
      <c r="E1010" s="1260" t="s">
        <v>402</v>
      </c>
      <c r="F1010" s="1260">
        <v>707615979</v>
      </c>
      <c r="G1010" s="1260">
        <v>707615979</v>
      </c>
      <c r="H1010" s="1255">
        <v>5.8506600000000004</v>
      </c>
      <c r="I1010" s="1255">
        <v>-5.3666499999999999</v>
      </c>
      <c r="J1010" s="1260" t="s">
        <v>36</v>
      </c>
      <c r="K1010" s="1255" t="s">
        <v>190</v>
      </c>
      <c r="L1010" s="1255" t="s">
        <v>579</v>
      </c>
      <c r="M1010" s="1255" t="s">
        <v>4859</v>
      </c>
      <c r="N1010" s="1255">
        <v>2150031553</v>
      </c>
      <c r="O1010" s="1261">
        <v>46036</v>
      </c>
      <c r="P1010" s="1255"/>
      <c r="Q1010" s="1261">
        <v>46038</v>
      </c>
      <c r="R1010" s="1260" t="s">
        <v>2641</v>
      </c>
      <c r="S1010" s="1256"/>
      <c r="T1010" s="1256">
        <v>1</v>
      </c>
      <c r="U1010" s="1258">
        <v>46039</v>
      </c>
      <c r="V1010" s="664" t="s">
        <v>310</v>
      </c>
      <c r="W1010" s="1256">
        <v>350</v>
      </c>
      <c r="X1010" s="1260" t="s">
        <v>32</v>
      </c>
      <c r="Y1010" s="1260"/>
      <c r="Z1010" s="1260"/>
      <c r="AA1010" s="2251" t="s">
        <v>532</v>
      </c>
      <c r="AB1010" s="2250" t="s">
        <v>16</v>
      </c>
      <c r="AC1010" s="246"/>
    </row>
    <row r="1011" spans="1:31" ht="15" customHeight="1">
      <c r="A1011" s="978" t="s">
        <v>25</v>
      </c>
      <c r="B1011" s="978" t="s">
        <v>25</v>
      </c>
      <c r="C1011" s="490" t="s">
        <v>4856</v>
      </c>
      <c r="D1011" s="1260" t="s">
        <v>4857</v>
      </c>
      <c r="E1011" s="1260" t="s">
        <v>4858</v>
      </c>
      <c r="F1011" s="1260">
        <v>759272081</v>
      </c>
      <c r="G1011" s="1260">
        <v>545483311</v>
      </c>
      <c r="H1011" s="1255"/>
      <c r="I1011" s="1255"/>
      <c r="J1011" s="1260" t="s">
        <v>36</v>
      </c>
      <c r="K1011" s="1255" t="s">
        <v>274</v>
      </c>
      <c r="L1011" s="1255" t="s">
        <v>3169</v>
      </c>
      <c r="M1011" s="1255" t="s">
        <v>5043</v>
      </c>
      <c r="N1011" s="1255">
        <v>2150031552</v>
      </c>
      <c r="O1011" s="1261">
        <v>46038</v>
      </c>
      <c r="P1011" s="1260"/>
      <c r="Q1011" s="1261">
        <v>46038</v>
      </c>
      <c r="R1011" s="1260" t="s">
        <v>2641</v>
      </c>
      <c r="S1011" s="1256"/>
      <c r="T1011" s="1256"/>
      <c r="U1011" s="1258">
        <v>46039</v>
      </c>
      <c r="V1011" s="664" t="s">
        <v>310</v>
      </c>
      <c r="W1011" s="1256">
        <v>150</v>
      </c>
      <c r="X1011" s="1260" t="s">
        <v>32</v>
      </c>
      <c r="Y1011" s="1260"/>
      <c r="Z1011" s="1260"/>
      <c r="AA1011" s="2251" t="s">
        <v>532</v>
      </c>
      <c r="AB1011" s="2250" t="s">
        <v>16</v>
      </c>
      <c r="AC1011" s="246"/>
    </row>
    <row r="1012" spans="1:31" ht="15" customHeight="1">
      <c r="A1012" s="978" t="s">
        <v>25</v>
      </c>
      <c r="B1012" s="978" t="s">
        <v>25</v>
      </c>
      <c r="C1012" s="490" t="s">
        <v>4959</v>
      </c>
      <c r="D1012" s="1260" t="s">
        <v>4960</v>
      </c>
      <c r="E1012" s="1260" t="s">
        <v>4961</v>
      </c>
      <c r="F1012" s="1260">
        <v>574144664</v>
      </c>
      <c r="G1012" s="1260">
        <v>708398769</v>
      </c>
      <c r="H1012" s="1255">
        <v>5.8293699999999999</v>
      </c>
      <c r="I1012" s="1255">
        <v>-5.36219</v>
      </c>
      <c r="J1012" s="1260" t="s">
        <v>2612</v>
      </c>
      <c r="K1012" s="1255" t="s">
        <v>274</v>
      </c>
      <c r="L1012" s="1255" t="s">
        <v>4962</v>
      </c>
      <c r="M1012" s="1255" t="s">
        <v>4963</v>
      </c>
      <c r="N1012" s="1255">
        <v>2150047019</v>
      </c>
      <c r="O1012" s="1261">
        <v>46051</v>
      </c>
      <c r="P1012" s="1255"/>
      <c r="Q1012" s="1261">
        <v>46052</v>
      </c>
      <c r="R1012" s="1260" t="s">
        <v>2641</v>
      </c>
      <c r="S1012" s="1260"/>
      <c r="T1012" s="1260">
        <v>0</v>
      </c>
      <c r="U1012" s="1261">
        <v>46053</v>
      </c>
      <c r="V1012" s="1260" t="s">
        <v>310</v>
      </c>
      <c r="W1012" s="1260">
        <v>200</v>
      </c>
      <c r="X1012" s="1260" t="s">
        <v>32</v>
      </c>
      <c r="Y1012" s="1260"/>
      <c r="Z1012" s="1260"/>
      <c r="AA1012" s="664" t="s">
        <v>532</v>
      </c>
      <c r="AB1012" s="1260" t="s">
        <v>16</v>
      </c>
      <c r="AC1012" s="246"/>
    </row>
    <row r="1013" spans="1:31" ht="15" customHeight="1">
      <c r="A1013" s="978" t="s">
        <v>25</v>
      </c>
      <c r="B1013" s="978" t="s">
        <v>25</v>
      </c>
      <c r="C1013" s="490" t="s">
        <v>5004</v>
      </c>
      <c r="D1013" s="1260" t="s">
        <v>5005</v>
      </c>
      <c r="E1013" s="1260" t="s">
        <v>84</v>
      </c>
      <c r="F1013" s="1260">
        <v>457495744</v>
      </c>
      <c r="G1013" s="1260">
        <v>706047734</v>
      </c>
      <c r="H1013" s="1255">
        <v>5.8329199999999997</v>
      </c>
      <c r="I1013" s="1255">
        <v>-5.36341</v>
      </c>
      <c r="J1013" s="1260" t="s">
        <v>36</v>
      </c>
      <c r="K1013" s="1255" t="s">
        <v>203</v>
      </c>
      <c r="L1013" s="1255" t="s">
        <v>408</v>
      </c>
      <c r="M1013" s="1255" t="s">
        <v>5007</v>
      </c>
      <c r="N1013" s="1255">
        <v>2150047014</v>
      </c>
      <c r="O1013" s="1261">
        <v>46055</v>
      </c>
      <c r="P1013" s="1255"/>
      <c r="Q1013" s="1261">
        <v>46056</v>
      </c>
      <c r="R1013" s="1256" t="s">
        <v>2641</v>
      </c>
      <c r="S1013" s="1256"/>
      <c r="T1013" s="1256">
        <v>1</v>
      </c>
      <c r="U1013" s="1258">
        <v>46057</v>
      </c>
      <c r="V1013" s="1256" t="s">
        <v>310</v>
      </c>
      <c r="W1013" s="1256">
        <v>150</v>
      </c>
      <c r="X1013" s="1256" t="s">
        <v>32</v>
      </c>
      <c r="Y1013" s="1260"/>
      <c r="Z1013" s="1260"/>
      <c r="AA1013" s="1256" t="s">
        <v>532</v>
      </c>
      <c r="AB1013" s="1255" t="s">
        <v>16</v>
      </c>
      <c r="AC1013" s="246"/>
    </row>
    <row r="1014" spans="1:31" ht="15" customHeight="1">
      <c r="A1014" s="978" t="s">
        <v>25</v>
      </c>
      <c r="B1014" s="978" t="s">
        <v>25</v>
      </c>
      <c r="C1014" s="490" t="s">
        <v>5010</v>
      </c>
      <c r="D1014" s="1260" t="s">
        <v>5011</v>
      </c>
      <c r="E1014" s="1260" t="s">
        <v>5012</v>
      </c>
      <c r="F1014" s="1260">
        <v>584500913</v>
      </c>
      <c r="G1014" s="1260">
        <v>777203110</v>
      </c>
      <c r="H1014" s="1255">
        <v>5.8203399999999998</v>
      </c>
      <c r="I1014" s="1255">
        <v>-5.3678699999999999</v>
      </c>
      <c r="J1014" s="1260" t="s">
        <v>2612</v>
      </c>
      <c r="K1014" s="1255" t="s">
        <v>198</v>
      </c>
      <c r="L1014" s="1255" t="s">
        <v>4584</v>
      </c>
      <c r="M1014" s="1255" t="s">
        <v>5044</v>
      </c>
      <c r="N1014" s="1255">
        <v>2150047032</v>
      </c>
      <c r="O1014" s="1261">
        <v>46056</v>
      </c>
      <c r="P1014" s="1255"/>
      <c r="Q1014" s="1261">
        <v>46057</v>
      </c>
      <c r="R1014" s="1256" t="s">
        <v>2641</v>
      </c>
      <c r="S1014" s="1256"/>
      <c r="T1014" s="1256">
        <v>0</v>
      </c>
      <c r="U1014" s="1258">
        <v>46058</v>
      </c>
      <c r="V1014" s="1256" t="s">
        <v>310</v>
      </c>
      <c r="W1014" s="1256">
        <v>200</v>
      </c>
      <c r="X1014" s="1256" t="s">
        <v>32</v>
      </c>
      <c r="Y1014" s="1260"/>
      <c r="Z1014" s="1260"/>
      <c r="AA1014" s="1256" t="s">
        <v>532</v>
      </c>
      <c r="AB1014" s="1256" t="s">
        <v>16</v>
      </c>
      <c r="AC1014" s="246"/>
    </row>
    <row r="1015" spans="1:31" ht="15" customHeight="1">
      <c r="A1015" s="978" t="s">
        <v>25</v>
      </c>
      <c r="B1015" s="978" t="s">
        <v>25</v>
      </c>
      <c r="C1015" s="490" t="s">
        <v>5013</v>
      </c>
      <c r="D1015" s="1260" t="s">
        <v>5014</v>
      </c>
      <c r="E1015" s="1260" t="s">
        <v>5015</v>
      </c>
      <c r="F1015" s="1260">
        <v>171826877</v>
      </c>
      <c r="G1015" s="1260">
        <v>709252715</v>
      </c>
      <c r="H1015" s="1255">
        <v>5.8379399999999997</v>
      </c>
      <c r="I1015" s="1255">
        <v>-5.3515600000000001</v>
      </c>
      <c r="J1015" s="1260" t="s">
        <v>189</v>
      </c>
      <c r="K1015" s="1255" t="s">
        <v>190</v>
      </c>
      <c r="L1015" s="1255" t="s">
        <v>3745</v>
      </c>
      <c r="M1015" s="1255" t="s">
        <v>5045</v>
      </c>
      <c r="N1015" s="1255">
        <v>2150047026</v>
      </c>
      <c r="O1015" s="1261">
        <v>46056</v>
      </c>
      <c r="P1015" s="1255"/>
      <c r="Q1015" s="1261">
        <v>46057</v>
      </c>
      <c r="R1015" s="1256" t="s">
        <v>2641</v>
      </c>
      <c r="S1015" s="1256"/>
      <c r="T1015" s="1256">
        <v>0</v>
      </c>
      <c r="U1015" s="1258">
        <v>46058</v>
      </c>
      <c r="V1015" s="1256" t="s">
        <v>310</v>
      </c>
      <c r="W1015" s="1256">
        <v>250</v>
      </c>
      <c r="X1015" s="1256" t="s">
        <v>32</v>
      </c>
      <c r="Y1015" s="1260"/>
      <c r="Z1015" s="1260"/>
      <c r="AA1015" s="1256" t="s">
        <v>532</v>
      </c>
      <c r="AB1015" s="1256" t="s">
        <v>16</v>
      </c>
      <c r="AC1015" s="246"/>
    </row>
    <row r="1016" spans="1:31" ht="15" customHeight="1">
      <c r="A1016" s="978" t="s">
        <v>25</v>
      </c>
      <c r="B1016" s="978" t="s">
        <v>25</v>
      </c>
      <c r="C1016" s="1367" t="s">
        <v>3901</v>
      </c>
      <c r="D1016" s="1256" t="s">
        <v>3902</v>
      </c>
      <c r="E1016" s="1256" t="s">
        <v>3903</v>
      </c>
      <c r="F1016" s="1256">
        <v>170421527</v>
      </c>
      <c r="G1016" s="1256">
        <v>749970815</v>
      </c>
      <c r="H1016" s="1255">
        <v>5.8069300000000004</v>
      </c>
      <c r="I1016" s="1255">
        <v>-5.3628799999999996</v>
      </c>
      <c r="J1016" s="1260" t="s">
        <v>2612</v>
      </c>
      <c r="K1016" s="1255" t="s">
        <v>203</v>
      </c>
      <c r="L1016" s="1255" t="s">
        <v>5025</v>
      </c>
      <c r="M1016" s="1255" t="s">
        <v>5046</v>
      </c>
      <c r="N1016" s="1255">
        <v>2150047015</v>
      </c>
      <c r="O1016" s="1258">
        <v>45758</v>
      </c>
      <c r="P1016" s="1255">
        <v>29</v>
      </c>
      <c r="Q1016" s="1258">
        <v>45967</v>
      </c>
      <c r="R1016" s="1256" t="s">
        <v>273</v>
      </c>
      <c r="S1016" s="1256"/>
      <c r="T1016" s="1256"/>
      <c r="U1016" s="1258">
        <v>46058</v>
      </c>
      <c r="V1016" s="1256" t="s">
        <v>310</v>
      </c>
      <c r="W1016" s="1256">
        <v>150</v>
      </c>
      <c r="X1016" s="1256" t="s">
        <v>32</v>
      </c>
      <c r="Y1016" s="1260"/>
      <c r="Z1016" s="1260"/>
      <c r="AA1016" s="1256" t="s">
        <v>532</v>
      </c>
      <c r="AB1016" s="1256" t="s">
        <v>16</v>
      </c>
      <c r="AC1016" s="246"/>
    </row>
    <row r="1017" spans="1:31" ht="15" customHeight="1">
      <c r="A1017" s="978" t="s">
        <v>25</v>
      </c>
      <c r="B1017" s="978" t="s">
        <v>25</v>
      </c>
      <c r="C1017" s="490" t="s">
        <v>5020</v>
      </c>
      <c r="D1017" s="1260" t="s">
        <v>5021</v>
      </c>
      <c r="E1017" s="1260" t="s">
        <v>621</v>
      </c>
      <c r="F1017" s="1260">
        <v>555033547</v>
      </c>
      <c r="G1017" s="1260">
        <v>555033547</v>
      </c>
      <c r="H1017" s="1255"/>
      <c r="I1017" s="1255"/>
      <c r="J1017" s="1260" t="s">
        <v>189</v>
      </c>
      <c r="K1017" s="1255" t="s">
        <v>198</v>
      </c>
      <c r="L1017" s="1260" t="s">
        <v>1818</v>
      </c>
      <c r="M1017" s="1255" t="s">
        <v>5047</v>
      </c>
      <c r="N1017" s="1255">
        <v>2150047013</v>
      </c>
      <c r="O1017" s="1261">
        <v>46057</v>
      </c>
      <c r="P1017" s="1255"/>
      <c r="Q1017" s="1261">
        <v>46058</v>
      </c>
      <c r="R1017" s="1256" t="s">
        <v>2768</v>
      </c>
      <c r="S1017" s="1256"/>
      <c r="T1017" s="1256"/>
      <c r="U1017" s="1261">
        <v>46059</v>
      </c>
      <c r="V1017" s="1256" t="s">
        <v>310</v>
      </c>
      <c r="W1017" s="1256">
        <v>150</v>
      </c>
      <c r="X1017" s="1256" t="s">
        <v>32</v>
      </c>
      <c r="Y1017" s="1260"/>
      <c r="Z1017" s="1260"/>
      <c r="AA1017" s="1260" t="s">
        <v>1427</v>
      </c>
      <c r="AB1017" s="1260" t="s">
        <v>16</v>
      </c>
      <c r="AC1017" s="246"/>
    </row>
    <row r="1018" spans="1:31" ht="15" customHeight="1">
      <c r="A1018" s="978" t="s">
        <v>25</v>
      </c>
      <c r="B1018" s="978" t="s">
        <v>25</v>
      </c>
      <c r="C1018" s="490" t="s">
        <v>5018</v>
      </c>
      <c r="D1018" s="1260" t="s">
        <v>5019</v>
      </c>
      <c r="E1018" s="1260" t="s">
        <v>4873</v>
      </c>
      <c r="F1018" s="1260">
        <v>713233325</v>
      </c>
      <c r="G1018" s="1260">
        <v>702386654</v>
      </c>
      <c r="H1018" s="1255">
        <v>5.8433299999999999</v>
      </c>
      <c r="I1018" s="1255">
        <v>-5.3635900000000003</v>
      </c>
      <c r="J1018" s="1260" t="s">
        <v>36</v>
      </c>
      <c r="K1018" s="1255" t="s">
        <v>190</v>
      </c>
      <c r="L1018" s="1255" t="s">
        <v>545</v>
      </c>
      <c r="M1018" s="1255" t="s">
        <v>5048</v>
      </c>
      <c r="N1018" s="1255">
        <v>2150047023</v>
      </c>
      <c r="O1018" s="1261">
        <v>46056</v>
      </c>
      <c r="P1018" s="1255"/>
      <c r="Q1018" s="1261">
        <v>46057</v>
      </c>
      <c r="R1018" s="1256" t="s">
        <v>2641</v>
      </c>
      <c r="S1018" s="1256"/>
      <c r="T1018" s="1256">
        <v>0</v>
      </c>
      <c r="U1018" s="1258">
        <v>46059</v>
      </c>
      <c r="V1018" s="1256" t="s">
        <v>310</v>
      </c>
      <c r="W1018" s="1256">
        <v>150</v>
      </c>
      <c r="X1018" s="1256" t="s">
        <v>32</v>
      </c>
      <c r="Y1018" s="1260"/>
      <c r="Z1018" s="1260"/>
      <c r="AA1018" s="1256" t="s">
        <v>532</v>
      </c>
      <c r="AB1018" s="1256" t="s">
        <v>16</v>
      </c>
      <c r="AC1018" s="246"/>
    </row>
    <row r="1019" spans="1:31" ht="15" customHeight="1">
      <c r="A1019" s="978" t="s">
        <v>25</v>
      </c>
      <c r="B1019" s="978" t="s">
        <v>25</v>
      </c>
      <c r="C1019" s="490" t="s">
        <v>5008</v>
      </c>
      <c r="D1019" s="1260" t="s">
        <v>5009</v>
      </c>
      <c r="E1019" s="1260" t="s">
        <v>46</v>
      </c>
      <c r="F1019" s="1260">
        <v>758205745</v>
      </c>
      <c r="G1019" s="1260">
        <v>758796755</v>
      </c>
      <c r="H1019" s="1255">
        <v>5.8429000000000002</v>
      </c>
      <c r="I1019" s="1255">
        <v>-5.3578599999999996</v>
      </c>
      <c r="J1019" s="1260" t="s">
        <v>36</v>
      </c>
      <c r="K1019" s="1255" t="s">
        <v>190</v>
      </c>
      <c r="L1019" s="1255" t="s">
        <v>2802</v>
      </c>
      <c r="M1019" s="1255" t="s">
        <v>5049</v>
      </c>
      <c r="N1019" s="1255">
        <v>2150047027</v>
      </c>
      <c r="O1019" s="1261">
        <v>46056</v>
      </c>
      <c r="P1019" s="1255"/>
      <c r="Q1019" s="1261">
        <v>46057</v>
      </c>
      <c r="R1019" s="1256" t="s">
        <v>2641</v>
      </c>
      <c r="S1019" s="1256"/>
      <c r="T1019" s="1256">
        <v>0</v>
      </c>
      <c r="U1019" s="1261">
        <v>46059</v>
      </c>
      <c r="V1019" s="1256" t="s">
        <v>310</v>
      </c>
      <c r="W1019" s="1256">
        <v>350</v>
      </c>
      <c r="X1019" s="1256" t="s">
        <v>32</v>
      </c>
      <c r="Y1019" s="1260"/>
      <c r="Z1019" s="1260"/>
      <c r="AA1019" s="1260" t="s">
        <v>1427</v>
      </c>
      <c r="AB1019" s="1260" t="s">
        <v>16</v>
      </c>
      <c r="AC1019" s="246"/>
    </row>
    <row r="1020" spans="1:31" ht="15" customHeight="1">
      <c r="A1020" s="978" t="s">
        <v>25</v>
      </c>
      <c r="B1020" s="978" t="s">
        <v>25</v>
      </c>
      <c r="C1020" s="490" t="s">
        <v>5016</v>
      </c>
      <c r="D1020" s="1260" t="s">
        <v>5017</v>
      </c>
      <c r="E1020" s="1260" t="s">
        <v>2433</v>
      </c>
      <c r="F1020" s="1260">
        <v>75320295</v>
      </c>
      <c r="G1020" s="1260">
        <v>747292451</v>
      </c>
      <c r="H1020" s="1255"/>
      <c r="I1020" s="1255"/>
      <c r="J1020" s="1260" t="s">
        <v>5050</v>
      </c>
      <c r="K1020" s="1260" t="s">
        <v>5042</v>
      </c>
      <c r="L1020" s="1260" t="s">
        <v>450</v>
      </c>
      <c r="M1020" s="1260" t="s">
        <v>5051</v>
      </c>
      <c r="N1020" s="1260">
        <v>2150046610</v>
      </c>
      <c r="O1020" s="1261">
        <v>46056</v>
      </c>
      <c r="P1020" s="1255"/>
      <c r="Q1020" s="1261">
        <v>46057</v>
      </c>
      <c r="R1020" s="1256" t="s">
        <v>2768</v>
      </c>
      <c r="S1020" s="1256"/>
      <c r="T1020" s="1256"/>
      <c r="U1020" s="997">
        <v>46062</v>
      </c>
      <c r="V1020" s="1256" t="s">
        <v>310</v>
      </c>
      <c r="W1020" s="1256">
        <v>150</v>
      </c>
      <c r="X1020" s="1256" t="s">
        <v>32</v>
      </c>
      <c r="Y1020" s="1260"/>
      <c r="Z1020" s="1260"/>
      <c r="AA1020" s="1256" t="s">
        <v>532</v>
      </c>
      <c r="AB1020" s="1256" t="s">
        <v>16</v>
      </c>
      <c r="AC1020" s="246"/>
    </row>
    <row r="1021" spans="1:31" s="634" customFormat="1" ht="15" customHeight="1">
      <c r="A1021" s="1260" t="s">
        <v>25</v>
      </c>
      <c r="B1021" s="1260" t="s">
        <v>25</v>
      </c>
      <c r="C1021" s="246" t="s">
        <v>4863</v>
      </c>
      <c r="D1021" s="246" t="s">
        <v>3328</v>
      </c>
      <c r="E1021" s="246" t="s">
        <v>4864</v>
      </c>
      <c r="F1021" s="246">
        <v>555119505</v>
      </c>
      <c r="G1021" s="246">
        <v>757804430</v>
      </c>
      <c r="H1021" s="978">
        <v>5.8170999999999999</v>
      </c>
      <c r="I1021" s="978">
        <v>-5.3621100000000004</v>
      </c>
      <c r="J1021" s="246" t="s">
        <v>2612</v>
      </c>
      <c r="K1021" s="978" t="s">
        <v>190</v>
      </c>
      <c r="L1021" s="978" t="s">
        <v>3300</v>
      </c>
      <c r="M1021" s="978" t="s">
        <v>4885</v>
      </c>
      <c r="N1021" s="978">
        <v>2150047035</v>
      </c>
      <c r="O1021" s="251">
        <v>46038</v>
      </c>
      <c r="P1021" s="978"/>
      <c r="Q1021" s="251">
        <v>46039</v>
      </c>
      <c r="R1021" s="1256" t="s">
        <v>2641</v>
      </c>
      <c r="S1021" s="1256"/>
      <c r="T1021" s="1256">
        <v>0</v>
      </c>
      <c r="U1021" s="1261">
        <v>46041</v>
      </c>
      <c r="V1021" s="1256" t="s">
        <v>310</v>
      </c>
      <c r="W1021" s="1256">
        <v>300</v>
      </c>
      <c r="X1021" s="1265" t="s">
        <v>32</v>
      </c>
      <c r="Y1021" s="978"/>
      <c r="Z1021" s="978"/>
      <c r="AA1021" s="1256" t="s">
        <v>532</v>
      </c>
      <c r="AB1021" s="1256" t="s">
        <v>16</v>
      </c>
      <c r="AC1021" s="978" t="s">
        <v>4869</v>
      </c>
      <c r="AD1021" s="1032"/>
      <c r="AE1021" s="1260" t="e">
        <f>+COUNTIF([1]Feuil1!A:A,C1021)</f>
        <v>#VALUE!</v>
      </c>
    </row>
    <row r="1022" spans="1:31" s="634" customFormat="1" ht="15" customHeight="1" thickBot="1">
      <c r="A1022" s="94" t="s">
        <v>25</v>
      </c>
      <c r="B1022" s="94" t="s">
        <v>25</v>
      </c>
      <c r="C1022" s="2" t="s">
        <v>5053</v>
      </c>
      <c r="D1022" s="2" t="s">
        <v>5054</v>
      </c>
      <c r="E1022" s="2" t="s">
        <v>5055</v>
      </c>
      <c r="F1022" s="2">
        <v>758871155</v>
      </c>
      <c r="G1022" s="2">
        <v>758871155</v>
      </c>
      <c r="H1022" s="1">
        <v>5.8388400000000003</v>
      </c>
      <c r="I1022" s="1">
        <v>-5.3505799999999999</v>
      </c>
      <c r="J1022" s="94" t="s">
        <v>189</v>
      </c>
      <c r="K1022" s="1" t="s">
        <v>190</v>
      </c>
      <c r="L1022" s="1" t="s">
        <v>1519</v>
      </c>
      <c r="M1022" s="1" t="s">
        <v>5063</v>
      </c>
      <c r="N1022" s="1">
        <v>2150046723</v>
      </c>
      <c r="O1022" s="309">
        <v>46062</v>
      </c>
      <c r="P1022" s="1"/>
      <c r="Q1022" s="309">
        <v>46064</v>
      </c>
      <c r="R1022" s="94" t="s">
        <v>2641</v>
      </c>
      <c r="S1022" s="94"/>
      <c r="T1022" s="94">
        <v>0</v>
      </c>
      <c r="U1022" s="8">
        <v>46064</v>
      </c>
      <c r="V1022" s="94" t="s">
        <v>310</v>
      </c>
      <c r="W1022" s="94">
        <v>250</v>
      </c>
      <c r="X1022" s="94" t="s">
        <v>32</v>
      </c>
      <c r="Y1022" s="1"/>
      <c r="Z1022" s="1"/>
      <c r="AA1022" s="1" t="s">
        <v>1427</v>
      </c>
      <c r="AB1022" s="1" t="s">
        <v>16</v>
      </c>
      <c r="AC1022" s="1" t="s">
        <v>5062</v>
      </c>
      <c r="AD1022" s="1032"/>
      <c r="AE1022" s="978"/>
    </row>
    <row r="1023" spans="1:31" s="2279" customFormat="1" ht="15" customHeight="1" thickBot="1">
      <c r="A1023" s="931" t="s">
        <v>25</v>
      </c>
      <c r="B1023" s="931" t="s">
        <v>25</v>
      </c>
      <c r="C1023" s="2284" t="s">
        <v>4654</v>
      </c>
      <c r="D1023" s="2284" t="s">
        <v>4655</v>
      </c>
      <c r="E1023" s="2284" t="s">
        <v>4656</v>
      </c>
      <c r="F1023" s="2284">
        <v>555050505</v>
      </c>
      <c r="G1023" s="2284">
        <v>555050505</v>
      </c>
      <c r="H1023" s="2286">
        <v>5.8383200000000004</v>
      </c>
      <c r="I1023" s="2286">
        <v>-5.3535399999999997</v>
      </c>
      <c r="J1023" s="2284" t="s">
        <v>189</v>
      </c>
      <c r="K1023" s="2286" t="s">
        <v>190</v>
      </c>
      <c r="L1023" s="2286" t="s">
        <v>3745</v>
      </c>
      <c r="M1023" s="2286" t="s">
        <v>5069</v>
      </c>
      <c r="N1023" s="2286">
        <v>2150046726</v>
      </c>
      <c r="O1023" s="2287">
        <v>46017</v>
      </c>
      <c r="P1023" s="2286"/>
      <c r="Q1023" s="2287">
        <v>46018</v>
      </c>
      <c r="R1023" s="2286" t="s">
        <v>273</v>
      </c>
      <c r="S1023" s="2286"/>
      <c r="T1023" s="2286">
        <v>1</v>
      </c>
      <c r="U1023" s="2288">
        <v>46065</v>
      </c>
      <c r="V1023" s="931" t="s">
        <v>310</v>
      </c>
      <c r="W1023" s="2286">
        <v>450</v>
      </c>
      <c r="X1023" s="931" t="s">
        <v>32</v>
      </c>
      <c r="Y1023" s="1042"/>
      <c r="Z1023" s="1042"/>
      <c r="AA1023" s="2286" t="s">
        <v>532</v>
      </c>
      <c r="AB1023" s="2286" t="s">
        <v>16</v>
      </c>
      <c r="AC1023" s="2286" t="s">
        <v>4679</v>
      </c>
      <c r="AD1023" s="1051"/>
      <c r="AE1023" s="2283" t="e">
        <f>+COUNTIF([1]Feuil1!A:A,C1023)</f>
        <v>#VALUE!</v>
      </c>
    </row>
    <row r="1024" spans="1:31" s="2279" customFormat="1" ht="15" customHeight="1" thickBot="1">
      <c r="A1024" s="931" t="s">
        <v>25</v>
      </c>
      <c r="B1024" s="931" t="s">
        <v>25</v>
      </c>
      <c r="C1024" s="2284" t="s">
        <v>4409</v>
      </c>
      <c r="D1024" s="2284" t="s">
        <v>4410</v>
      </c>
      <c r="E1024" s="2284" t="s">
        <v>4411</v>
      </c>
      <c r="F1024" s="2284">
        <v>708909296</v>
      </c>
      <c r="G1024" s="2284">
        <v>749379634</v>
      </c>
      <c r="H1024" s="2286">
        <v>5.8141100000000003</v>
      </c>
      <c r="I1024" s="2286">
        <v>-5.3644400000000001</v>
      </c>
      <c r="J1024" s="2284" t="s">
        <v>2612</v>
      </c>
      <c r="K1024" s="2286" t="s">
        <v>198</v>
      </c>
      <c r="L1024" s="2286" t="s">
        <v>5073</v>
      </c>
      <c r="M1024" s="2286" t="s">
        <v>5070</v>
      </c>
      <c r="N1024" s="2286">
        <v>2150047022</v>
      </c>
      <c r="O1024" s="2287">
        <v>45997</v>
      </c>
      <c r="P1024" s="2286"/>
      <c r="Q1024" s="2287">
        <v>45999</v>
      </c>
      <c r="R1024" s="931" t="s">
        <v>273</v>
      </c>
      <c r="S1024" s="931"/>
      <c r="T1024" s="931">
        <v>6</v>
      </c>
      <c r="U1024" s="2288">
        <v>46065</v>
      </c>
      <c r="V1024" s="931" t="s">
        <v>310</v>
      </c>
      <c r="W1024" s="931">
        <v>400</v>
      </c>
      <c r="X1024" s="931" t="s">
        <v>32</v>
      </c>
      <c r="Y1024" s="1042"/>
      <c r="Z1024" s="1042"/>
      <c r="AA1024" s="2286" t="s">
        <v>532</v>
      </c>
      <c r="AB1024" s="2286" t="s">
        <v>16</v>
      </c>
      <c r="AC1024" s="2286" t="s">
        <v>4422</v>
      </c>
      <c r="AD1024" s="1051"/>
      <c r="AE1024" s="2283"/>
    </row>
    <row r="1025" spans="1:31" s="2279" customFormat="1" ht="15" customHeight="1" thickBot="1">
      <c r="A1025" s="2286" t="s">
        <v>25</v>
      </c>
      <c r="B1025" s="2286" t="s">
        <v>25</v>
      </c>
      <c r="C1025" s="2285" t="s">
        <v>5030</v>
      </c>
      <c r="D1025" s="2285" t="s">
        <v>5031</v>
      </c>
      <c r="E1025" s="2285" t="s">
        <v>5032</v>
      </c>
      <c r="F1025" s="2285">
        <v>778439093</v>
      </c>
      <c r="G1025" s="2285">
        <v>778439093</v>
      </c>
      <c r="H1025" s="2286">
        <v>5.8296999999999999</v>
      </c>
      <c r="I1025" s="2286">
        <v>-5.3575600000000003</v>
      </c>
      <c r="J1025" s="2285" t="s">
        <v>4036</v>
      </c>
      <c r="K1025" s="2286" t="s">
        <v>203</v>
      </c>
      <c r="L1025" s="2286" t="s">
        <v>5067</v>
      </c>
      <c r="M1025" s="2286" t="s">
        <v>5071</v>
      </c>
      <c r="N1025" s="2286">
        <v>2150046718</v>
      </c>
      <c r="O1025" s="2289">
        <v>46062</v>
      </c>
      <c r="P1025" s="2286"/>
      <c r="Q1025" s="2289">
        <v>46063</v>
      </c>
      <c r="R1025" s="931" t="s">
        <v>2641</v>
      </c>
      <c r="S1025" s="931"/>
      <c r="T1025" s="931">
        <v>1</v>
      </c>
      <c r="U1025" s="2288">
        <v>46065</v>
      </c>
      <c r="V1025" s="931" t="s">
        <v>310</v>
      </c>
      <c r="W1025" s="931">
        <v>250</v>
      </c>
      <c r="X1025" s="931" t="s">
        <v>32</v>
      </c>
      <c r="Y1025" s="1042"/>
      <c r="Z1025" s="1042"/>
      <c r="AA1025" s="2286" t="s">
        <v>532</v>
      </c>
      <c r="AB1025" s="2286" t="s">
        <v>16</v>
      </c>
      <c r="AC1025" s="2286" t="s">
        <v>5068</v>
      </c>
      <c r="AD1025" s="1051"/>
      <c r="AE1025" s="2283"/>
    </row>
    <row r="1026" spans="1:31" s="2279" customFormat="1" ht="15" customHeight="1" thickBot="1">
      <c r="A1026" s="931" t="s">
        <v>25</v>
      </c>
      <c r="B1026" s="931" t="s">
        <v>25</v>
      </c>
      <c r="C1026" s="2285" t="s">
        <v>5059</v>
      </c>
      <c r="D1026" s="2285" t="s">
        <v>5060</v>
      </c>
      <c r="E1026" s="2285" t="s">
        <v>5061</v>
      </c>
      <c r="F1026" s="2285">
        <v>102872598</v>
      </c>
      <c r="G1026" s="2285">
        <v>700851376</v>
      </c>
      <c r="H1026" s="2286">
        <v>5.82104</v>
      </c>
      <c r="I1026" s="2286">
        <v>-5.3686499999999997</v>
      </c>
      <c r="J1026" s="931" t="s">
        <v>2612</v>
      </c>
      <c r="K1026" s="2286" t="s">
        <v>190</v>
      </c>
      <c r="L1026" s="2286" t="s">
        <v>3765</v>
      </c>
      <c r="M1026" s="2286" t="s">
        <v>5072</v>
      </c>
      <c r="N1026" s="2286">
        <v>2150046719</v>
      </c>
      <c r="O1026" s="2289">
        <v>46062</v>
      </c>
      <c r="P1026" s="2286"/>
      <c r="Q1026" s="2289">
        <v>46064</v>
      </c>
      <c r="R1026" s="931" t="s">
        <v>2641</v>
      </c>
      <c r="S1026" s="931"/>
      <c r="T1026" s="931">
        <v>1</v>
      </c>
      <c r="U1026" s="2288">
        <v>46065</v>
      </c>
      <c r="V1026" s="931" t="s">
        <v>310</v>
      </c>
      <c r="W1026" s="931">
        <v>200</v>
      </c>
      <c r="X1026" s="931" t="s">
        <v>32</v>
      </c>
      <c r="Y1026" s="1042"/>
      <c r="Z1026" s="1042"/>
      <c r="AA1026" s="2286" t="s">
        <v>532</v>
      </c>
      <c r="AB1026" s="2286" t="s">
        <v>16</v>
      </c>
      <c r="AC1026" s="2286" t="s">
        <v>5066</v>
      </c>
      <c r="AD1026" s="1051"/>
      <c r="AE1026" s="1051"/>
    </row>
    <row r="1027" spans="1:31" s="2279" customFormat="1" ht="15" customHeight="1" thickBot="1">
      <c r="A1027" s="94" t="s">
        <v>25</v>
      </c>
      <c r="B1027" s="94" t="s">
        <v>25</v>
      </c>
      <c r="C1027" s="94" t="s">
        <v>3944</v>
      </c>
      <c r="D1027" s="94" t="s">
        <v>3945</v>
      </c>
      <c r="E1027" s="94" t="s">
        <v>3946</v>
      </c>
      <c r="F1027" s="94">
        <v>140474980</v>
      </c>
      <c r="G1027" s="94">
        <v>747493676</v>
      </c>
      <c r="H1027" s="1">
        <v>5.8303399999999996</v>
      </c>
      <c r="I1027" s="1">
        <v>-3.3648099999999999</v>
      </c>
      <c r="J1027" s="94" t="s">
        <v>2612</v>
      </c>
      <c r="K1027" s="1" t="s">
        <v>274</v>
      </c>
      <c r="L1027" s="1" t="s">
        <v>4997</v>
      </c>
      <c r="M1027" s="1" t="s">
        <v>5084</v>
      </c>
      <c r="N1027" s="1">
        <v>2150046730</v>
      </c>
      <c r="O1027" s="95">
        <v>45968</v>
      </c>
      <c r="P1027" s="1">
        <v>27</v>
      </c>
      <c r="Q1027" s="95">
        <v>45969</v>
      </c>
      <c r="R1027" s="94" t="s">
        <v>273</v>
      </c>
      <c r="S1027" s="94"/>
      <c r="T1027" s="94">
        <v>0</v>
      </c>
      <c r="U1027" s="8">
        <v>46067</v>
      </c>
      <c r="V1027" s="94" t="s">
        <v>310</v>
      </c>
      <c r="W1027" s="94">
        <v>350</v>
      </c>
      <c r="X1027" s="94" t="s">
        <v>32</v>
      </c>
      <c r="Y1027" s="1247"/>
      <c r="Z1027" s="1247"/>
      <c r="AA1027" s="94" t="s">
        <v>532</v>
      </c>
      <c r="AB1027" s="94" t="s">
        <v>16</v>
      </c>
      <c r="AC1027" s="1345" t="s">
        <v>5080</v>
      </c>
      <c r="AD1027" s="2291"/>
      <c r="AE1027" s="2283" t="e">
        <f>+COUNTIF([1]Feuil1!A:A,C1027)</f>
        <v>#VALUE!</v>
      </c>
    </row>
    <row r="1028" spans="1:31" s="2279" customFormat="1" ht="15" customHeight="1" thickBot="1">
      <c r="A1028" s="94" t="s">
        <v>25</v>
      </c>
      <c r="B1028" s="94" t="s">
        <v>25</v>
      </c>
      <c r="C1028" s="2315" t="s">
        <v>5056</v>
      </c>
      <c r="D1028" s="2315" t="s">
        <v>5057</v>
      </c>
      <c r="E1028" s="2315" t="s">
        <v>5058</v>
      </c>
      <c r="F1028" s="2315">
        <v>152295174</v>
      </c>
      <c r="G1028" s="2315">
        <v>564108455</v>
      </c>
      <c r="H1028" s="1">
        <v>5.8458199999999998</v>
      </c>
      <c r="I1028" s="1">
        <v>-5.3602699999999999</v>
      </c>
      <c r="J1028" s="94" t="s">
        <v>36</v>
      </c>
      <c r="K1028" s="1" t="s">
        <v>190</v>
      </c>
      <c r="L1028" s="1" t="s">
        <v>3128</v>
      </c>
      <c r="M1028" s="1" t="s">
        <v>5083</v>
      </c>
      <c r="N1028" s="1">
        <v>2150046717</v>
      </c>
      <c r="O1028" s="2316">
        <v>46062</v>
      </c>
      <c r="P1028" s="1"/>
      <c r="Q1028" s="2316">
        <v>46064</v>
      </c>
      <c r="R1028" s="94" t="s">
        <v>2641</v>
      </c>
      <c r="S1028" s="94"/>
      <c r="T1028" s="94">
        <v>3</v>
      </c>
      <c r="U1028" s="8">
        <v>46067</v>
      </c>
      <c r="V1028" s="94" t="s">
        <v>310</v>
      </c>
      <c r="W1028" s="94">
        <v>350</v>
      </c>
      <c r="X1028" s="94" t="s">
        <v>32</v>
      </c>
      <c r="Y1028" s="1247"/>
      <c r="Z1028" s="1247"/>
      <c r="AA1028" s="1" t="s">
        <v>532</v>
      </c>
      <c r="AB1028" s="1" t="s">
        <v>16</v>
      </c>
      <c r="AC1028" s="1" t="s">
        <v>5065</v>
      </c>
      <c r="AD1028" s="1052"/>
      <c r="AE1028" s="1051"/>
    </row>
  </sheetData>
  <autoFilter ref="A1:Y985" xr:uid="{00000000-0001-0000-0100-000000000000}">
    <filterColumn colId="9">
      <filters>
        <filter val="DD01"/>
        <filter val="DD02"/>
        <filter val="DDI01"/>
        <filter val="DDI02"/>
      </filters>
    </filterColumn>
    <sortState xmlns:xlrd2="http://schemas.microsoft.com/office/spreadsheetml/2017/richdata2" ref="A2:Y947">
      <sortCondition ref="U1:U947"/>
    </sortState>
  </autoFilter>
  <conditionalFormatting sqref="C1:C601 C603:C694 C1029:C1048576">
    <cfRule type="duplicateValues" dxfId="993" priority="1008"/>
  </conditionalFormatting>
  <conditionalFormatting sqref="C1:C601 C603:C751 C1029:C1048576">
    <cfRule type="duplicateValues" dxfId="992" priority="981"/>
  </conditionalFormatting>
  <conditionalFormatting sqref="C1:C601 C603:C756 C1029:C1048576">
    <cfRule type="duplicateValues" dxfId="991" priority="974"/>
  </conditionalFormatting>
  <conditionalFormatting sqref="C1:C793 C1029:C1048576">
    <cfRule type="duplicateValues" dxfId="990" priority="855"/>
  </conditionalFormatting>
  <conditionalFormatting sqref="C1:C937 C1029:C1048576">
    <cfRule type="duplicateValues" dxfId="989" priority="371"/>
  </conditionalFormatting>
  <conditionalFormatting sqref="C1:C982 C1029:C1048576">
    <cfRule type="duplicateValues" dxfId="988" priority="137"/>
  </conditionalFormatting>
  <conditionalFormatting sqref="C424">
    <cfRule type="duplicateValues" dxfId="987" priority="1088"/>
    <cfRule type="duplicateValues" dxfId="986" priority="1087"/>
  </conditionalFormatting>
  <conditionalFormatting sqref="C433">
    <cfRule type="duplicateValues" dxfId="985" priority="1105"/>
  </conditionalFormatting>
  <conditionalFormatting sqref="C439">
    <cfRule type="duplicateValues" dxfId="984" priority="1090"/>
    <cfRule type="duplicateValues" dxfId="983" priority="1089"/>
  </conditionalFormatting>
  <conditionalFormatting sqref="C479">
    <cfRule type="duplicateValues" dxfId="982" priority="1109"/>
  </conditionalFormatting>
  <conditionalFormatting sqref="C480">
    <cfRule type="duplicateValues" dxfId="981" priority="1108"/>
  </conditionalFormatting>
  <conditionalFormatting sqref="C481">
    <cfRule type="duplicateValues" dxfId="980" priority="1107"/>
  </conditionalFormatting>
  <conditionalFormatting sqref="C482">
    <cfRule type="duplicateValues" dxfId="979" priority="1106"/>
  </conditionalFormatting>
  <conditionalFormatting sqref="C483:C484">
    <cfRule type="duplicateValues" dxfId="978" priority="1104"/>
  </conditionalFormatting>
  <conditionalFormatting sqref="C485">
    <cfRule type="duplicateValues" dxfId="977" priority="1103"/>
  </conditionalFormatting>
  <conditionalFormatting sqref="C486">
    <cfRule type="duplicateValues" dxfId="976" priority="1102"/>
  </conditionalFormatting>
  <conditionalFormatting sqref="C487">
    <cfRule type="duplicateValues" dxfId="975" priority="1101"/>
  </conditionalFormatting>
  <conditionalFormatting sqref="C488">
    <cfRule type="duplicateValues" dxfId="974" priority="1100"/>
  </conditionalFormatting>
  <conditionalFormatting sqref="C489">
    <cfRule type="duplicateValues" dxfId="973" priority="1099"/>
  </conditionalFormatting>
  <conditionalFormatting sqref="C490">
    <cfRule type="duplicateValues" dxfId="972" priority="1098"/>
  </conditionalFormatting>
  <conditionalFormatting sqref="C491">
    <cfRule type="duplicateValues" dxfId="971" priority="1097"/>
  </conditionalFormatting>
  <conditionalFormatting sqref="C492">
    <cfRule type="duplicateValues" dxfId="970" priority="1096"/>
    <cfRule type="duplicateValues" dxfId="969" priority="1095"/>
  </conditionalFormatting>
  <conditionalFormatting sqref="C493">
    <cfRule type="duplicateValues" dxfId="968" priority="1094"/>
    <cfRule type="duplicateValues" dxfId="967" priority="1093"/>
  </conditionalFormatting>
  <conditionalFormatting sqref="C494">
    <cfRule type="duplicateValues" dxfId="966" priority="1092"/>
    <cfRule type="duplicateValues" dxfId="965" priority="1091"/>
  </conditionalFormatting>
  <conditionalFormatting sqref="C495:C496">
    <cfRule type="duplicateValues" dxfId="964" priority="1086"/>
    <cfRule type="duplicateValues" dxfId="963" priority="1085"/>
  </conditionalFormatting>
  <conditionalFormatting sqref="C497">
    <cfRule type="duplicateValues" dxfId="962" priority="1084"/>
    <cfRule type="duplicateValues" dxfId="961" priority="1083"/>
  </conditionalFormatting>
  <conditionalFormatting sqref="C498:C500">
    <cfRule type="duplicateValues" dxfId="960" priority="1082"/>
    <cfRule type="duplicateValues" dxfId="959" priority="1081"/>
  </conditionalFormatting>
  <conditionalFormatting sqref="C501:C505">
    <cfRule type="duplicateValues" dxfId="958" priority="1080"/>
    <cfRule type="duplicateValues" dxfId="957" priority="1079"/>
  </conditionalFormatting>
  <conditionalFormatting sqref="C506:C508">
    <cfRule type="duplicateValues" dxfId="956" priority="1078"/>
    <cfRule type="duplicateValues" dxfId="955" priority="1077"/>
  </conditionalFormatting>
  <conditionalFormatting sqref="C509:C511">
    <cfRule type="duplicateValues" dxfId="954" priority="1076"/>
    <cfRule type="duplicateValues" dxfId="953" priority="1075"/>
  </conditionalFormatting>
  <conditionalFormatting sqref="C512:C514 C516">
    <cfRule type="duplicateValues" dxfId="952" priority="1073"/>
    <cfRule type="duplicateValues" dxfId="951" priority="1074"/>
  </conditionalFormatting>
  <conditionalFormatting sqref="C515">
    <cfRule type="duplicateValues" dxfId="950" priority="1066"/>
    <cfRule type="duplicateValues" dxfId="949" priority="1065"/>
  </conditionalFormatting>
  <conditionalFormatting sqref="C517">
    <cfRule type="duplicateValues" dxfId="948" priority="1072"/>
    <cfRule type="duplicateValues" dxfId="947" priority="1071"/>
  </conditionalFormatting>
  <conditionalFormatting sqref="C518:C521">
    <cfRule type="duplicateValues" dxfId="946" priority="1069"/>
    <cfRule type="duplicateValues" dxfId="945" priority="1070"/>
  </conditionalFormatting>
  <conditionalFormatting sqref="C522:C525">
    <cfRule type="duplicateValues" dxfId="944" priority="1067"/>
    <cfRule type="duplicateValues" dxfId="943" priority="1068"/>
  </conditionalFormatting>
  <conditionalFormatting sqref="C526:C530">
    <cfRule type="duplicateValues" dxfId="942" priority="1063"/>
    <cfRule type="duplicateValues" dxfId="941" priority="1064"/>
  </conditionalFormatting>
  <conditionalFormatting sqref="C531:C540">
    <cfRule type="duplicateValues" dxfId="940" priority="1062"/>
    <cfRule type="duplicateValues" dxfId="939" priority="1061"/>
  </conditionalFormatting>
  <conditionalFormatting sqref="C541:C545">
    <cfRule type="duplicateValues" dxfId="938" priority="1060"/>
    <cfRule type="duplicateValues" dxfId="937" priority="1059"/>
  </conditionalFormatting>
  <conditionalFormatting sqref="C546:C552">
    <cfRule type="duplicateValues" dxfId="936" priority="1058"/>
    <cfRule type="duplicateValues" dxfId="935" priority="1057"/>
  </conditionalFormatting>
  <conditionalFormatting sqref="C553">
    <cfRule type="duplicateValues" dxfId="934" priority="1055"/>
    <cfRule type="duplicateValues" dxfId="933" priority="1056"/>
  </conditionalFormatting>
  <conditionalFormatting sqref="C554">
    <cfRule type="duplicateValues" dxfId="932" priority="1054"/>
    <cfRule type="duplicateValues" dxfId="931" priority="1053"/>
  </conditionalFormatting>
  <conditionalFormatting sqref="C555">
    <cfRule type="duplicateValues" dxfId="930" priority="1051"/>
    <cfRule type="duplicateValues" dxfId="929" priority="1052"/>
  </conditionalFormatting>
  <conditionalFormatting sqref="C556:C557">
    <cfRule type="duplicateValues" dxfId="928" priority="1050"/>
    <cfRule type="duplicateValues" dxfId="927" priority="1049"/>
  </conditionalFormatting>
  <conditionalFormatting sqref="C559">
    <cfRule type="duplicateValues" dxfId="926" priority="1047"/>
    <cfRule type="duplicateValues" dxfId="925" priority="1048"/>
  </conditionalFormatting>
  <conditionalFormatting sqref="C560:C563">
    <cfRule type="duplicateValues" dxfId="924" priority="1113"/>
    <cfRule type="duplicateValues" dxfId="923" priority="1112"/>
  </conditionalFormatting>
  <conditionalFormatting sqref="C564:C567">
    <cfRule type="duplicateValues" dxfId="922" priority="1111"/>
    <cfRule type="duplicateValues" dxfId="921" priority="1110"/>
  </conditionalFormatting>
  <conditionalFormatting sqref="C568">
    <cfRule type="duplicateValues" dxfId="920" priority="1042"/>
    <cfRule type="duplicateValues" dxfId="919" priority="1041"/>
  </conditionalFormatting>
  <conditionalFormatting sqref="C569">
    <cfRule type="duplicateValues" dxfId="918" priority="1040"/>
    <cfRule type="duplicateValues" dxfId="917" priority="1039"/>
  </conditionalFormatting>
  <conditionalFormatting sqref="C570:C572">
    <cfRule type="duplicateValues" dxfId="916" priority="1038"/>
    <cfRule type="duplicateValues" dxfId="915" priority="1037"/>
  </conditionalFormatting>
  <conditionalFormatting sqref="C573:C577">
    <cfRule type="duplicateValues" dxfId="914" priority="1035"/>
    <cfRule type="duplicateValues" dxfId="913" priority="1036"/>
  </conditionalFormatting>
  <conditionalFormatting sqref="C578:C579">
    <cfRule type="duplicateValues" dxfId="912" priority="1034"/>
    <cfRule type="duplicateValues" dxfId="911" priority="1033"/>
  </conditionalFormatting>
  <conditionalFormatting sqref="C580">
    <cfRule type="duplicateValues" dxfId="910" priority="1032"/>
    <cfRule type="duplicateValues" dxfId="909" priority="1031"/>
  </conditionalFormatting>
  <conditionalFormatting sqref="C581:C584">
    <cfRule type="duplicateValues" dxfId="908" priority="1030"/>
    <cfRule type="duplicateValues" dxfId="907" priority="1029"/>
  </conditionalFormatting>
  <conditionalFormatting sqref="C585:C587">
    <cfRule type="duplicateValues" dxfId="906" priority="1028"/>
    <cfRule type="duplicateValues" dxfId="905" priority="1027"/>
  </conditionalFormatting>
  <conditionalFormatting sqref="C588:C589">
    <cfRule type="duplicateValues" dxfId="904" priority="1026"/>
    <cfRule type="duplicateValues" dxfId="903" priority="1025"/>
  </conditionalFormatting>
  <conditionalFormatting sqref="C590:C591">
    <cfRule type="duplicateValues" dxfId="902" priority="1023"/>
    <cfRule type="duplicateValues" dxfId="901" priority="1024"/>
  </conditionalFormatting>
  <conditionalFormatting sqref="C592:C593">
    <cfRule type="duplicateValues" dxfId="900" priority="1021"/>
    <cfRule type="duplicateValues" dxfId="899" priority="1022"/>
  </conditionalFormatting>
  <conditionalFormatting sqref="C594">
    <cfRule type="duplicateValues" dxfId="898" priority="1020"/>
    <cfRule type="duplicateValues" dxfId="897" priority="1019"/>
  </conditionalFormatting>
  <conditionalFormatting sqref="C595:C596">
    <cfRule type="duplicateValues" dxfId="896" priority="1018"/>
    <cfRule type="duplicateValues" dxfId="895" priority="1017"/>
  </conditionalFormatting>
  <conditionalFormatting sqref="C597:C599">
    <cfRule type="duplicateValues" dxfId="894" priority="1015"/>
    <cfRule type="duplicateValues" dxfId="893" priority="1016"/>
  </conditionalFormatting>
  <conditionalFormatting sqref="C600:C601 C603:C604">
    <cfRule type="duplicateValues" dxfId="892" priority="1013"/>
    <cfRule type="duplicateValues" dxfId="891" priority="1014"/>
  </conditionalFormatting>
  <conditionalFormatting sqref="C605">
    <cfRule type="duplicateValues" dxfId="890" priority="1011"/>
    <cfRule type="duplicateValues" dxfId="889" priority="1012"/>
  </conditionalFormatting>
  <conditionalFormatting sqref="C606">
    <cfRule type="duplicateValues" dxfId="888" priority="1009"/>
    <cfRule type="duplicateValues" dxfId="887" priority="1010"/>
  </conditionalFormatting>
  <conditionalFormatting sqref="C695:C702">
    <cfRule type="duplicateValues" dxfId="886" priority="1007"/>
  </conditionalFormatting>
  <conditionalFormatting sqref="C709:C716">
    <cfRule type="duplicateValues" dxfId="885" priority="1005"/>
    <cfRule type="duplicateValues" dxfId="884" priority="1006"/>
  </conditionalFormatting>
  <conditionalFormatting sqref="C717:C724">
    <cfRule type="duplicateValues" dxfId="883" priority="1003"/>
    <cfRule type="duplicateValues" dxfId="882" priority="1004"/>
  </conditionalFormatting>
  <conditionalFormatting sqref="C733:C741">
    <cfRule type="duplicateValues" dxfId="881" priority="999"/>
    <cfRule type="duplicateValues" dxfId="880" priority="1000"/>
    <cfRule type="duplicateValues" dxfId="879" priority="1001"/>
    <cfRule type="duplicateValues" dxfId="878" priority="1002"/>
  </conditionalFormatting>
  <conditionalFormatting sqref="C742:C747">
    <cfRule type="duplicateValues" dxfId="877" priority="995"/>
    <cfRule type="duplicateValues" dxfId="876" priority="998"/>
    <cfRule type="duplicateValues" dxfId="875" priority="997"/>
    <cfRule type="duplicateValues" dxfId="874" priority="996"/>
  </conditionalFormatting>
  <conditionalFormatting sqref="C748:C749">
    <cfRule type="duplicateValues" dxfId="873" priority="994"/>
    <cfRule type="duplicateValues" dxfId="872" priority="993"/>
    <cfRule type="duplicateValues" dxfId="871" priority="992"/>
    <cfRule type="duplicateValues" dxfId="870" priority="991"/>
  </conditionalFormatting>
  <conditionalFormatting sqref="C750:C751">
    <cfRule type="duplicateValues" dxfId="869" priority="989"/>
    <cfRule type="duplicateValues" dxfId="868" priority="987"/>
    <cfRule type="duplicateValues" dxfId="867" priority="990"/>
    <cfRule type="duplicateValues" dxfId="866" priority="988"/>
  </conditionalFormatting>
  <conditionalFormatting sqref="C752:C756">
    <cfRule type="duplicateValues" dxfId="865" priority="980"/>
    <cfRule type="duplicateValues" dxfId="864" priority="978"/>
    <cfRule type="duplicateValues" dxfId="863" priority="977"/>
    <cfRule type="duplicateValues" dxfId="862" priority="979"/>
  </conditionalFormatting>
  <conditionalFormatting sqref="C757:C760">
    <cfRule type="duplicateValues" dxfId="861" priority="972"/>
    <cfRule type="duplicateValues" dxfId="860" priority="971"/>
    <cfRule type="duplicateValues" dxfId="859" priority="970"/>
    <cfRule type="duplicateValues" dxfId="858" priority="973"/>
  </conditionalFormatting>
  <conditionalFormatting sqref="C761">
    <cfRule type="duplicateValues" dxfId="857" priority="969"/>
    <cfRule type="duplicateValues" dxfId="856" priority="968"/>
    <cfRule type="duplicateValues" dxfId="855" priority="967"/>
    <cfRule type="duplicateValues" dxfId="854" priority="966"/>
    <cfRule type="duplicateValues" dxfId="853" priority="965"/>
    <cfRule type="duplicateValues" dxfId="852" priority="964"/>
  </conditionalFormatting>
  <conditionalFormatting sqref="C762:C766">
    <cfRule type="duplicateValues" dxfId="851" priority="961"/>
    <cfRule type="duplicateValues" dxfId="850" priority="960"/>
    <cfRule type="duplicateValues" dxfId="849" priority="959"/>
    <cfRule type="duplicateValues" dxfId="848" priority="958"/>
    <cfRule type="duplicateValues" dxfId="847" priority="957"/>
    <cfRule type="duplicateValues" dxfId="846" priority="963"/>
    <cfRule type="duplicateValues" dxfId="845" priority="962"/>
  </conditionalFormatting>
  <conditionalFormatting sqref="C767 C769">
    <cfRule type="duplicateValues" dxfId="844" priority="956"/>
    <cfRule type="duplicateValues" dxfId="843" priority="953"/>
    <cfRule type="duplicateValues" dxfId="842" priority="954"/>
    <cfRule type="duplicateValues" dxfId="841" priority="955"/>
    <cfRule type="duplicateValues" dxfId="840" priority="950"/>
    <cfRule type="duplicateValues" dxfId="839" priority="951"/>
    <cfRule type="duplicateValues" dxfId="838" priority="952"/>
  </conditionalFormatting>
  <conditionalFormatting sqref="C770:C774">
    <cfRule type="duplicateValues" dxfId="837" priority="943"/>
    <cfRule type="duplicateValues" dxfId="836" priority="944"/>
    <cfRule type="duplicateValues" dxfId="835" priority="945"/>
    <cfRule type="duplicateValues" dxfId="834" priority="949"/>
    <cfRule type="duplicateValues" dxfId="833" priority="946"/>
    <cfRule type="duplicateValues" dxfId="832" priority="947"/>
    <cfRule type="duplicateValues" dxfId="831" priority="948"/>
  </conditionalFormatting>
  <conditionalFormatting sqref="C775:C779">
    <cfRule type="duplicateValues" dxfId="830" priority="941"/>
    <cfRule type="duplicateValues" dxfId="829" priority="940"/>
    <cfRule type="duplicateValues" dxfId="828" priority="939"/>
    <cfRule type="duplicateValues" dxfId="827" priority="938"/>
    <cfRule type="duplicateValues" dxfId="826" priority="937"/>
    <cfRule type="duplicateValues" dxfId="825" priority="936"/>
    <cfRule type="duplicateValues" dxfId="824" priority="935"/>
    <cfRule type="duplicateValues" dxfId="823" priority="933"/>
    <cfRule type="duplicateValues" dxfId="822" priority="942"/>
    <cfRule type="duplicateValues" dxfId="821" priority="934"/>
  </conditionalFormatting>
  <conditionalFormatting sqref="C780">
    <cfRule type="duplicateValues" dxfId="820" priority="932"/>
    <cfRule type="duplicateValues" dxfId="819" priority="931"/>
    <cfRule type="duplicateValues" dxfId="818" priority="930"/>
    <cfRule type="duplicateValues" dxfId="817" priority="929"/>
    <cfRule type="duplicateValues" dxfId="816" priority="928"/>
  </conditionalFormatting>
  <conditionalFormatting sqref="C781">
    <cfRule type="duplicateValues" dxfId="815" priority="921"/>
    <cfRule type="duplicateValues" dxfId="814" priority="920"/>
    <cfRule type="duplicateValues" dxfId="813" priority="919"/>
    <cfRule type="duplicateValues" dxfId="812" priority="918"/>
    <cfRule type="duplicateValues" dxfId="811" priority="913"/>
    <cfRule type="duplicateValues" dxfId="810" priority="912"/>
    <cfRule type="duplicateValues" dxfId="809" priority="911"/>
    <cfRule type="duplicateValues" dxfId="808" priority="917"/>
    <cfRule type="duplicateValues" dxfId="807" priority="916"/>
    <cfRule type="duplicateValues" dxfId="806" priority="915"/>
    <cfRule type="duplicateValues" dxfId="805" priority="914"/>
  </conditionalFormatting>
  <conditionalFormatting sqref="C782:C784">
    <cfRule type="duplicateValues" dxfId="804" priority="902"/>
    <cfRule type="duplicateValues" dxfId="803" priority="901"/>
    <cfRule type="duplicateValues" dxfId="802" priority="900"/>
    <cfRule type="duplicateValues" dxfId="801" priority="905"/>
    <cfRule type="duplicateValues" dxfId="800" priority="906"/>
    <cfRule type="duplicateValues" dxfId="799" priority="907"/>
    <cfRule type="duplicateValues" dxfId="798" priority="908"/>
    <cfRule type="duplicateValues" dxfId="797" priority="909"/>
    <cfRule type="duplicateValues" dxfId="796" priority="910"/>
    <cfRule type="duplicateValues" dxfId="795" priority="904"/>
    <cfRule type="duplicateValues" dxfId="794" priority="903"/>
  </conditionalFormatting>
  <conditionalFormatting sqref="C785:C789">
    <cfRule type="duplicateValues" dxfId="793" priority="891"/>
    <cfRule type="duplicateValues" dxfId="792" priority="892"/>
    <cfRule type="duplicateValues" dxfId="791" priority="893"/>
    <cfRule type="duplicateValues" dxfId="790" priority="890"/>
    <cfRule type="duplicateValues" dxfId="789" priority="894"/>
    <cfRule type="duplicateValues" dxfId="788" priority="895"/>
    <cfRule type="duplicateValues" dxfId="787" priority="896"/>
    <cfRule type="duplicateValues" dxfId="786" priority="897"/>
    <cfRule type="duplicateValues" dxfId="785" priority="898"/>
    <cfRule type="duplicateValues" dxfId="784" priority="899"/>
    <cfRule type="duplicateValues" dxfId="783" priority="889"/>
  </conditionalFormatting>
  <conditionalFormatting sqref="C790:C793">
    <cfRule type="duplicateValues" dxfId="782" priority="884"/>
    <cfRule type="duplicateValues" dxfId="781" priority="883"/>
    <cfRule type="duplicateValues" dxfId="780" priority="882"/>
    <cfRule type="duplicateValues" dxfId="779" priority="881"/>
    <cfRule type="duplicateValues" dxfId="778" priority="880"/>
    <cfRule type="duplicateValues" dxfId="777" priority="879"/>
    <cfRule type="duplicateValues" dxfId="776" priority="878"/>
    <cfRule type="duplicateValues" dxfId="775" priority="888"/>
    <cfRule type="duplicateValues" dxfId="774" priority="887"/>
    <cfRule type="duplicateValues" dxfId="773" priority="886"/>
    <cfRule type="duplicateValues" dxfId="772" priority="885"/>
  </conditionalFormatting>
  <conditionalFormatting sqref="C798:C802">
    <cfRule type="duplicateValues" dxfId="771" priority="849"/>
    <cfRule type="duplicateValues" dxfId="770" priority="854"/>
    <cfRule type="duplicateValues" dxfId="769" priority="850"/>
    <cfRule type="duplicateValues" dxfId="768" priority="852"/>
    <cfRule type="duplicateValues" dxfId="767" priority="851"/>
    <cfRule type="duplicateValues" dxfId="766" priority="848"/>
    <cfRule type="duplicateValues" dxfId="765" priority="853"/>
    <cfRule type="duplicateValues" dxfId="764" priority="847"/>
    <cfRule type="duplicateValues" dxfId="763" priority="846"/>
    <cfRule type="duplicateValues" dxfId="762" priority="845"/>
    <cfRule type="duplicateValues" dxfId="761" priority="844"/>
  </conditionalFormatting>
  <conditionalFormatting sqref="C803:C808">
    <cfRule type="duplicateValues" dxfId="760" priority="835"/>
    <cfRule type="duplicateValues" dxfId="759" priority="833"/>
    <cfRule type="duplicateValues" dxfId="758" priority="832"/>
    <cfRule type="duplicateValues" dxfId="757" priority="831"/>
    <cfRule type="duplicateValues" dxfId="756" priority="830"/>
    <cfRule type="duplicateValues" dxfId="755" priority="839"/>
    <cfRule type="duplicateValues" dxfId="754" priority="834"/>
    <cfRule type="duplicateValues" dxfId="753" priority="840"/>
    <cfRule type="duplicateValues" dxfId="752" priority="838"/>
    <cfRule type="duplicateValues" dxfId="751" priority="837"/>
    <cfRule type="duplicateValues" dxfId="750" priority="836"/>
    <cfRule type="duplicateValues" dxfId="749" priority="843"/>
    <cfRule type="duplicateValues" dxfId="748" priority="842"/>
    <cfRule type="duplicateValues" dxfId="747" priority="841"/>
  </conditionalFormatting>
  <conditionalFormatting sqref="C809">
    <cfRule type="duplicateValues" dxfId="746" priority="820"/>
    <cfRule type="duplicateValues" dxfId="745" priority="819"/>
    <cfRule type="duplicateValues" dxfId="744" priority="827"/>
    <cfRule type="duplicateValues" dxfId="743" priority="828"/>
    <cfRule type="duplicateValues" dxfId="742" priority="829"/>
    <cfRule type="duplicateValues" dxfId="741" priority="818"/>
  </conditionalFormatting>
  <conditionalFormatting sqref="C810:C812">
    <cfRule type="duplicateValues" dxfId="740" priority="816"/>
    <cfRule type="duplicateValues" dxfId="739" priority="817"/>
  </conditionalFormatting>
  <conditionalFormatting sqref="C810:C814">
    <cfRule type="duplicateValues" dxfId="738" priority="813"/>
    <cfRule type="duplicateValues" dxfId="737" priority="812"/>
    <cfRule type="duplicateValues" dxfId="736" priority="811"/>
    <cfRule type="duplicateValues" dxfId="735" priority="810"/>
    <cfRule type="duplicateValues" dxfId="734" priority="809"/>
    <cfRule type="duplicateValues" dxfId="733" priority="808"/>
    <cfRule type="duplicateValues" dxfId="732" priority="807"/>
    <cfRule type="duplicateValues" dxfId="731" priority="806"/>
    <cfRule type="duplicateValues" dxfId="730" priority="805"/>
    <cfRule type="duplicateValues" dxfId="729" priority="804"/>
    <cfRule type="duplicateValues" dxfId="728" priority="815"/>
    <cfRule type="duplicateValues" dxfId="727" priority="814"/>
  </conditionalFormatting>
  <conditionalFormatting sqref="C815">
    <cfRule type="duplicateValues" dxfId="726" priority="789"/>
    <cfRule type="duplicateValues" dxfId="725" priority="788"/>
    <cfRule type="duplicateValues" dxfId="724" priority="795"/>
    <cfRule type="duplicateValues" dxfId="723" priority="796"/>
    <cfRule type="duplicateValues" dxfId="722" priority="797"/>
    <cfRule type="duplicateValues" dxfId="721" priority="801"/>
    <cfRule type="duplicateValues" dxfId="720" priority="800"/>
    <cfRule type="duplicateValues" dxfId="719" priority="798"/>
    <cfRule type="duplicateValues" dxfId="718" priority="802"/>
    <cfRule type="duplicateValues" dxfId="717" priority="791"/>
    <cfRule type="duplicateValues" dxfId="716" priority="790"/>
    <cfRule type="duplicateValues" dxfId="715" priority="799"/>
    <cfRule type="duplicateValues" dxfId="714" priority="803"/>
    <cfRule type="duplicateValues" dxfId="713" priority="792"/>
    <cfRule type="duplicateValues" dxfId="712" priority="793"/>
    <cfRule type="duplicateValues" dxfId="711" priority="794"/>
  </conditionalFormatting>
  <conditionalFormatting sqref="C816">
    <cfRule type="duplicateValues" dxfId="710" priority="787"/>
    <cfRule type="duplicateValues" dxfId="709" priority="786"/>
    <cfRule type="duplicateValues" dxfId="708" priority="785"/>
    <cfRule type="duplicateValues" dxfId="707" priority="784"/>
    <cfRule type="duplicateValues" dxfId="706" priority="783"/>
    <cfRule type="duplicateValues" dxfId="705" priority="782"/>
    <cfRule type="duplicateValues" dxfId="704" priority="781"/>
    <cfRule type="duplicateValues" dxfId="703" priority="779"/>
    <cfRule type="duplicateValues" dxfId="702" priority="778"/>
    <cfRule type="duplicateValues" dxfId="701" priority="777"/>
    <cfRule type="duplicateValues" dxfId="700" priority="776"/>
    <cfRule type="duplicateValues" dxfId="699" priority="775"/>
    <cfRule type="duplicateValues" dxfId="698" priority="774"/>
    <cfRule type="duplicateValues" dxfId="697" priority="773"/>
    <cfRule type="duplicateValues" dxfId="696" priority="772"/>
    <cfRule type="duplicateValues" dxfId="695" priority="780"/>
  </conditionalFormatting>
  <conditionalFormatting sqref="C817">
    <cfRule type="duplicateValues" dxfId="694" priority="766"/>
    <cfRule type="duplicateValues" dxfId="693" priority="767"/>
  </conditionalFormatting>
  <conditionalFormatting sqref="C817:C819">
    <cfRule type="duplicateValues" dxfId="692" priority="765"/>
    <cfRule type="duplicateValues" dxfId="691" priority="764"/>
    <cfRule type="duplicateValues" dxfId="690" priority="762"/>
    <cfRule type="duplicateValues" dxfId="689" priority="761"/>
    <cfRule type="duplicateValues" dxfId="688" priority="760"/>
    <cfRule type="duplicateValues" dxfId="687" priority="758"/>
    <cfRule type="duplicateValues" dxfId="686" priority="757"/>
    <cfRule type="duplicateValues" dxfId="685" priority="756"/>
    <cfRule type="duplicateValues" dxfId="684" priority="759"/>
    <cfRule type="duplicateValues" dxfId="683" priority="763"/>
  </conditionalFormatting>
  <conditionalFormatting sqref="C818:C819">
    <cfRule type="duplicateValues" dxfId="682" priority="770"/>
    <cfRule type="duplicateValues" dxfId="681" priority="769"/>
    <cfRule type="duplicateValues" dxfId="680" priority="768"/>
    <cfRule type="duplicateValues" dxfId="679" priority="771"/>
  </conditionalFormatting>
  <conditionalFormatting sqref="C820 C823">
    <cfRule type="duplicateValues" dxfId="678" priority="755"/>
  </conditionalFormatting>
  <conditionalFormatting sqref="C820:C823">
    <cfRule type="duplicateValues" dxfId="677" priority="748"/>
    <cfRule type="duplicateValues" dxfId="676" priority="747"/>
    <cfRule type="duplicateValues" dxfId="675" priority="746"/>
    <cfRule type="duplicateValues" dxfId="674" priority="745"/>
    <cfRule type="duplicateValues" dxfId="673" priority="744"/>
    <cfRule type="duplicateValues" dxfId="672" priority="743"/>
    <cfRule type="duplicateValues" dxfId="671" priority="741"/>
    <cfRule type="duplicateValues" dxfId="670" priority="738"/>
    <cfRule type="duplicateValues" dxfId="669" priority="739"/>
    <cfRule type="duplicateValues" dxfId="668" priority="740"/>
    <cfRule type="duplicateValues" dxfId="667" priority="742"/>
  </conditionalFormatting>
  <conditionalFormatting sqref="C821">
    <cfRule type="duplicateValues" dxfId="666" priority="751"/>
    <cfRule type="duplicateValues" dxfId="665" priority="752"/>
  </conditionalFormatting>
  <conditionalFormatting sqref="C822">
    <cfRule type="duplicateValues" dxfId="664" priority="749"/>
    <cfRule type="duplicateValues" dxfId="663" priority="750"/>
  </conditionalFormatting>
  <conditionalFormatting sqref="C823 C820">
    <cfRule type="duplicateValues" dxfId="662" priority="753"/>
    <cfRule type="duplicateValues" dxfId="661" priority="754"/>
  </conditionalFormatting>
  <conditionalFormatting sqref="C828:C830 C832">
    <cfRule type="duplicateValues" dxfId="660" priority="737"/>
  </conditionalFormatting>
  <conditionalFormatting sqref="C828:C832">
    <cfRule type="duplicateValues" dxfId="659" priority="724"/>
    <cfRule type="duplicateValues" dxfId="658" priority="723"/>
    <cfRule type="duplicateValues" dxfId="657" priority="721"/>
    <cfRule type="duplicateValues" dxfId="656" priority="720"/>
    <cfRule type="duplicateValues" dxfId="655" priority="719"/>
    <cfRule type="duplicateValues" dxfId="654" priority="718"/>
    <cfRule type="duplicateValues" dxfId="653" priority="717"/>
    <cfRule type="duplicateValues" dxfId="652" priority="726"/>
    <cfRule type="duplicateValues" dxfId="651" priority="725"/>
    <cfRule type="duplicateValues" dxfId="650" priority="727"/>
    <cfRule type="duplicateValues" dxfId="649" priority="722"/>
  </conditionalFormatting>
  <conditionalFormatting sqref="C831">
    <cfRule type="duplicateValues" dxfId="648" priority="729"/>
    <cfRule type="duplicateValues" dxfId="647" priority="728"/>
    <cfRule type="duplicateValues" dxfId="646" priority="733"/>
    <cfRule type="duplicateValues" dxfId="645" priority="732"/>
    <cfRule type="duplicateValues" dxfId="644" priority="731"/>
    <cfRule type="duplicateValues" dxfId="643" priority="730"/>
  </conditionalFormatting>
  <conditionalFormatting sqref="C832 C828:C830">
    <cfRule type="duplicateValues" dxfId="642" priority="734"/>
    <cfRule type="duplicateValues" dxfId="641" priority="736"/>
    <cfRule type="duplicateValues" dxfId="640" priority="735"/>
  </conditionalFormatting>
  <conditionalFormatting sqref="C833">
    <cfRule type="duplicateValues" dxfId="639" priority="714"/>
    <cfRule type="duplicateValues" dxfId="638" priority="715"/>
    <cfRule type="duplicateValues" dxfId="637" priority="713"/>
    <cfRule type="duplicateValues" dxfId="636" priority="712"/>
    <cfRule type="duplicateValues" dxfId="635" priority="711"/>
    <cfRule type="duplicateValues" dxfId="634" priority="710"/>
  </conditionalFormatting>
  <conditionalFormatting sqref="C833:C836">
    <cfRule type="duplicateValues" dxfId="633" priority="706"/>
    <cfRule type="duplicateValues" dxfId="632" priority="705"/>
    <cfRule type="duplicateValues" dxfId="631" priority="704"/>
    <cfRule type="duplicateValues" dxfId="630" priority="703"/>
    <cfRule type="duplicateValues" dxfId="629" priority="702"/>
    <cfRule type="duplicateValues" dxfId="628" priority="701"/>
    <cfRule type="duplicateValues" dxfId="627" priority="700"/>
    <cfRule type="duplicateValues" dxfId="626" priority="698"/>
    <cfRule type="duplicateValues" dxfId="625" priority="699"/>
    <cfRule type="duplicateValues" dxfId="624" priority="709"/>
    <cfRule type="duplicateValues" dxfId="623" priority="708"/>
    <cfRule type="duplicateValues" dxfId="622" priority="707"/>
  </conditionalFormatting>
  <conditionalFormatting sqref="C834">
    <cfRule type="duplicateValues" dxfId="621" priority="716"/>
  </conditionalFormatting>
  <conditionalFormatting sqref="C837">
    <cfRule type="duplicateValues" dxfId="620" priority="694"/>
    <cfRule type="duplicateValues" dxfId="619" priority="693"/>
    <cfRule type="duplicateValues" dxfId="618" priority="696"/>
    <cfRule type="duplicateValues" dxfId="617" priority="697"/>
    <cfRule type="duplicateValues" dxfId="616" priority="695"/>
  </conditionalFormatting>
  <conditionalFormatting sqref="C837:C839">
    <cfRule type="duplicateValues" dxfId="615" priority="691"/>
    <cfRule type="duplicateValues" dxfId="614" priority="692"/>
    <cfRule type="duplicateValues" dxfId="613" priority="684"/>
    <cfRule type="duplicateValues" dxfId="612" priority="685"/>
    <cfRule type="duplicateValues" dxfId="611" priority="687"/>
    <cfRule type="duplicateValues" dxfId="610" priority="688"/>
    <cfRule type="duplicateValues" dxfId="609" priority="683"/>
    <cfRule type="duplicateValues" dxfId="608" priority="682"/>
    <cfRule type="duplicateValues" dxfId="607" priority="689"/>
    <cfRule type="duplicateValues" dxfId="606" priority="690"/>
    <cfRule type="duplicateValues" dxfId="605" priority="686"/>
  </conditionalFormatting>
  <conditionalFormatting sqref="C840:C846">
    <cfRule type="duplicateValues" dxfId="604" priority="668"/>
    <cfRule type="duplicateValues" dxfId="603" priority="667"/>
    <cfRule type="duplicateValues" dxfId="602" priority="666"/>
    <cfRule type="duplicateValues" dxfId="601" priority="676"/>
    <cfRule type="duplicateValues" dxfId="600" priority="675"/>
    <cfRule type="duplicateValues" dxfId="599" priority="674"/>
    <cfRule type="duplicateValues" dxfId="598" priority="673"/>
    <cfRule type="duplicateValues" dxfId="597" priority="672"/>
    <cfRule type="duplicateValues" dxfId="596" priority="671"/>
    <cfRule type="duplicateValues" dxfId="595" priority="670"/>
    <cfRule type="duplicateValues" dxfId="594" priority="669"/>
  </conditionalFormatting>
  <conditionalFormatting sqref="C842:C846">
    <cfRule type="duplicateValues" dxfId="593" priority="678"/>
    <cfRule type="duplicateValues" dxfId="592" priority="677"/>
  </conditionalFormatting>
  <conditionalFormatting sqref="C844:C846">
    <cfRule type="duplicateValues" dxfId="591" priority="681"/>
    <cfRule type="duplicateValues" dxfId="590" priority="680"/>
    <cfRule type="duplicateValues" dxfId="589" priority="679"/>
  </conditionalFormatting>
  <conditionalFormatting sqref="C847:C849 C851">
    <cfRule type="duplicateValues" dxfId="588" priority="646"/>
    <cfRule type="duplicateValues" dxfId="587" priority="650"/>
    <cfRule type="duplicateValues" dxfId="586" priority="649"/>
    <cfRule type="duplicateValues" dxfId="585" priority="648"/>
    <cfRule type="duplicateValues" dxfId="584" priority="647"/>
    <cfRule type="duplicateValues" dxfId="583" priority="641"/>
    <cfRule type="duplicateValues" dxfId="582" priority="645"/>
    <cfRule type="duplicateValues" dxfId="581" priority="644"/>
    <cfRule type="duplicateValues" dxfId="580" priority="643"/>
    <cfRule type="duplicateValues" dxfId="579" priority="642"/>
  </conditionalFormatting>
  <conditionalFormatting sqref="C847:C849">
    <cfRule type="duplicateValues" dxfId="578" priority="656"/>
    <cfRule type="duplicateValues" dxfId="577" priority="655"/>
    <cfRule type="duplicateValues" dxfId="576" priority="654"/>
    <cfRule type="duplicateValues" dxfId="575" priority="653"/>
    <cfRule type="duplicateValues" dxfId="574" priority="652"/>
    <cfRule type="duplicateValues" dxfId="573" priority="651"/>
  </conditionalFormatting>
  <conditionalFormatting sqref="C850">
    <cfRule type="duplicateValues" dxfId="572" priority="603"/>
    <cfRule type="duplicateValues" dxfId="571" priority="602"/>
    <cfRule type="duplicateValues" dxfId="570" priority="601"/>
    <cfRule type="duplicateValues" dxfId="569" priority="600"/>
    <cfRule type="duplicateValues" dxfId="568" priority="599"/>
    <cfRule type="duplicateValues" dxfId="567" priority="607"/>
    <cfRule type="duplicateValues" dxfId="566" priority="606"/>
    <cfRule type="duplicateValues" dxfId="565" priority="605"/>
    <cfRule type="duplicateValues" dxfId="564" priority="594"/>
    <cfRule type="duplicateValues" dxfId="563" priority="595"/>
    <cfRule type="duplicateValues" dxfId="562" priority="596"/>
    <cfRule type="duplicateValues" dxfId="561" priority="597"/>
    <cfRule type="duplicateValues" dxfId="560" priority="604"/>
    <cfRule type="duplicateValues" dxfId="559" priority="598"/>
    <cfRule type="duplicateValues" dxfId="558" priority="611"/>
    <cfRule type="duplicateValues" dxfId="557" priority="610"/>
    <cfRule type="duplicateValues" dxfId="556" priority="609"/>
    <cfRule type="duplicateValues" dxfId="555" priority="608"/>
  </conditionalFormatting>
  <conditionalFormatting sqref="C851">
    <cfRule type="duplicateValues" dxfId="554" priority="665"/>
    <cfRule type="duplicateValues" dxfId="553" priority="664"/>
    <cfRule type="duplicateValues" dxfId="552" priority="663"/>
    <cfRule type="duplicateValues" dxfId="551" priority="662"/>
    <cfRule type="duplicateValues" dxfId="550" priority="661"/>
    <cfRule type="duplicateValues" dxfId="549" priority="660"/>
    <cfRule type="duplicateValues" dxfId="548" priority="659"/>
    <cfRule type="duplicateValues" dxfId="547" priority="658"/>
    <cfRule type="duplicateValues" dxfId="546" priority="657"/>
  </conditionalFormatting>
  <conditionalFormatting sqref="C852">
    <cfRule type="duplicateValues" dxfId="545" priority="640"/>
    <cfRule type="duplicateValues" dxfId="544" priority="639"/>
    <cfRule type="duplicateValues" dxfId="543" priority="638"/>
    <cfRule type="duplicateValues" dxfId="542" priority="637"/>
    <cfRule type="duplicateValues" dxfId="541" priority="636"/>
    <cfRule type="duplicateValues" dxfId="540" priority="635"/>
    <cfRule type="duplicateValues" dxfId="539" priority="634"/>
    <cfRule type="duplicateValues" dxfId="538" priority="633"/>
    <cfRule type="duplicateValues" dxfId="537" priority="629"/>
    <cfRule type="duplicateValues" dxfId="536" priority="630"/>
    <cfRule type="duplicateValues" dxfId="535" priority="631"/>
    <cfRule type="duplicateValues" dxfId="534" priority="632"/>
    <cfRule type="duplicateValues" dxfId="533" priority="625"/>
    <cfRule type="duplicateValues" dxfId="532" priority="626"/>
    <cfRule type="duplicateValues" dxfId="531" priority="628"/>
    <cfRule type="duplicateValues" dxfId="530" priority="627"/>
  </conditionalFormatting>
  <conditionalFormatting sqref="C852:C855">
    <cfRule type="duplicateValues" dxfId="529" priority="624"/>
    <cfRule type="duplicateValues" dxfId="528" priority="623"/>
  </conditionalFormatting>
  <conditionalFormatting sqref="C856:C857">
    <cfRule type="duplicateValues" dxfId="527" priority="590"/>
    <cfRule type="duplicateValues" dxfId="526" priority="589"/>
    <cfRule type="duplicateValues" dxfId="525" priority="588"/>
    <cfRule type="duplicateValues" dxfId="524" priority="587"/>
    <cfRule type="duplicateValues" dxfId="523" priority="586"/>
    <cfRule type="duplicateValues" dxfId="522" priority="585"/>
  </conditionalFormatting>
  <conditionalFormatting sqref="C856:C858">
    <cfRule type="duplicateValues" dxfId="521" priority="581"/>
    <cfRule type="duplicateValues" dxfId="520" priority="580"/>
    <cfRule type="duplicateValues" dxfId="519" priority="579"/>
    <cfRule type="duplicateValues" dxfId="518" priority="578"/>
    <cfRule type="duplicateValues" dxfId="517" priority="593"/>
    <cfRule type="duplicateValues" dxfId="516" priority="592"/>
    <cfRule type="duplicateValues" dxfId="515" priority="591"/>
  </conditionalFormatting>
  <conditionalFormatting sqref="C856:C859">
    <cfRule type="duplicateValues" dxfId="514" priority="564"/>
    <cfRule type="duplicateValues" dxfId="513" priority="570"/>
    <cfRule type="duplicateValues" dxfId="512" priority="571"/>
    <cfRule type="duplicateValues" dxfId="511" priority="569"/>
    <cfRule type="duplicateValues" dxfId="510" priority="568"/>
    <cfRule type="duplicateValues" dxfId="509" priority="566"/>
    <cfRule type="duplicateValues" dxfId="508" priority="567"/>
    <cfRule type="duplicateValues" dxfId="507" priority="565"/>
  </conditionalFormatting>
  <conditionalFormatting sqref="C859">
    <cfRule type="duplicateValues" dxfId="506" priority="576"/>
    <cfRule type="duplicateValues" dxfId="505" priority="575"/>
    <cfRule type="duplicateValues" dxfId="504" priority="574"/>
    <cfRule type="duplicateValues" dxfId="503" priority="573"/>
    <cfRule type="duplicateValues" dxfId="502" priority="572"/>
    <cfRule type="duplicateValues" dxfId="501" priority="577"/>
  </conditionalFormatting>
  <conditionalFormatting sqref="C860">
    <cfRule type="duplicateValues" dxfId="500" priority="563"/>
    <cfRule type="duplicateValues" dxfId="499" priority="562"/>
  </conditionalFormatting>
  <conditionalFormatting sqref="C861">
    <cfRule type="duplicateValues" dxfId="498" priority="559"/>
    <cfRule type="duplicateValues" dxfId="497" priority="560"/>
    <cfRule type="duplicateValues" dxfId="496" priority="561"/>
    <cfRule type="duplicateValues" dxfId="495" priority="546"/>
    <cfRule type="duplicateValues" dxfId="494" priority="547"/>
    <cfRule type="duplicateValues" dxfId="493" priority="548"/>
    <cfRule type="duplicateValues" dxfId="492" priority="549"/>
    <cfRule type="duplicateValues" dxfId="491" priority="550"/>
    <cfRule type="duplicateValues" dxfId="490" priority="551"/>
    <cfRule type="duplicateValues" dxfId="489" priority="552"/>
    <cfRule type="duplicateValues" dxfId="488" priority="553"/>
    <cfRule type="duplicateValues" dxfId="487" priority="554"/>
    <cfRule type="duplicateValues" dxfId="486" priority="555"/>
    <cfRule type="duplicateValues" dxfId="485" priority="556"/>
    <cfRule type="duplicateValues" dxfId="484" priority="557"/>
    <cfRule type="duplicateValues" dxfId="483" priority="558"/>
  </conditionalFormatting>
  <conditionalFormatting sqref="C862:C863">
    <cfRule type="duplicateValues" dxfId="482" priority="542"/>
  </conditionalFormatting>
  <conditionalFormatting sqref="C862:C864">
    <cfRule type="duplicateValues" dxfId="481" priority="538"/>
    <cfRule type="duplicateValues" dxfId="480" priority="539"/>
    <cfRule type="duplicateValues" dxfId="479" priority="534"/>
    <cfRule type="duplicateValues" dxfId="478" priority="540"/>
    <cfRule type="duplicateValues" dxfId="477" priority="541"/>
    <cfRule type="duplicateValues" dxfId="476" priority="533"/>
    <cfRule type="duplicateValues" dxfId="475" priority="535"/>
    <cfRule type="duplicateValues" dxfId="474" priority="536"/>
    <cfRule type="duplicateValues" dxfId="473" priority="537"/>
  </conditionalFormatting>
  <conditionalFormatting sqref="C864">
    <cfRule type="duplicateValues" dxfId="472" priority="543"/>
    <cfRule type="duplicateValues" dxfId="471" priority="544"/>
    <cfRule type="duplicateValues" dxfId="470" priority="545"/>
  </conditionalFormatting>
  <conditionalFormatting sqref="C865:C868">
    <cfRule type="duplicateValues" dxfId="469" priority="532"/>
    <cfRule type="duplicateValues" dxfId="468" priority="531"/>
    <cfRule type="duplicateValues" dxfId="467" priority="530"/>
    <cfRule type="duplicateValues" dxfId="466" priority="526"/>
    <cfRule type="duplicateValues" dxfId="465" priority="525"/>
    <cfRule type="duplicateValues" dxfId="464" priority="524"/>
    <cfRule type="duplicateValues" dxfId="463" priority="523"/>
    <cfRule type="duplicateValues" dxfId="462" priority="522"/>
    <cfRule type="duplicateValues" dxfId="461" priority="521"/>
    <cfRule type="duplicateValues" dxfId="460" priority="519"/>
    <cfRule type="duplicateValues" dxfId="459" priority="518"/>
    <cfRule type="duplicateValues" dxfId="458" priority="520"/>
  </conditionalFormatting>
  <conditionalFormatting sqref="C869:C871">
    <cfRule type="duplicateValues" dxfId="457" priority="517"/>
    <cfRule type="duplicateValues" dxfId="456" priority="516"/>
    <cfRule type="duplicateValues" dxfId="455" priority="515"/>
  </conditionalFormatting>
  <conditionalFormatting sqref="C882">
    <cfRule type="duplicateValues" dxfId="454" priority="514"/>
    <cfRule type="duplicateValues" dxfId="453" priority="513"/>
    <cfRule type="duplicateValues" dxfId="452" priority="512"/>
    <cfRule type="duplicateValues" dxfId="451" priority="511"/>
    <cfRule type="duplicateValues" dxfId="450" priority="510"/>
    <cfRule type="duplicateValues" dxfId="449" priority="509"/>
  </conditionalFormatting>
  <conditionalFormatting sqref="C887">
    <cfRule type="duplicateValues" dxfId="448" priority="508"/>
    <cfRule type="duplicateValues" dxfId="447" priority="507"/>
    <cfRule type="duplicateValues" dxfId="446" priority="506"/>
  </conditionalFormatting>
  <conditionalFormatting sqref="C887:C890">
    <cfRule type="duplicateValues" dxfId="445" priority="504"/>
    <cfRule type="duplicateValues" dxfId="444" priority="505"/>
  </conditionalFormatting>
  <conditionalFormatting sqref="C891:C893">
    <cfRule type="duplicateValues" dxfId="443" priority="502"/>
    <cfRule type="duplicateValues" dxfId="442" priority="503"/>
  </conditionalFormatting>
  <conditionalFormatting sqref="C896:C898">
    <cfRule type="duplicateValues" dxfId="441" priority="495"/>
    <cfRule type="duplicateValues" dxfId="440" priority="494"/>
    <cfRule type="duplicateValues" dxfId="439" priority="493"/>
    <cfRule type="duplicateValues" dxfId="438" priority="492"/>
    <cfRule type="duplicateValues" dxfId="437" priority="496"/>
    <cfRule type="duplicateValues" dxfId="436" priority="499"/>
    <cfRule type="duplicateValues" dxfId="435" priority="497"/>
    <cfRule type="duplicateValues" dxfId="434" priority="498"/>
    <cfRule type="duplicateValues" dxfId="433" priority="500"/>
    <cfRule type="duplicateValues" dxfId="432" priority="501"/>
  </conditionalFormatting>
  <conditionalFormatting sqref="C899:C900">
    <cfRule type="duplicateValues" dxfId="431" priority="481"/>
    <cfRule type="duplicateValues" dxfId="430" priority="491"/>
    <cfRule type="duplicateValues" dxfId="429" priority="490"/>
    <cfRule type="duplicateValues" dxfId="428" priority="489"/>
    <cfRule type="duplicateValues" dxfId="427" priority="488"/>
    <cfRule type="duplicateValues" dxfId="426" priority="487"/>
    <cfRule type="duplicateValues" dxfId="425" priority="486"/>
    <cfRule type="duplicateValues" dxfId="424" priority="485"/>
    <cfRule type="duplicateValues" dxfId="423" priority="484"/>
    <cfRule type="duplicateValues" dxfId="422" priority="483"/>
    <cfRule type="duplicateValues" dxfId="421" priority="482"/>
  </conditionalFormatting>
  <conditionalFormatting sqref="C901:C903">
    <cfRule type="duplicateValues" dxfId="420" priority="470"/>
    <cfRule type="duplicateValues" dxfId="419" priority="480"/>
    <cfRule type="duplicateValues" dxfId="418" priority="477"/>
    <cfRule type="duplicateValues" dxfId="417" priority="476"/>
    <cfRule type="duplicateValues" dxfId="416" priority="472"/>
    <cfRule type="duplicateValues" dxfId="415" priority="475"/>
    <cfRule type="duplicateValues" dxfId="414" priority="474"/>
    <cfRule type="duplicateValues" dxfId="413" priority="473"/>
    <cfRule type="duplicateValues" dxfId="412" priority="479"/>
    <cfRule type="duplicateValues" dxfId="411" priority="471"/>
    <cfRule type="duplicateValues" dxfId="410" priority="478"/>
  </conditionalFormatting>
  <conditionalFormatting sqref="C904:C909">
    <cfRule type="duplicateValues" dxfId="409" priority="459"/>
    <cfRule type="duplicateValues" dxfId="408" priority="458"/>
    <cfRule type="duplicateValues" dxfId="407" priority="469"/>
    <cfRule type="duplicateValues" dxfId="406" priority="468"/>
    <cfRule type="duplicateValues" dxfId="405" priority="467"/>
    <cfRule type="duplicateValues" dxfId="404" priority="466"/>
    <cfRule type="duplicateValues" dxfId="403" priority="465"/>
    <cfRule type="duplicateValues" dxfId="402" priority="464"/>
    <cfRule type="duplicateValues" dxfId="401" priority="463"/>
    <cfRule type="duplicateValues" dxfId="400" priority="462"/>
    <cfRule type="duplicateValues" dxfId="399" priority="461"/>
    <cfRule type="duplicateValues" dxfId="398" priority="460"/>
  </conditionalFormatting>
  <conditionalFormatting sqref="C910:C911">
    <cfRule type="duplicateValues" dxfId="397" priority="457"/>
    <cfRule type="duplicateValues" dxfId="396" priority="456"/>
  </conditionalFormatting>
  <conditionalFormatting sqref="C915:C918">
    <cfRule type="duplicateValues" dxfId="395" priority="447"/>
    <cfRule type="duplicateValues" dxfId="394" priority="446"/>
    <cfRule type="duplicateValues" dxfId="393" priority="445"/>
    <cfRule type="duplicateValues" dxfId="392" priority="444"/>
    <cfRule type="duplicateValues" dxfId="391" priority="443"/>
    <cfRule type="duplicateValues" dxfId="390" priority="442"/>
    <cfRule type="duplicateValues" dxfId="389" priority="441"/>
    <cfRule type="duplicateValues" dxfId="388" priority="452"/>
    <cfRule type="duplicateValues" dxfId="387" priority="455"/>
    <cfRule type="duplicateValues" dxfId="386" priority="454"/>
    <cfRule type="duplicateValues" dxfId="385" priority="453"/>
    <cfRule type="duplicateValues" dxfId="384" priority="451"/>
    <cfRule type="duplicateValues" dxfId="383" priority="450"/>
    <cfRule type="duplicateValues" dxfId="382" priority="449"/>
    <cfRule type="duplicateValues" dxfId="381" priority="448"/>
  </conditionalFormatting>
  <conditionalFormatting sqref="C919:C921">
    <cfRule type="duplicateValues" dxfId="380" priority="440"/>
    <cfRule type="duplicateValues" dxfId="379" priority="439"/>
    <cfRule type="duplicateValues" dxfId="378" priority="438"/>
  </conditionalFormatting>
  <conditionalFormatting sqref="C922">
    <cfRule type="duplicateValues" dxfId="377" priority="437"/>
    <cfRule type="duplicateValues" dxfId="376" priority="436"/>
    <cfRule type="duplicateValues" dxfId="375" priority="434"/>
    <cfRule type="duplicateValues" dxfId="374" priority="435"/>
  </conditionalFormatting>
  <conditionalFormatting sqref="C923:C925">
    <cfRule type="duplicateValues" dxfId="373" priority="433"/>
    <cfRule type="duplicateValues" dxfId="372" priority="432"/>
  </conditionalFormatting>
  <conditionalFormatting sqref="C930">
    <cfRule type="duplicateValues" dxfId="371" priority="431"/>
  </conditionalFormatting>
  <conditionalFormatting sqref="C931:C933">
    <cfRule type="duplicateValues" dxfId="370" priority="420"/>
    <cfRule type="duplicateValues" dxfId="369" priority="429"/>
    <cfRule type="duplicateValues" dxfId="368" priority="418"/>
    <cfRule type="duplicateValues" dxfId="367" priority="417"/>
    <cfRule type="duplicateValues" dxfId="366" priority="416"/>
    <cfRule type="duplicateValues" dxfId="365" priority="415"/>
    <cfRule type="duplicateValues" dxfId="364" priority="414"/>
    <cfRule type="duplicateValues" dxfId="363" priority="428"/>
    <cfRule type="duplicateValues" dxfId="362" priority="427"/>
    <cfRule type="duplicateValues" dxfId="361" priority="426"/>
    <cfRule type="duplicateValues" dxfId="360" priority="425"/>
    <cfRule type="duplicateValues" dxfId="359" priority="424"/>
    <cfRule type="duplicateValues" dxfId="358" priority="413"/>
    <cfRule type="duplicateValues" dxfId="357" priority="423"/>
    <cfRule type="duplicateValues" dxfId="356" priority="422"/>
    <cfRule type="duplicateValues" dxfId="355" priority="430"/>
    <cfRule type="duplicateValues" dxfId="354" priority="421"/>
    <cfRule type="duplicateValues" dxfId="353" priority="419"/>
  </conditionalFormatting>
  <conditionalFormatting sqref="C934:C937">
    <cfRule type="duplicateValues" dxfId="352" priority="402"/>
    <cfRule type="duplicateValues" dxfId="351" priority="401"/>
    <cfRule type="duplicateValues" dxfId="350" priority="400"/>
    <cfRule type="duplicateValues" dxfId="349" priority="399"/>
    <cfRule type="duplicateValues" dxfId="348" priority="398"/>
    <cfRule type="duplicateValues" dxfId="347" priority="397"/>
    <cfRule type="duplicateValues" dxfId="346" priority="396"/>
    <cfRule type="duplicateValues" dxfId="345" priority="395"/>
    <cfRule type="duplicateValues" dxfId="344" priority="394"/>
    <cfRule type="duplicateValues" dxfId="343" priority="412"/>
    <cfRule type="duplicateValues" dxfId="342" priority="411"/>
    <cfRule type="duplicateValues" dxfId="341" priority="410"/>
    <cfRule type="duplicateValues" dxfId="340" priority="409"/>
    <cfRule type="duplicateValues" dxfId="339" priority="408"/>
    <cfRule type="duplicateValues" dxfId="338" priority="407"/>
    <cfRule type="duplicateValues" dxfId="337" priority="406"/>
    <cfRule type="duplicateValues" dxfId="336" priority="405"/>
    <cfRule type="duplicateValues" dxfId="335" priority="404"/>
    <cfRule type="duplicateValues" dxfId="334" priority="403"/>
  </conditionalFormatting>
  <conditionalFormatting sqref="C941:C944">
    <cfRule type="duplicateValues" dxfId="333" priority="360"/>
    <cfRule type="duplicateValues" dxfId="332" priority="359"/>
    <cfRule type="duplicateValues" dxfId="331" priority="358"/>
    <cfRule type="duplicateValues" dxfId="330" priority="357"/>
    <cfRule type="duplicateValues" dxfId="329" priority="356"/>
    <cfRule type="duplicateValues" dxfId="328" priority="355"/>
    <cfRule type="duplicateValues" dxfId="327" priority="354"/>
    <cfRule type="duplicateValues" dxfId="326" priority="353"/>
    <cfRule type="duplicateValues" dxfId="325" priority="352"/>
    <cfRule type="duplicateValues" dxfId="324" priority="351"/>
    <cfRule type="duplicateValues" dxfId="323" priority="350"/>
    <cfRule type="duplicateValues" dxfId="322" priority="362"/>
    <cfRule type="duplicateValues" dxfId="321" priority="361"/>
    <cfRule type="duplicateValues" dxfId="320" priority="366"/>
    <cfRule type="duplicateValues" dxfId="319" priority="370"/>
    <cfRule type="duplicateValues" dxfId="318" priority="369"/>
    <cfRule type="duplicateValues" dxfId="317" priority="368"/>
    <cfRule type="duplicateValues" dxfId="316" priority="367"/>
    <cfRule type="duplicateValues" dxfId="315" priority="365"/>
    <cfRule type="duplicateValues" dxfId="314" priority="364"/>
    <cfRule type="duplicateValues" dxfId="313" priority="363"/>
  </conditionalFormatting>
  <conditionalFormatting sqref="C945:C947">
    <cfRule type="duplicateValues" dxfId="312" priority="349"/>
    <cfRule type="duplicateValues" dxfId="311" priority="348"/>
    <cfRule type="duplicateValues" dxfId="310" priority="347"/>
  </conditionalFormatting>
  <conditionalFormatting sqref="C948:C950">
    <cfRule type="duplicateValues" dxfId="309" priority="346"/>
    <cfRule type="duplicateValues" dxfId="308" priority="345"/>
    <cfRule type="duplicateValues" dxfId="307" priority="344"/>
    <cfRule type="duplicateValues" dxfId="306" priority="343"/>
    <cfRule type="duplicateValues" dxfId="305" priority="342"/>
    <cfRule type="duplicateValues" dxfId="304" priority="341"/>
    <cfRule type="duplicateValues" dxfId="303" priority="340"/>
    <cfRule type="duplicateValues" dxfId="302" priority="339"/>
    <cfRule type="duplicateValues" dxfId="301" priority="328"/>
    <cfRule type="duplicateValues" dxfId="300" priority="327"/>
    <cfRule type="duplicateValues" dxfId="299" priority="337"/>
    <cfRule type="duplicateValues" dxfId="298" priority="336"/>
    <cfRule type="duplicateValues" dxfId="297" priority="335"/>
    <cfRule type="duplicateValues" dxfId="296" priority="334"/>
    <cfRule type="duplicateValues" dxfId="295" priority="333"/>
    <cfRule type="duplicateValues" dxfId="294" priority="338"/>
    <cfRule type="duplicateValues" dxfId="293" priority="332"/>
    <cfRule type="duplicateValues" dxfId="292" priority="331"/>
    <cfRule type="duplicateValues" dxfId="291" priority="330"/>
    <cfRule type="duplicateValues" dxfId="290" priority="329"/>
    <cfRule type="duplicateValues" dxfId="289" priority="326"/>
  </conditionalFormatting>
  <conditionalFormatting sqref="C951:C953">
    <cfRule type="duplicateValues" dxfId="288" priority="307"/>
    <cfRule type="duplicateValues" dxfId="287" priority="306"/>
    <cfRule type="duplicateValues" dxfId="286" priority="305"/>
    <cfRule type="duplicateValues" dxfId="285" priority="304"/>
    <cfRule type="duplicateValues" dxfId="284" priority="303"/>
    <cfRule type="duplicateValues" dxfId="283" priority="302"/>
    <cfRule type="duplicateValues" dxfId="282" priority="301"/>
    <cfRule type="duplicateValues" dxfId="281" priority="300"/>
    <cfRule type="duplicateValues" dxfId="280" priority="299"/>
    <cfRule type="duplicateValues" dxfId="279" priority="298"/>
    <cfRule type="duplicateValues" dxfId="278" priority="297"/>
    <cfRule type="duplicateValues" dxfId="277" priority="296"/>
    <cfRule type="duplicateValues" dxfId="276" priority="317"/>
    <cfRule type="duplicateValues" dxfId="275" priority="316"/>
    <cfRule type="duplicateValues" dxfId="274" priority="315"/>
    <cfRule type="duplicateValues" dxfId="273" priority="314"/>
    <cfRule type="duplicateValues" dxfId="272" priority="313"/>
    <cfRule type="duplicateValues" dxfId="271" priority="312"/>
    <cfRule type="duplicateValues" dxfId="270" priority="311"/>
    <cfRule type="duplicateValues" dxfId="269" priority="310"/>
    <cfRule type="duplicateValues" dxfId="268" priority="309"/>
    <cfRule type="duplicateValues" dxfId="267" priority="308"/>
  </conditionalFormatting>
  <conditionalFormatting sqref="C954:C957">
    <cfRule type="duplicateValues" dxfId="266" priority="285"/>
    <cfRule type="duplicateValues" dxfId="265" priority="284"/>
    <cfRule type="duplicateValues" dxfId="264" priority="283"/>
    <cfRule type="duplicateValues" dxfId="263" priority="282"/>
    <cfRule type="duplicateValues" dxfId="262" priority="281"/>
    <cfRule type="duplicateValues" dxfId="261" priority="280"/>
    <cfRule type="duplicateValues" dxfId="260" priority="295"/>
    <cfRule type="duplicateValues" dxfId="259" priority="278"/>
    <cfRule type="duplicateValues" dxfId="258" priority="277"/>
    <cfRule type="duplicateValues" dxfId="257" priority="276"/>
    <cfRule type="duplicateValues" dxfId="256" priority="275"/>
    <cfRule type="duplicateValues" dxfId="255" priority="274"/>
    <cfRule type="duplicateValues" dxfId="254" priority="289"/>
    <cfRule type="duplicateValues" dxfId="253" priority="294"/>
    <cfRule type="duplicateValues" dxfId="252" priority="293"/>
    <cfRule type="duplicateValues" dxfId="251" priority="292"/>
    <cfRule type="duplicateValues" dxfId="250" priority="291"/>
    <cfRule type="duplicateValues" dxfId="249" priority="290"/>
    <cfRule type="duplicateValues" dxfId="248" priority="279"/>
    <cfRule type="duplicateValues" dxfId="247" priority="288"/>
    <cfRule type="duplicateValues" dxfId="246" priority="287"/>
    <cfRule type="duplicateValues" dxfId="245" priority="286"/>
  </conditionalFormatting>
  <conditionalFormatting sqref="C958:C960">
    <cfRule type="duplicateValues" dxfId="244" priority="273"/>
    <cfRule type="duplicateValues" dxfId="243" priority="272"/>
    <cfRule type="duplicateValues" dxfId="242" priority="271"/>
    <cfRule type="duplicateValues" dxfId="241" priority="269"/>
    <cfRule type="duplicateValues" dxfId="240" priority="270"/>
  </conditionalFormatting>
  <conditionalFormatting sqref="C959:C960">
    <cfRule type="duplicateValues" dxfId="239" priority="258"/>
    <cfRule type="duplicateValues" dxfId="238" priority="257"/>
    <cfRule type="duplicateValues" dxfId="237" priority="256"/>
    <cfRule type="duplicateValues" dxfId="236" priority="268"/>
    <cfRule type="duplicateValues" dxfId="235" priority="267"/>
    <cfRule type="duplicateValues" dxfId="234" priority="266"/>
    <cfRule type="duplicateValues" dxfId="233" priority="265"/>
    <cfRule type="duplicateValues" dxfId="232" priority="264"/>
    <cfRule type="duplicateValues" dxfId="231" priority="263"/>
    <cfRule type="duplicateValues" dxfId="230" priority="262"/>
    <cfRule type="duplicateValues" dxfId="229" priority="261"/>
    <cfRule type="duplicateValues" dxfId="228" priority="260"/>
    <cfRule type="duplicateValues" dxfId="227" priority="259"/>
  </conditionalFormatting>
  <conditionalFormatting sqref="C963:C964">
    <cfRule type="duplicateValues" dxfId="226" priority="253"/>
    <cfRule type="duplicateValues" dxfId="225" priority="254"/>
    <cfRule type="duplicateValues" dxfId="224" priority="255"/>
  </conditionalFormatting>
  <conditionalFormatting sqref="C965:C967">
    <cfRule type="duplicateValues" dxfId="223" priority="249"/>
    <cfRule type="duplicateValues" dxfId="222" priority="250"/>
    <cfRule type="duplicateValues" dxfId="221" priority="251"/>
    <cfRule type="duplicateValues" dxfId="220" priority="252"/>
    <cfRule type="duplicateValues" dxfId="219" priority="248"/>
  </conditionalFormatting>
  <conditionalFormatting sqref="C966:C967">
    <cfRule type="duplicateValues" dxfId="218" priority="244"/>
    <cfRule type="duplicateValues" dxfId="217" priority="243"/>
    <cfRule type="duplicateValues" dxfId="216" priority="242"/>
    <cfRule type="duplicateValues" dxfId="215" priority="241"/>
    <cfRule type="duplicateValues" dxfId="214" priority="240"/>
    <cfRule type="duplicateValues" dxfId="213" priority="239"/>
    <cfRule type="duplicateValues" dxfId="212" priority="238"/>
    <cfRule type="duplicateValues" dxfId="211" priority="237"/>
    <cfRule type="duplicateValues" dxfId="210" priority="236"/>
    <cfRule type="duplicateValues" dxfId="209" priority="235"/>
    <cfRule type="duplicateValues" dxfId="208" priority="234"/>
    <cfRule type="duplicateValues" dxfId="207" priority="233"/>
    <cfRule type="duplicateValues" dxfId="206" priority="232"/>
    <cfRule type="duplicateValues" dxfId="205" priority="247"/>
    <cfRule type="duplicateValues" dxfId="204" priority="246"/>
    <cfRule type="duplicateValues" dxfId="203" priority="245"/>
  </conditionalFormatting>
  <conditionalFormatting sqref="C972:C975">
    <cfRule type="duplicateValues" dxfId="202" priority="172"/>
  </conditionalFormatting>
  <conditionalFormatting sqref="C979:C980">
    <cfRule type="duplicateValues" dxfId="201" priority="171"/>
  </conditionalFormatting>
  <conditionalFormatting sqref="C979:C981">
    <cfRule type="duplicateValues" dxfId="200" priority="170"/>
    <cfRule type="duplicateValues" dxfId="199" priority="169"/>
  </conditionalFormatting>
  <conditionalFormatting sqref="C982">
    <cfRule type="duplicateValues" dxfId="198" priority="139"/>
    <cfRule type="duplicateValues" dxfId="197" priority="138"/>
  </conditionalFormatting>
  <conditionalFormatting sqref="C986:C998">
    <cfRule type="duplicateValues" dxfId="196" priority="136"/>
  </conditionalFormatting>
  <conditionalFormatting sqref="C999:C1002">
    <cfRule type="duplicateValues" dxfId="195" priority="134"/>
    <cfRule type="duplicateValues" dxfId="194" priority="135"/>
    <cfRule type="duplicateValues" dxfId="193" priority="133"/>
    <cfRule type="duplicateValues" dxfId="192" priority="132"/>
  </conditionalFormatting>
  <conditionalFormatting sqref="C1003:C1005">
    <cfRule type="duplicateValues" dxfId="191" priority="109"/>
    <cfRule type="duplicateValues" dxfId="190" priority="110"/>
    <cfRule type="duplicateValues" dxfId="189" priority="131"/>
    <cfRule type="duplicateValues" dxfId="188" priority="111"/>
    <cfRule type="duplicateValues" dxfId="187" priority="112"/>
    <cfRule type="duplicateValues" dxfId="186" priority="108"/>
    <cfRule type="duplicateValues" dxfId="185" priority="107"/>
  </conditionalFormatting>
  <conditionalFormatting sqref="C1006">
    <cfRule type="duplicateValues" dxfId="184" priority="101"/>
    <cfRule type="duplicateValues" dxfId="183" priority="98"/>
    <cfRule type="duplicateValues" dxfId="182" priority="97"/>
    <cfRule type="duplicateValues" dxfId="181" priority="106"/>
    <cfRule type="duplicateValues" dxfId="180" priority="99"/>
    <cfRule type="duplicateValues" dxfId="179" priority="96"/>
    <cfRule type="duplicateValues" dxfId="178" priority="100"/>
  </conditionalFormatting>
  <conditionalFormatting sqref="C1008 C1006">
    <cfRule type="duplicateValues" dxfId="177" priority="95"/>
  </conditionalFormatting>
  <conditionalFormatting sqref="C1008">
    <cfRule type="duplicateValues" dxfId="176" priority="93"/>
  </conditionalFormatting>
  <conditionalFormatting sqref="C1008:C1009 C1006">
    <cfRule type="duplicateValues" dxfId="175" priority="94"/>
  </conditionalFormatting>
  <conditionalFormatting sqref="C1010:C1020">
    <cfRule type="duplicateValues" dxfId="174" priority="92"/>
  </conditionalFormatting>
  <conditionalFormatting sqref="C1021">
    <cfRule type="duplicateValues" dxfId="173" priority="90"/>
    <cfRule type="duplicateValues" dxfId="172" priority="91"/>
    <cfRule type="duplicateValues" dxfId="171" priority="89"/>
    <cfRule type="duplicateValues" dxfId="170" priority="88"/>
  </conditionalFormatting>
  <conditionalFormatting sqref="C1022">
    <cfRule type="duplicateValues" dxfId="169" priority="57"/>
    <cfRule type="duplicateValues" dxfId="168" priority="56"/>
    <cfRule type="duplicateValues" dxfId="167" priority="55"/>
    <cfRule type="duplicateValues" dxfId="166" priority="54"/>
    <cfRule type="duplicateValues" dxfId="165" priority="53"/>
    <cfRule type="duplicateValues" dxfId="164" priority="52"/>
    <cfRule type="duplicateValues" dxfId="163" priority="51"/>
    <cfRule type="duplicateValues" dxfId="162" priority="87"/>
  </conditionalFormatting>
  <conditionalFormatting sqref="C1023:C1026">
    <cfRule type="duplicateValues" dxfId="161" priority="50"/>
    <cfRule type="duplicateValues" dxfId="160" priority="31"/>
    <cfRule type="duplicateValues" dxfId="159" priority="30"/>
    <cfRule type="duplicateValues" dxfId="158" priority="28"/>
    <cfRule type="duplicateValues" dxfId="157" priority="26"/>
    <cfRule type="duplicateValues" dxfId="156" priority="29"/>
    <cfRule type="duplicateValues" dxfId="155" priority="27"/>
  </conditionalFormatting>
  <conditionalFormatting sqref="C1027:C1028">
    <cfRule type="duplicateValues" dxfId="154" priority="25"/>
    <cfRule type="duplicateValues" dxfId="153" priority="6"/>
    <cfRule type="duplicateValues" dxfId="152" priority="5"/>
    <cfRule type="duplicateValues" dxfId="151" priority="4"/>
    <cfRule type="duplicateValues" dxfId="150" priority="3"/>
    <cfRule type="duplicateValues" dxfId="149" priority="2"/>
    <cfRule type="duplicateValues" dxfId="148" priority="1"/>
  </conditionalFormatting>
  <conditionalFormatting sqref="D970:D971">
    <cfRule type="duplicateValues" dxfId="147" priority="190"/>
    <cfRule type="duplicateValues" dxfId="146" priority="189"/>
    <cfRule type="duplicateValues" dxfId="145" priority="188"/>
    <cfRule type="duplicateValues" dxfId="144" priority="187"/>
    <cfRule type="duplicateValues" dxfId="143" priority="186"/>
    <cfRule type="duplicateValues" dxfId="142" priority="185"/>
    <cfRule type="duplicateValues" dxfId="141" priority="184"/>
    <cfRule type="duplicateValues" dxfId="140" priority="183"/>
    <cfRule type="duplicateValues" dxfId="139" priority="182"/>
    <cfRule type="duplicateValues" dxfId="138" priority="181"/>
    <cfRule type="duplicateValues" dxfId="137" priority="180"/>
    <cfRule type="duplicateValues" dxfId="136" priority="179"/>
    <cfRule type="duplicateValues" dxfId="135" priority="178"/>
    <cfRule type="duplicateValues" dxfId="134" priority="177"/>
    <cfRule type="duplicateValues" dxfId="133" priority="176"/>
    <cfRule type="duplicateValues" dxfId="132" priority="175"/>
    <cfRule type="duplicateValues" dxfId="131" priority="174"/>
    <cfRule type="duplicateValues" dxfId="130" priority="173"/>
    <cfRule type="duplicateValues" dxfId="129" priority="198"/>
    <cfRule type="duplicateValues" dxfId="128" priority="201"/>
    <cfRule type="duplicateValues" dxfId="127" priority="200"/>
    <cfRule type="duplicateValues" dxfId="126" priority="199"/>
    <cfRule type="duplicateValues" dxfId="125" priority="197"/>
    <cfRule type="duplicateValues" dxfId="124" priority="196"/>
    <cfRule type="duplicateValues" dxfId="123" priority="195"/>
    <cfRule type="duplicateValues" dxfId="122" priority="194"/>
    <cfRule type="duplicateValues" dxfId="121" priority="193"/>
    <cfRule type="duplicateValues" dxfId="120" priority="192"/>
    <cfRule type="duplicateValues" dxfId="119" priority="191"/>
  </conditionalFormatting>
  <conditionalFormatting sqref="D982">
    <cfRule type="duplicateValues" dxfId="118" priority="152"/>
    <cfRule type="duplicateValues" dxfId="117" priority="153"/>
    <cfRule type="duplicateValues" dxfId="116" priority="154"/>
    <cfRule type="duplicateValues" dxfId="115" priority="155"/>
    <cfRule type="duplicateValues" dxfId="114" priority="156"/>
    <cfRule type="duplicateValues" dxfId="113" priority="147"/>
    <cfRule type="duplicateValues" dxfId="112" priority="157"/>
    <cfRule type="duplicateValues" dxfId="111" priority="158"/>
    <cfRule type="duplicateValues" dxfId="110" priority="159"/>
    <cfRule type="duplicateValues" dxfId="109" priority="160"/>
    <cfRule type="duplicateValues" dxfId="108" priority="161"/>
    <cfRule type="duplicateValues" dxfId="107" priority="164"/>
    <cfRule type="duplicateValues" dxfId="106" priority="162"/>
    <cfRule type="duplicateValues" dxfId="105" priority="163"/>
    <cfRule type="duplicateValues" dxfId="104" priority="165"/>
    <cfRule type="duplicateValues" dxfId="103" priority="166"/>
    <cfRule type="duplicateValues" dxfId="102" priority="167"/>
    <cfRule type="duplicateValues" dxfId="101" priority="168"/>
    <cfRule type="duplicateValues" dxfId="100" priority="146"/>
    <cfRule type="duplicateValues" dxfId="99" priority="145"/>
    <cfRule type="duplicateValues" dxfId="98" priority="144"/>
    <cfRule type="duplicateValues" dxfId="97" priority="143"/>
    <cfRule type="duplicateValues" dxfId="96" priority="142"/>
    <cfRule type="duplicateValues" dxfId="95" priority="141"/>
    <cfRule type="duplicateValues" dxfId="94" priority="140"/>
    <cfRule type="duplicateValues" dxfId="93" priority="148"/>
    <cfRule type="duplicateValues" dxfId="92" priority="149"/>
    <cfRule type="duplicateValues" dxfId="91" priority="150"/>
    <cfRule type="duplicateValues" dxfId="90" priority="151"/>
  </conditionalFormatting>
  <conditionalFormatting sqref="D1003:D1005">
    <cfRule type="duplicateValues" dxfId="89" priority="123"/>
    <cfRule type="duplicateValues" dxfId="88" priority="122"/>
    <cfRule type="duplicateValues" dxfId="87" priority="121"/>
    <cfRule type="duplicateValues" dxfId="86" priority="120"/>
    <cfRule type="duplicateValues" dxfId="85" priority="119"/>
    <cfRule type="duplicateValues" dxfId="84" priority="118"/>
    <cfRule type="duplicateValues" dxfId="83" priority="117"/>
    <cfRule type="duplicateValues" dxfId="82" priority="116"/>
    <cfRule type="duplicateValues" dxfId="81" priority="115"/>
    <cfRule type="duplicateValues" dxfId="80" priority="114"/>
    <cfRule type="duplicateValues" dxfId="79" priority="113"/>
    <cfRule type="duplicateValues" dxfId="78" priority="125"/>
    <cfRule type="duplicateValues" dxfId="77" priority="129"/>
    <cfRule type="duplicateValues" dxfId="76" priority="130"/>
    <cfRule type="duplicateValues" dxfId="75" priority="128"/>
    <cfRule type="duplicateValues" dxfId="74" priority="127"/>
    <cfRule type="duplicateValues" dxfId="73" priority="126"/>
    <cfRule type="duplicateValues" dxfId="72" priority="124"/>
  </conditionalFormatting>
  <conditionalFormatting sqref="D1006">
    <cfRule type="duplicateValues" dxfId="71" priority="102"/>
    <cfRule type="duplicateValues" dxfId="70" priority="103"/>
    <cfRule type="duplicateValues" dxfId="69" priority="104"/>
    <cfRule type="duplicateValues" dxfId="68" priority="105"/>
  </conditionalFormatting>
  <conditionalFormatting sqref="D1022">
    <cfRule type="duplicateValues" dxfId="67" priority="59"/>
    <cfRule type="duplicateValues" dxfId="66" priority="58"/>
    <cfRule type="duplicateValues" dxfId="65" priority="86"/>
    <cfRule type="duplicateValues" dxfId="64" priority="85"/>
    <cfRule type="duplicateValues" dxfId="63" priority="84"/>
    <cfRule type="duplicateValues" dxfId="62" priority="83"/>
    <cfRule type="duplicateValues" dxfId="61" priority="76"/>
    <cfRule type="duplicateValues" dxfId="60" priority="82"/>
    <cfRule type="duplicateValues" dxfId="59" priority="75"/>
    <cfRule type="duplicateValues" dxfId="58" priority="60"/>
    <cfRule type="duplicateValues" dxfId="57" priority="68"/>
    <cfRule type="duplicateValues" dxfId="56" priority="74"/>
    <cfRule type="duplicateValues" dxfId="55" priority="73"/>
    <cfRule type="duplicateValues" dxfId="54" priority="72"/>
    <cfRule type="duplicateValues" dxfId="53" priority="71"/>
    <cfRule type="duplicateValues" dxfId="52" priority="70"/>
    <cfRule type="duplicateValues" dxfId="51" priority="69"/>
    <cfRule type="duplicateValues" dxfId="50" priority="67"/>
    <cfRule type="duplicateValues" dxfId="49" priority="66"/>
    <cfRule type="duplicateValues" dxfId="48" priority="65"/>
    <cfRule type="duplicateValues" dxfId="47" priority="64"/>
    <cfRule type="duplicateValues" dxfId="46" priority="63"/>
    <cfRule type="duplicateValues" dxfId="45" priority="62"/>
    <cfRule type="duplicateValues" dxfId="44" priority="61"/>
    <cfRule type="duplicateValues" dxfId="43" priority="81"/>
    <cfRule type="duplicateValues" dxfId="42" priority="80"/>
    <cfRule type="duplicateValues" dxfId="41" priority="79"/>
    <cfRule type="duplicateValues" dxfId="40" priority="78"/>
    <cfRule type="duplicateValues" dxfId="39" priority="77"/>
  </conditionalFormatting>
  <conditionalFormatting sqref="D1023:D1026">
    <cfRule type="duplicateValues" dxfId="38" priority="49"/>
    <cfRule type="duplicateValues" dxfId="37" priority="47"/>
    <cfRule type="duplicateValues" dxfId="36" priority="46"/>
    <cfRule type="duplicateValues" dxfId="35" priority="45"/>
    <cfRule type="duplicateValues" dxfId="34" priority="44"/>
    <cfRule type="duplicateValues" dxfId="33" priority="43"/>
    <cfRule type="duplicateValues" dxfId="32" priority="42"/>
    <cfRule type="duplicateValues" dxfId="31" priority="41"/>
    <cfRule type="duplicateValues" dxfId="30" priority="40"/>
    <cfRule type="duplicateValues" dxfId="29" priority="39"/>
    <cfRule type="duplicateValues" dxfId="28" priority="38"/>
    <cfRule type="duplicateValues" dxfId="27" priority="37"/>
    <cfRule type="duplicateValues" dxfId="26" priority="36"/>
    <cfRule type="duplicateValues" dxfId="25" priority="35"/>
    <cfRule type="duplicateValues" dxfId="24" priority="34"/>
    <cfRule type="duplicateValues" dxfId="23" priority="33"/>
    <cfRule type="duplicateValues" dxfId="22" priority="32"/>
    <cfRule type="duplicateValues" dxfId="21" priority="48"/>
  </conditionalFormatting>
  <conditionalFormatting sqref="D1027:D1028">
    <cfRule type="duplicateValues" dxfId="20" priority="8"/>
    <cfRule type="duplicateValues" dxfId="19" priority="7"/>
    <cfRule type="duplicateValues" dxfId="18" priority="22"/>
    <cfRule type="duplicateValues" dxfId="17" priority="21"/>
    <cfRule type="duplicateValues" dxfId="16" priority="20"/>
    <cfRule type="duplicateValues" dxfId="15" priority="19"/>
    <cfRule type="duplicateValues" dxfId="14" priority="18"/>
    <cfRule type="duplicateValues" dxfId="13" priority="17"/>
    <cfRule type="duplicateValues" dxfId="12" priority="23"/>
    <cfRule type="duplicateValues" dxfId="11" priority="24"/>
    <cfRule type="duplicateValues" dxfId="10" priority="15"/>
    <cfRule type="duplicateValues" dxfId="9" priority="14"/>
    <cfRule type="duplicateValues" dxfId="8" priority="13"/>
    <cfRule type="duplicateValues" dxfId="7" priority="12"/>
    <cfRule type="duplicateValues" dxfId="6" priority="11"/>
    <cfRule type="duplicateValues" dxfId="5" priority="10"/>
    <cfRule type="duplicateValues" dxfId="4" priority="9"/>
    <cfRule type="duplicateValues" dxfId="3" priority="16"/>
  </conditionalFormatting>
  <conditionalFormatting sqref="AD850:XFD850">
    <cfRule type="duplicateValues" dxfId="2" priority="616"/>
    <cfRule type="duplicateValues" dxfId="1" priority="618"/>
    <cfRule type="duplicateValues" dxfId="0" priority="6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INSTANCES DIVO</vt:lpstr>
      <vt:lpstr>SUIVI RACCORDEMENT DIVO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 DESSINATEUR</dc:creator>
  <cp:lastModifiedBy>Dorgeles Kean</cp:lastModifiedBy>
  <dcterms:created xsi:type="dcterms:W3CDTF">2025-02-03T10:54:10Z</dcterms:created>
  <dcterms:modified xsi:type="dcterms:W3CDTF">2026-02-16T09:06:45Z</dcterms:modified>
</cp:coreProperties>
</file>