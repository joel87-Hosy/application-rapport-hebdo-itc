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E156D315-CBCC-4E81-A317-AF1F823659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OLUTION+" sheetId="68" r:id="rId1"/>
    <sheet name="Synth raccordement" sheetId="3" state="hidden" r:id="rId2"/>
    <sheet name="GLOBAL" sheetId="66" state="hidden" r:id="rId3"/>
    <sheet name="Recup Instances par zone" sheetId="4" state="hidden" r:id="rId4"/>
    <sheet name="TCD" sheetId="63" state="hidden" r:id="rId5"/>
    <sheet name="recup instances faisables" sheetId="2" state="hidden" r:id="rId6"/>
    <sheet name="instances sans PCO" sheetId="5" state="hidden" r:id="rId7"/>
    <sheet name="25 03 2024" sheetId="30" state="hidden" r:id="rId8"/>
    <sheet name="Feuil2" sheetId="58" state="hidden" r:id="rId9"/>
    <sheet name="Instances avec PCO" sheetId="6" state="hidden" r:id="rId10"/>
    <sheet name="Traitement  instances faisables" sheetId="1" state="hidden" r:id="rId11"/>
    <sheet name="canevas instances allegé " sheetId="7" state="hidden" r:id="rId12"/>
    <sheet name="Items" sheetId="8" state="hidden" r:id="rId13"/>
    <sheet name=" avec PCO Et besoin" sheetId="64" state="hidden" r:id="rId14"/>
    <sheet name="Feuil3" sheetId="65" state="hidden" r:id="rId15"/>
    <sheet name="Canevas Instances Raccordées" sheetId="9" state="hidden" r:id="rId16"/>
  </sheets>
  <definedNames>
    <definedName name="_xlnm._FilterDatabase" localSheetId="11" hidden="1">'canevas instances allegé '!$A$1:$N$886</definedName>
    <definedName name="_xlnm._FilterDatabase" localSheetId="15" hidden="1">'Canevas Instances Raccordées'!$A$1:$N$1170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68" l="1"/>
  <c r="C7" i="68" l="1"/>
  <c r="C5" i="68"/>
  <c r="E8" i="68"/>
  <c r="E6" i="68" s="1"/>
  <c r="E4" i="68" s="1"/>
  <c r="F8" i="68"/>
  <c r="F6" i="68" s="1"/>
  <c r="F4" i="68" s="1"/>
  <c r="G8" i="68"/>
  <c r="G6" i="68" s="1"/>
  <c r="G4" i="68" s="1"/>
  <c r="H8" i="68"/>
  <c r="H6" i="68" s="1"/>
  <c r="H4" i="68" s="1"/>
  <c r="I8" i="68"/>
  <c r="I6" i="68" s="1"/>
  <c r="I4" i="68" s="1"/>
  <c r="J8" i="68"/>
  <c r="J6" i="68" s="1"/>
  <c r="J4" i="68" s="1"/>
  <c r="D8" i="68"/>
  <c r="D6" i="68" s="1"/>
  <c r="D4" i="68" s="1"/>
  <c r="C10" i="68"/>
  <c r="C9" i="68"/>
  <c r="C8" i="68" l="1"/>
  <c r="H19" i="68" l="1"/>
  <c r="I19" i="68"/>
  <c r="J19" i="68"/>
  <c r="D19" i="68"/>
  <c r="E19" i="68"/>
  <c r="F19" i="68"/>
  <c r="G19" i="68"/>
  <c r="C4" i="68" l="1"/>
  <c r="C6" i="68"/>
  <c r="L8" i="68"/>
  <c r="L7" i="68"/>
  <c r="L6" i="68" s="1"/>
  <c r="L5" i="68"/>
  <c r="H50" i="68" l="1"/>
  <c r="C15" i="68" l="1"/>
  <c r="C16" i="68"/>
  <c r="C18" i="68"/>
  <c r="C17" i="68"/>
  <c r="F80" i="68" l="1"/>
  <c r="E80" i="68"/>
  <c r="D80" i="68"/>
  <c r="D9" i="3"/>
  <c r="E9" i="3"/>
  <c r="F9" i="3"/>
  <c r="G9" i="3"/>
  <c r="H9" i="3"/>
  <c r="I9" i="3"/>
  <c r="J9" i="3"/>
  <c r="C4" i="3"/>
  <c r="C5" i="3"/>
  <c r="C6" i="3"/>
  <c r="C7" i="3"/>
  <c r="C19" i="68" l="1"/>
  <c r="E3" i="3" l="1"/>
  <c r="F3" i="3"/>
  <c r="G3" i="3"/>
  <c r="H3" i="3"/>
  <c r="I3" i="3"/>
  <c r="J3" i="3"/>
  <c r="D3" i="3"/>
  <c r="C3" i="3" s="1"/>
  <c r="E17" i="3" l="1"/>
  <c r="F17" i="3"/>
  <c r="G17" i="3"/>
  <c r="H17" i="3"/>
  <c r="I17" i="3"/>
  <c r="J17" i="3"/>
  <c r="D17" i="3"/>
  <c r="C23" i="3"/>
  <c r="C24" i="3"/>
  <c r="C25" i="3"/>
  <c r="C26" i="3"/>
  <c r="C27" i="3"/>
  <c r="C28" i="3"/>
  <c r="C29" i="3"/>
  <c r="C30" i="3"/>
  <c r="C22" i="3"/>
  <c r="C21" i="3"/>
  <c r="C16" i="3"/>
  <c r="C15" i="3"/>
  <c r="C14" i="3"/>
  <c r="C13" i="3"/>
  <c r="C8" i="3"/>
  <c r="C9" i="3" s="1"/>
  <c r="J31" i="3"/>
  <c r="C9" i="66"/>
  <c r="J35" i="3" l="1"/>
  <c r="B9" i="66"/>
  <c r="I31" i="3"/>
  <c r="C17" i="3" l="1"/>
  <c r="I35" i="3"/>
  <c r="D64" i="3"/>
  <c r="K135" i="3" l="1"/>
  <c r="L135" i="3"/>
  <c r="G135" i="3"/>
  <c r="H135" i="3"/>
  <c r="I135" i="3"/>
  <c r="J135" i="3"/>
  <c r="F135" i="3"/>
  <c r="E135" i="3"/>
  <c r="H31" i="3" l="1"/>
  <c r="H35" i="3" s="1"/>
  <c r="G31" i="3"/>
  <c r="F31" i="3"/>
  <c r="E31" i="3"/>
  <c r="D31" i="3"/>
  <c r="C31" i="3" l="1"/>
  <c r="D35" i="3"/>
  <c r="G35" i="3"/>
  <c r="F35" i="3"/>
  <c r="E35" i="3"/>
  <c r="C35" i="3" l="1"/>
  <c r="E64" i="3"/>
  <c r="C64" i="3"/>
  <c r="B29" i="5" l="1"/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G3" i="7" l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B23" i="64" l="1"/>
  <c r="G886" i="7"/>
  <c r="G885" i="7"/>
  <c r="G884" i="7"/>
  <c r="G883" i="7"/>
  <c r="G882" i="7"/>
  <c r="G881" i="7"/>
  <c r="G880" i="7"/>
  <c r="G879" i="7"/>
  <c r="G878" i="7"/>
  <c r="G877" i="7"/>
  <c r="G876" i="7"/>
  <c r="G875" i="7"/>
  <c r="G874" i="7"/>
  <c r="G873" i="7"/>
  <c r="G872" i="7"/>
  <c r="G871" i="7"/>
  <c r="G870" i="7"/>
  <c r="G869" i="7"/>
  <c r="G868" i="7"/>
  <c r="G867" i="7"/>
  <c r="G866" i="7"/>
  <c r="G865" i="7"/>
  <c r="G864" i="7"/>
  <c r="G863" i="7"/>
  <c r="G862" i="7"/>
  <c r="G861" i="7"/>
  <c r="G860" i="7"/>
  <c r="G859" i="7"/>
  <c r="G858" i="7"/>
  <c r="G857" i="7"/>
  <c r="G856" i="7"/>
  <c r="G855" i="7"/>
  <c r="G854" i="7"/>
  <c r="G853" i="7"/>
  <c r="G852" i="7"/>
  <c r="G851" i="7"/>
  <c r="G850" i="7"/>
  <c r="G849" i="7"/>
  <c r="G848" i="7"/>
  <c r="G847" i="7"/>
  <c r="G846" i="7"/>
  <c r="G845" i="7"/>
  <c r="G844" i="7"/>
  <c r="G843" i="7"/>
  <c r="G842" i="7"/>
  <c r="G841" i="7"/>
  <c r="G840" i="7"/>
  <c r="G839" i="7"/>
  <c r="G838" i="7"/>
  <c r="G837" i="7"/>
  <c r="G836" i="7"/>
  <c r="G835" i="7"/>
  <c r="G834" i="7"/>
  <c r="G833" i="7"/>
  <c r="G832" i="7"/>
  <c r="G831" i="7"/>
  <c r="G830" i="7"/>
  <c r="G829" i="7"/>
  <c r="G828" i="7"/>
  <c r="G827" i="7"/>
  <c r="G826" i="7"/>
  <c r="G825" i="7"/>
  <c r="G824" i="7"/>
  <c r="G823" i="7"/>
  <c r="G822" i="7"/>
  <c r="G821" i="7"/>
  <c r="G820" i="7"/>
  <c r="G819" i="7"/>
  <c r="G818" i="7"/>
  <c r="G817" i="7"/>
  <c r="G816" i="7"/>
  <c r="G815" i="7"/>
  <c r="G814" i="7"/>
  <c r="G813" i="7"/>
  <c r="G812" i="7"/>
  <c r="G811" i="7"/>
  <c r="G810" i="7"/>
  <c r="G809" i="7"/>
  <c r="G808" i="7"/>
  <c r="G807" i="7"/>
  <c r="G806" i="7"/>
  <c r="G805" i="7"/>
  <c r="G804" i="7"/>
  <c r="G803" i="7"/>
  <c r="G802" i="7"/>
  <c r="G801" i="7"/>
  <c r="G800" i="7"/>
  <c r="G799" i="7"/>
  <c r="G798" i="7"/>
  <c r="G797" i="7"/>
  <c r="G796" i="7"/>
  <c r="G795" i="7"/>
  <c r="G794" i="7"/>
  <c r="G793" i="7"/>
  <c r="G792" i="7"/>
  <c r="G791" i="7"/>
  <c r="G790" i="7"/>
  <c r="G789" i="7"/>
  <c r="G788" i="7"/>
  <c r="G787" i="7"/>
  <c r="G786" i="7"/>
  <c r="G785" i="7"/>
  <c r="G784" i="7"/>
  <c r="G783" i="7"/>
  <c r="G782" i="7"/>
  <c r="G781" i="7"/>
  <c r="G780" i="7"/>
  <c r="G779" i="7"/>
  <c r="G778" i="7"/>
  <c r="G777" i="7"/>
  <c r="G776" i="7"/>
  <c r="G775" i="7"/>
  <c r="G774" i="7"/>
  <c r="G773" i="7"/>
  <c r="G772" i="7"/>
  <c r="G771" i="7"/>
  <c r="G770" i="7"/>
  <c r="G769" i="7"/>
  <c r="G768" i="7"/>
  <c r="G767" i="7"/>
  <c r="G766" i="7"/>
  <c r="G765" i="7"/>
  <c r="G764" i="7"/>
  <c r="G763" i="7"/>
  <c r="G762" i="7"/>
  <c r="G761" i="7"/>
  <c r="G760" i="7"/>
  <c r="G759" i="7"/>
  <c r="G758" i="7"/>
  <c r="G757" i="7"/>
  <c r="G756" i="7"/>
  <c r="G755" i="7"/>
  <c r="G754" i="7"/>
  <c r="G753" i="7"/>
  <c r="G752" i="7"/>
  <c r="G751" i="7"/>
  <c r="G750" i="7"/>
  <c r="G749" i="7"/>
  <c r="G748" i="7"/>
  <c r="G747" i="7"/>
  <c r="G746" i="7"/>
  <c r="G745" i="7"/>
  <c r="G744" i="7"/>
  <c r="G743" i="7"/>
  <c r="G742" i="7"/>
  <c r="G741" i="7"/>
  <c r="G740" i="7"/>
  <c r="G739" i="7"/>
  <c r="G738" i="7"/>
  <c r="G737" i="7"/>
  <c r="G736" i="7"/>
  <c r="G735" i="7"/>
  <c r="G734" i="7"/>
  <c r="G733" i="7"/>
  <c r="G732" i="7"/>
  <c r="G731" i="7"/>
  <c r="G730" i="7"/>
  <c r="G729" i="7"/>
  <c r="G728" i="7"/>
  <c r="G727" i="7"/>
  <c r="G726" i="7"/>
  <c r="G725" i="7"/>
  <c r="G724" i="7"/>
  <c r="G723" i="7"/>
  <c r="G722" i="7"/>
  <c r="G721" i="7"/>
  <c r="G720" i="7"/>
  <c r="G719" i="7"/>
  <c r="G718" i="7"/>
  <c r="G717" i="7"/>
  <c r="G716" i="7"/>
  <c r="G715" i="7"/>
  <c r="G714" i="7"/>
  <c r="G713" i="7"/>
  <c r="G712" i="7"/>
  <c r="G711" i="7"/>
  <c r="G710" i="7"/>
  <c r="G709" i="7"/>
  <c r="G708" i="7"/>
  <c r="G707" i="7"/>
  <c r="G706" i="7"/>
  <c r="G705" i="7"/>
  <c r="G704" i="7"/>
  <c r="G703" i="7"/>
  <c r="G702" i="7"/>
  <c r="G701" i="7"/>
  <c r="G700" i="7"/>
  <c r="G699" i="7"/>
  <c r="G698" i="7"/>
  <c r="G697" i="7"/>
  <c r="G696" i="7"/>
  <c r="G695" i="7"/>
  <c r="G694" i="7"/>
  <c r="G693" i="7"/>
  <c r="G692" i="7"/>
  <c r="G691" i="7"/>
  <c r="G690" i="7"/>
  <c r="G689" i="7"/>
  <c r="G688" i="7"/>
  <c r="G687" i="7"/>
  <c r="G686" i="7"/>
  <c r="G685" i="7"/>
  <c r="G684" i="7"/>
  <c r="G683" i="7"/>
  <c r="G682" i="7"/>
  <c r="G681" i="7"/>
  <c r="G680" i="7"/>
  <c r="G679" i="7"/>
  <c r="G678" i="7"/>
  <c r="G677" i="7"/>
  <c r="G676" i="7"/>
  <c r="G675" i="7"/>
  <c r="G674" i="7"/>
  <c r="G673" i="7"/>
  <c r="G672" i="7"/>
  <c r="G671" i="7"/>
  <c r="G670" i="7"/>
  <c r="G669" i="7"/>
  <c r="G668" i="7"/>
  <c r="G667" i="7"/>
  <c r="G666" i="7"/>
  <c r="G665" i="7"/>
  <c r="G664" i="7"/>
  <c r="G663" i="7"/>
  <c r="G662" i="7"/>
  <c r="G661" i="7"/>
  <c r="G660" i="7"/>
  <c r="G659" i="7"/>
  <c r="G658" i="7"/>
  <c r="G657" i="7"/>
  <c r="G656" i="7"/>
  <c r="G655" i="7"/>
  <c r="G654" i="7"/>
  <c r="G653" i="7"/>
  <c r="G652" i="7"/>
  <c r="G651" i="7"/>
  <c r="G650" i="7"/>
  <c r="G649" i="7"/>
  <c r="G648" i="7"/>
  <c r="G647" i="7"/>
  <c r="G646" i="7"/>
  <c r="G645" i="7"/>
  <c r="G644" i="7"/>
  <c r="G643" i="7"/>
  <c r="G642" i="7"/>
  <c r="G641" i="7"/>
  <c r="G640" i="7"/>
  <c r="G639" i="7"/>
  <c r="G638" i="7"/>
  <c r="G637" i="7"/>
  <c r="G636" i="7"/>
  <c r="G635" i="7"/>
  <c r="G634" i="7"/>
  <c r="G633" i="7"/>
  <c r="G632" i="7"/>
  <c r="G631" i="7"/>
  <c r="G630" i="7"/>
  <c r="G629" i="7"/>
  <c r="G628" i="7"/>
  <c r="G627" i="7"/>
  <c r="G626" i="7"/>
  <c r="G625" i="7"/>
  <c r="G624" i="7"/>
  <c r="G623" i="7"/>
  <c r="G622" i="7"/>
  <c r="G621" i="7"/>
  <c r="G620" i="7"/>
  <c r="G619" i="7"/>
  <c r="G618" i="7"/>
  <c r="G617" i="7"/>
  <c r="G616" i="7"/>
  <c r="G615" i="7"/>
  <c r="G614" i="7"/>
  <c r="G613" i="7"/>
  <c r="G612" i="7"/>
  <c r="G611" i="7"/>
  <c r="G610" i="7"/>
  <c r="G609" i="7"/>
  <c r="G608" i="7"/>
  <c r="G607" i="7"/>
  <c r="G606" i="7"/>
  <c r="G605" i="7"/>
  <c r="G604" i="7"/>
  <c r="G603" i="7"/>
  <c r="G602" i="7"/>
  <c r="G601" i="7"/>
  <c r="G600" i="7"/>
  <c r="G599" i="7"/>
  <c r="G598" i="7"/>
  <c r="G597" i="7"/>
  <c r="G596" i="7"/>
  <c r="G595" i="7"/>
  <c r="G594" i="7"/>
  <c r="G593" i="7"/>
  <c r="G592" i="7"/>
  <c r="G591" i="7"/>
  <c r="G590" i="7"/>
  <c r="G589" i="7"/>
  <c r="G588" i="7"/>
  <c r="G587" i="7"/>
  <c r="G586" i="7"/>
  <c r="G585" i="7"/>
  <c r="G584" i="7"/>
  <c r="G583" i="7"/>
  <c r="G582" i="7"/>
  <c r="G581" i="7"/>
  <c r="G580" i="7"/>
  <c r="G579" i="7"/>
  <c r="G578" i="7"/>
  <c r="G577" i="7"/>
  <c r="G576" i="7"/>
  <c r="G575" i="7"/>
  <c r="G574" i="7"/>
  <c r="G573" i="7"/>
  <c r="G572" i="7"/>
  <c r="G571" i="7"/>
  <c r="G570" i="7"/>
  <c r="G569" i="7"/>
  <c r="G568" i="7"/>
  <c r="G567" i="7"/>
  <c r="G566" i="7"/>
  <c r="G565" i="7"/>
  <c r="G564" i="7"/>
  <c r="G563" i="7"/>
  <c r="G562" i="7"/>
  <c r="G561" i="7"/>
  <c r="G560" i="7"/>
  <c r="G559" i="7"/>
  <c r="G558" i="7"/>
  <c r="G557" i="7"/>
  <c r="G556" i="7"/>
  <c r="G555" i="7"/>
  <c r="G554" i="7"/>
  <c r="G553" i="7"/>
  <c r="G552" i="7"/>
  <c r="G551" i="7"/>
  <c r="G550" i="7"/>
  <c r="G549" i="7"/>
  <c r="G2" i="7"/>
  <c r="G62" i="2"/>
  <c r="H62" i="2"/>
  <c r="F62" i="2"/>
  <c r="C62" i="2"/>
  <c r="D62" i="2"/>
  <c r="E62" i="2"/>
  <c r="H69" i="2"/>
  <c r="G69" i="2"/>
  <c r="F69" i="2"/>
  <c r="E69" i="2"/>
  <c r="D69" i="2"/>
  <c r="C69" i="2"/>
  <c r="C56" i="2"/>
  <c r="H56" i="2"/>
  <c r="G56" i="2"/>
  <c r="F56" i="2"/>
  <c r="E56" i="2"/>
  <c r="D56" i="2"/>
  <c r="D35" i="2"/>
  <c r="E35" i="2"/>
  <c r="F35" i="2"/>
  <c r="G35" i="2"/>
  <c r="H35" i="2"/>
  <c r="C35" i="2"/>
  <c r="D28" i="2"/>
  <c r="E28" i="2"/>
  <c r="F28" i="2"/>
  <c r="G28" i="2"/>
  <c r="H28" i="2"/>
  <c r="C28" i="2"/>
  <c r="D21" i="2"/>
  <c r="E21" i="2"/>
  <c r="F21" i="2"/>
  <c r="G21" i="2"/>
  <c r="H21" i="2"/>
  <c r="C21" i="2"/>
  <c r="I23" i="4"/>
  <c r="I22" i="4"/>
  <c r="E36" i="2" l="1"/>
  <c r="I69" i="2"/>
  <c r="I56" i="2"/>
  <c r="E70" i="2"/>
  <c r="G70" i="2"/>
  <c r="C36" i="2"/>
  <c r="I28" i="2"/>
  <c r="G36" i="2"/>
  <c r="I21" i="2"/>
  <c r="D32" i="4"/>
  <c r="E32" i="4"/>
  <c r="F32" i="4"/>
  <c r="G32" i="4"/>
  <c r="H32" i="4"/>
  <c r="C32" i="4"/>
  <c r="D25" i="4"/>
  <c r="E25" i="4"/>
  <c r="F25" i="4"/>
  <c r="G25" i="4"/>
  <c r="H25" i="4"/>
  <c r="C25" i="4"/>
  <c r="I62" i="2" l="1"/>
  <c r="C70" i="2"/>
  <c r="I70" i="2" s="1"/>
  <c r="C18" i="4" l="1"/>
  <c r="C33" i="4" s="1"/>
  <c r="D18" i="4"/>
  <c r="D33" i="4" s="1"/>
  <c r="F18" i="4"/>
  <c r="F33" i="4" s="1"/>
  <c r="G18" i="4"/>
  <c r="G33" i="4" s="1"/>
  <c r="H18" i="4"/>
  <c r="H33" i="4" s="1"/>
  <c r="E18" i="4"/>
  <c r="E33" i="4" s="1"/>
  <c r="I17" i="4" l="1"/>
  <c r="I24" i="4"/>
  <c r="J68" i="2" l="1"/>
  <c r="J67" i="2"/>
  <c r="J66" i="2"/>
  <c r="J65" i="2"/>
  <c r="J64" i="2"/>
  <c r="J63" i="2"/>
  <c r="J61" i="2"/>
  <c r="J60" i="2"/>
  <c r="J59" i="2"/>
  <c r="J58" i="2"/>
  <c r="J57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2" i="2"/>
  <c r="J23" i="2"/>
  <c r="J24" i="2"/>
  <c r="J25" i="2"/>
  <c r="J26" i="2"/>
  <c r="J27" i="2"/>
  <c r="J29" i="2"/>
  <c r="J30" i="2"/>
  <c r="J31" i="2"/>
  <c r="J32" i="2"/>
  <c r="J33" i="2"/>
  <c r="J34" i="2"/>
  <c r="K31" i="1" l="1"/>
  <c r="J31" i="1"/>
  <c r="I31" i="1"/>
  <c r="H31" i="1"/>
  <c r="G31" i="1"/>
  <c r="F31" i="1"/>
  <c r="E31" i="1"/>
  <c r="D31" i="1"/>
  <c r="C31" i="1"/>
  <c r="B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I32" i="1" l="1"/>
  <c r="L32" i="1" s="1"/>
  <c r="L31" i="1"/>
  <c r="J6" i="2" l="1"/>
  <c r="D29" i="5" l="1"/>
  <c r="D23" i="6"/>
  <c r="B23" i="6"/>
  <c r="I30" i="4" l="1"/>
  <c r="I36" i="2" l="1"/>
  <c r="I35" i="2"/>
  <c r="J36" i="2" s="1"/>
  <c r="I21" i="4" l="1"/>
  <c r="I31" i="4" l="1"/>
  <c r="I29" i="4"/>
  <c r="I26" i="4"/>
  <c r="I27" i="4"/>
  <c r="I28" i="4"/>
  <c r="I20" i="4"/>
  <c r="I19" i="4"/>
  <c r="I2" i="4" l="1"/>
</calcChain>
</file>

<file path=xl/sharedStrings.xml><?xml version="1.0" encoding="utf-8"?>
<sst xmlns="http://schemas.openxmlformats.org/spreadsheetml/2006/main" count="13341" uniqueCount="4288">
  <si>
    <t>En cours d'etude</t>
  </si>
  <si>
    <t>sans PCO</t>
  </si>
  <si>
    <t>avec PCO</t>
  </si>
  <si>
    <t xml:space="preserve"> =&lt;24H</t>
  </si>
  <si>
    <t xml:space="preserve"> 24H &gt;</t>
  </si>
  <si>
    <t>commentaires</t>
  </si>
  <si>
    <t>3j &gt;</t>
  </si>
  <si>
    <t>Zone</t>
  </si>
  <si>
    <t>Nbre PCO déployés</t>
  </si>
  <si>
    <t>Taux d'occupation PCO</t>
  </si>
  <si>
    <t>Principaux problemes  de la zone bloquant les raccordements</t>
  </si>
  <si>
    <r>
      <t xml:space="preserve">Instances faisables
</t>
    </r>
    <r>
      <rPr>
        <sz val="9"/>
        <color theme="5" tint="-0.249977111117893"/>
        <rFont val="Calibri"/>
        <family val="2"/>
        <scheme val="minor"/>
      </rPr>
      <t>( En cours d'etude , sans PCO, avec PCO )</t>
    </r>
  </si>
  <si>
    <r>
      <t xml:space="preserve">Instances non faisables 
</t>
    </r>
    <r>
      <rPr>
        <sz val="9"/>
        <color theme="5" tint="-0.249977111117893"/>
        <rFont val="Calibri"/>
        <family val="2"/>
        <scheme val="minor"/>
      </rPr>
      <t>( Pb clients , Hors Zone , Blocage syndiques, autres )</t>
    </r>
  </si>
  <si>
    <t>Nbre de clients raccordés</t>
  </si>
  <si>
    <t>ville</t>
  </si>
  <si>
    <t>ZONE</t>
  </si>
  <si>
    <t>&lt;=3j</t>
  </si>
  <si>
    <t xml:space="preserve"> &lt;=7j</t>
  </si>
  <si>
    <t>7j &gt;</t>
  </si>
  <si>
    <t>&lt;=150</t>
  </si>
  <si>
    <t>150&lt;x&lt;300</t>
  </si>
  <si>
    <t>x&gt;300</t>
  </si>
  <si>
    <t>Commentaires</t>
  </si>
  <si>
    <t>Délais :</t>
  </si>
  <si>
    <t>instances sans PCO</t>
  </si>
  <si>
    <t>instances avec PCO</t>
  </si>
  <si>
    <t xml:space="preserve">Instances &amp; délai </t>
  </si>
  <si>
    <t xml:space="preserve"> &lt;=350</t>
  </si>
  <si>
    <t>350&lt;x&lt;500</t>
  </si>
  <si>
    <t>x&gt;500</t>
  </si>
  <si>
    <t>délai raccordements</t>
  </si>
  <si>
    <t>sans blocage</t>
  </si>
  <si>
    <t>avec blocage</t>
  </si>
  <si>
    <t xml:space="preserve">cause </t>
  </si>
  <si>
    <t xml:space="preserve">actions prevues </t>
  </si>
  <si>
    <t>instances avec  PCO</t>
  </si>
  <si>
    <t>Indisponibles</t>
  </si>
  <si>
    <t>Refus d'installations</t>
  </si>
  <si>
    <t>Demenagements</t>
  </si>
  <si>
    <t>Probleme clients</t>
  </si>
  <si>
    <t>Injoiniables</t>
  </si>
  <si>
    <t>Hors zone</t>
  </si>
  <si>
    <t>déploiement en cours</t>
  </si>
  <si>
    <t>déploiement planifié</t>
  </si>
  <si>
    <t>non planifié</t>
  </si>
  <si>
    <t>refus total</t>
  </si>
  <si>
    <t>en cours nego</t>
  </si>
  <si>
    <t>Probleme Syndic/Riverains</t>
  </si>
  <si>
    <t>refus deploiement    PBT</t>
  </si>
  <si>
    <t>CLIENT ID</t>
  </si>
  <si>
    <t>NOMS_PRENOMS</t>
  </si>
  <si>
    <t>SRO</t>
  </si>
  <si>
    <t>PCO</t>
  </si>
  <si>
    <t>Date enregistrement</t>
  </si>
  <si>
    <t>Date envoi prestataire</t>
  </si>
  <si>
    <t>Ancienneté par jour</t>
  </si>
  <si>
    <t>Superviseur Moov</t>
  </si>
  <si>
    <t>Distance PCO-Client</t>
  </si>
  <si>
    <t>Avancement ( raccordé , BLOQUE , en cours de raccordement , ……)</t>
  </si>
  <si>
    <t>Problèmes</t>
  </si>
  <si>
    <t>Commentaires ( manque poteaux betons, metalliques, cable FO, …..)</t>
  </si>
  <si>
    <t>Statut</t>
  </si>
  <si>
    <t>Avancement</t>
  </si>
  <si>
    <t>Etude en cours</t>
  </si>
  <si>
    <t>Rien à signaler</t>
  </si>
  <si>
    <t>Sans PCO</t>
  </si>
  <si>
    <t>En cours de raccordement</t>
  </si>
  <si>
    <t>Indisponible</t>
  </si>
  <si>
    <t>Avec PCO</t>
  </si>
  <si>
    <t>Desaturation en cours</t>
  </si>
  <si>
    <t>Injoignable</t>
  </si>
  <si>
    <t>Problème Client</t>
  </si>
  <si>
    <t>Raccordé et tests realisés</t>
  </si>
  <si>
    <t>Problème Riverain</t>
  </si>
  <si>
    <t>raccordé et tests non réalisés</t>
  </si>
  <si>
    <t>Implantation de Poteau Béton</t>
  </si>
  <si>
    <t>Problème Syndic</t>
  </si>
  <si>
    <t>Bloqué</t>
  </si>
  <si>
    <t>Déploiement du nouveau PCO en cours</t>
  </si>
  <si>
    <t>Refus d'installation</t>
  </si>
  <si>
    <t>Absence de Puissance</t>
  </si>
  <si>
    <t>Problème Bailleur</t>
  </si>
  <si>
    <t>Autre</t>
  </si>
  <si>
    <t>Contact Erroné</t>
  </si>
  <si>
    <t>Absence de Contact</t>
  </si>
  <si>
    <t>Transfert de ligne (En déménagement)</t>
  </si>
  <si>
    <t>PCO saturé</t>
  </si>
  <si>
    <t>Doublon de commande</t>
  </si>
  <si>
    <t>Zone à risque (haute tension)</t>
  </si>
  <si>
    <t>ABIDJAN</t>
  </si>
  <si>
    <t>7eme TRANCHE</t>
  </si>
  <si>
    <t>AKANDJE</t>
  </si>
  <si>
    <t>ANADER</t>
  </si>
  <si>
    <t>ANGRE CHÂTEAU</t>
  </si>
  <si>
    <t>ARCADE</t>
  </si>
  <si>
    <t>ARECAS</t>
  </si>
  <si>
    <t>ATTOBAN</t>
  </si>
  <si>
    <t>DJIBI 01</t>
  </si>
  <si>
    <t>FAYA 02</t>
  </si>
  <si>
    <t>JULES VERNES</t>
  </si>
  <si>
    <t>LAURIER 01</t>
  </si>
  <si>
    <t>LAURIER 02</t>
  </si>
  <si>
    <t>ORIBAT 01</t>
  </si>
  <si>
    <t>PARIS VILLAGE 01</t>
  </si>
  <si>
    <t>STAR</t>
  </si>
  <si>
    <t xml:space="preserve">DJOROBITE </t>
  </si>
  <si>
    <t>BOUAKE</t>
  </si>
  <si>
    <t>BROUKRO 02</t>
  </si>
  <si>
    <t>MAROC</t>
  </si>
  <si>
    <t>YAMOUSSOUKRO</t>
  </si>
  <si>
    <t>YDG 01 / YKN 91</t>
  </si>
  <si>
    <t>YAS / YHA</t>
  </si>
  <si>
    <t>YMF / YEB</t>
  </si>
  <si>
    <t>YLO</t>
  </si>
  <si>
    <t xml:space="preserve">YDG 02 / YKN 02 </t>
  </si>
  <si>
    <t>Air France   OLT BCOM-BSP-BAF-BKY</t>
  </si>
  <si>
    <t>OLT 603 STADE BAH-BBK1-BCA-BNK</t>
  </si>
  <si>
    <t>FAYA 01</t>
  </si>
  <si>
    <t>ORIBAT</t>
  </si>
  <si>
    <t>AIR France</t>
  </si>
  <si>
    <t>DJOROBITE</t>
  </si>
  <si>
    <t>Nbre PCO vide</t>
  </si>
  <si>
    <t>Nbre PCO Saturé</t>
  </si>
  <si>
    <t>Date de raccordement du client</t>
  </si>
  <si>
    <t>CATHEDRALE / DARES</t>
  </si>
  <si>
    <t>RAB0000000114097</t>
  </si>
  <si>
    <t>RAB0000000010129</t>
  </si>
  <si>
    <t>RAB0000000109819</t>
  </si>
  <si>
    <t>RAB0000000108174</t>
  </si>
  <si>
    <t>ABDOULAYE BAMBA</t>
  </si>
  <si>
    <t>BAYETO VAGBA PATRICE</t>
  </si>
  <si>
    <t>KOUAME BROU STEPHANE</t>
  </si>
  <si>
    <t>KOUASSI SIDIKI FOUSSENE RAOUL</t>
  </si>
  <si>
    <t>KEDJ SECURITE</t>
  </si>
  <si>
    <t>ANGRE CHATEAU</t>
  </si>
  <si>
    <t>PARIS VILLAGE</t>
  </si>
  <si>
    <t>7 ème tranche</t>
  </si>
  <si>
    <t>JULES VERNE</t>
  </si>
  <si>
    <t>YHA</t>
  </si>
  <si>
    <t>RAB0000000114673</t>
  </si>
  <si>
    <t>AYE ANGBO ANSLEME</t>
  </si>
  <si>
    <t>RAB0000000114678</t>
  </si>
  <si>
    <t>NGUESSAN KOUAKOU PRINCE LESLY</t>
  </si>
  <si>
    <t>RAB0000000114988</t>
  </si>
  <si>
    <t>DJRO EPSE KOUAME NANDJUI TATIANA JACQUELINE</t>
  </si>
  <si>
    <t>YDG 01 / YKN01</t>
  </si>
  <si>
    <t>YDG 02 / YKN 02</t>
  </si>
  <si>
    <t>YEB / YMF</t>
  </si>
  <si>
    <t>TOTAL</t>
  </si>
  <si>
    <t>RAB0000000115490</t>
  </si>
  <si>
    <t>RAKA HASSAN</t>
  </si>
  <si>
    <t>LATH MEL HONORE</t>
  </si>
  <si>
    <t>RAB0000000115144</t>
  </si>
  <si>
    <t>YADJRO YABA MARIE-ALBERTINE</t>
  </si>
  <si>
    <t>RAB0000000115475</t>
  </si>
  <si>
    <t>DOUMBIA MASSIRA ADAH ZEINAB</t>
  </si>
  <si>
    <t>RAB0000000115174</t>
  </si>
  <si>
    <t>AHONON REMI</t>
  </si>
  <si>
    <t>RAB0000000115420</t>
  </si>
  <si>
    <t>DIBI EPOUSE EPONON ABRAN ALBERTINE</t>
  </si>
  <si>
    <t>RAB0000000115550</t>
  </si>
  <si>
    <t>KATCHE EKPOH EHILE BASILE</t>
  </si>
  <si>
    <t>ANADER 01</t>
  </si>
  <si>
    <t>DJOROBITE 01</t>
  </si>
  <si>
    <t>DJOROBITE 02</t>
  </si>
  <si>
    <t>LAURIER 07</t>
  </si>
  <si>
    <t>DJIBI</t>
  </si>
  <si>
    <t>AKOUE SANTE</t>
  </si>
  <si>
    <t>LAURIER 01 et 02</t>
  </si>
  <si>
    <t xml:space="preserve">PARIS VILLAGE </t>
  </si>
  <si>
    <t>RAB0000000113513</t>
  </si>
  <si>
    <t>RAB0000000114761</t>
  </si>
  <si>
    <t>DRAME RACINE (BKE)</t>
  </si>
  <si>
    <t>RAB0000000013536</t>
  </si>
  <si>
    <t>TRAORE KARNA YAKRO</t>
  </si>
  <si>
    <t>RAB0000000113134</t>
  </si>
  <si>
    <t>TRAORE BAYABOU YAKRO</t>
  </si>
  <si>
    <t>RAB0000000114963</t>
  </si>
  <si>
    <t>BAKAYOKO ELYSEE ADAMA BEDEL YAKRO</t>
  </si>
  <si>
    <t>RAB0000000114756</t>
  </si>
  <si>
    <t>KONAN AMENAN AVELLINE YAKRO</t>
  </si>
  <si>
    <t>RAB0000000115221</t>
  </si>
  <si>
    <t>CAMARA MAHAMADOU YAKRO</t>
  </si>
  <si>
    <t>RAB0000000115222</t>
  </si>
  <si>
    <t>KONE YOUSSOUF YAKRO</t>
  </si>
  <si>
    <t>RAB0000000115353</t>
  </si>
  <si>
    <t>CISSE FATOUMATA YAKRO</t>
  </si>
  <si>
    <t>RAB0000000115335</t>
  </si>
  <si>
    <t>KAMARA CHEICK ABOUBACAR YAKRO</t>
  </si>
  <si>
    <t>RAB0000000115216</t>
  </si>
  <si>
    <t>GNIZAKO  ZABOUO ANGE FERNAND INNOCENT YAKRO</t>
  </si>
  <si>
    <t>RAB0000000115321</t>
  </si>
  <si>
    <t>HOUESSOU AMOIN GRACE CARMELLE</t>
  </si>
  <si>
    <t>RAB0000000114984</t>
  </si>
  <si>
    <t>SERY GBELI HERVE LANDRY YAKRO</t>
  </si>
  <si>
    <t>RAB0000000115370</t>
  </si>
  <si>
    <t>GNOUKOURY EDWIGE YAKRO</t>
  </si>
  <si>
    <t>RAB0000000114978</t>
  </si>
  <si>
    <t>DOUABE TUI YANNICK PAUL</t>
  </si>
  <si>
    <t>RAB0000000114973</t>
  </si>
  <si>
    <t>DIARRA ABOUBACAR SALIOU</t>
  </si>
  <si>
    <t>RAB0000000115333</t>
  </si>
  <si>
    <t>KAMAROU ABDOUL BASIT ORNORPERO</t>
  </si>
  <si>
    <t>RAB0000000115247</t>
  </si>
  <si>
    <t>SIDIBE ADAMA YAKRO</t>
  </si>
  <si>
    <t>RAB0000000115046</t>
  </si>
  <si>
    <t>DIABY MOUSSA</t>
  </si>
  <si>
    <t>RAB0000000115322</t>
  </si>
  <si>
    <t>BARADJI EPOUSE ZABO FATOUMATA YAKRO</t>
  </si>
  <si>
    <t>RAB0000000115319</t>
  </si>
  <si>
    <t>GNAGNO MARIE LAURENCE DABIEH YAKRO</t>
  </si>
  <si>
    <t>Ahougnanssou</t>
  </si>
  <si>
    <t>Campus</t>
  </si>
  <si>
    <t>KENNEDY</t>
  </si>
  <si>
    <t>Air France</t>
  </si>
  <si>
    <t>Commerce</t>
  </si>
  <si>
    <t>BROUKRO</t>
  </si>
  <si>
    <t>Cathedrale</t>
  </si>
  <si>
    <t>Maroc D2</t>
  </si>
  <si>
    <t>Extension kennedy</t>
  </si>
  <si>
    <t>DARESALAM</t>
  </si>
  <si>
    <t>Broukro2</t>
  </si>
  <si>
    <t>Maroc D4</t>
  </si>
  <si>
    <t>BROUKRO2</t>
  </si>
  <si>
    <t>AHOUGNANSSOU</t>
  </si>
  <si>
    <t>KENNEDY EXTENSION</t>
  </si>
  <si>
    <t>Maroc D3</t>
  </si>
  <si>
    <t>YKN</t>
  </si>
  <si>
    <t>YEB</t>
  </si>
  <si>
    <t>YDG</t>
  </si>
  <si>
    <t>YMF</t>
  </si>
  <si>
    <t>YDG2</t>
  </si>
  <si>
    <t>YKN2</t>
  </si>
  <si>
    <t>Avec pco</t>
  </si>
  <si>
    <t>KOUASSI AYMARD</t>
  </si>
  <si>
    <t>FAYA</t>
  </si>
  <si>
    <t xml:space="preserve">LAURIER </t>
  </si>
  <si>
    <t xml:space="preserve">FAYA </t>
  </si>
  <si>
    <t xml:space="preserve">AKOUE SANTE </t>
  </si>
  <si>
    <t>YDG01 /YKN 01</t>
  </si>
  <si>
    <t>RAB0000000111105</t>
  </si>
  <si>
    <t>COULIBALY MARIETOU YAKRO</t>
  </si>
  <si>
    <t>RAB0000000111511</t>
  </si>
  <si>
    <t>KPAKO LUC</t>
  </si>
  <si>
    <t>RAB0000000111337</t>
  </si>
  <si>
    <t>CDT AKA ESPOIR-DESTIN</t>
  </si>
  <si>
    <t>RAB0000000111282</t>
  </si>
  <si>
    <t>SIMARI HASSAN</t>
  </si>
  <si>
    <t>RAB0000000109370</t>
  </si>
  <si>
    <t>BROU KOUASSI SAINT SOSTHENE</t>
  </si>
  <si>
    <t>RAB0000000111408</t>
  </si>
  <si>
    <t>LAMINE OUATTARA</t>
  </si>
  <si>
    <t>RAB0000000111538</t>
  </si>
  <si>
    <t>CHU FANGCHENG</t>
  </si>
  <si>
    <t>RAB0000000111413</t>
  </si>
  <si>
    <t>KOUAME AHOU CHRISTELLE</t>
  </si>
  <si>
    <t>RAB0000000111486</t>
  </si>
  <si>
    <t>LOUA SIHARE MARIE JOSEE RICHMONDE</t>
  </si>
  <si>
    <t>RAB0000000111388</t>
  </si>
  <si>
    <t>YAO EPSE DJEHA NGUESSAN EMILIENNE</t>
  </si>
  <si>
    <t>RAB0000000111403</t>
  </si>
  <si>
    <t>MVEMBA MENAKUNTUALA BENI HUGUES GRACE</t>
  </si>
  <si>
    <t>RAB0000000111333</t>
  </si>
  <si>
    <t>BANAO THOMAS</t>
  </si>
  <si>
    <t>RAB0000000111351</t>
  </si>
  <si>
    <t>TOURE GBEKE SIE IBRAHIMAN KADER</t>
  </si>
  <si>
    <t>RAB0000000111524</t>
  </si>
  <si>
    <t>OUATTARA MOUSSA (BKE)</t>
  </si>
  <si>
    <t>RAB0000000111417</t>
  </si>
  <si>
    <t>KONE SIAKA (BOUAKE)</t>
  </si>
  <si>
    <t>RAB0000000111650</t>
  </si>
  <si>
    <t>ADOU FAMAIN FRED-ARISTIDE</t>
  </si>
  <si>
    <t>RAB0000000111603</t>
  </si>
  <si>
    <t>KOFFI KONAN PEPIN (BKE)</t>
  </si>
  <si>
    <t>RAB0000000111262</t>
  </si>
  <si>
    <t>N'CHO N'CHO EMMANUEL</t>
  </si>
  <si>
    <t>RAB0000000111374</t>
  </si>
  <si>
    <t>PEHUKE THOMAS EDMOND</t>
  </si>
  <si>
    <t>RAB0000000111373</t>
  </si>
  <si>
    <t>LEGEHI GBODOU ELOGNE YAKRO</t>
  </si>
  <si>
    <t>RAB0000000111468</t>
  </si>
  <si>
    <t>DIOMANDE EMMANUEL YAKRO DE</t>
  </si>
  <si>
    <t>RAB0000000111513</t>
  </si>
  <si>
    <t>FADIGA BAMBADJAN ABDOUL LATIF</t>
  </si>
  <si>
    <t>RAB0000000111464</t>
  </si>
  <si>
    <t>KOUADIO ADJOUA CLARISSE EPOUSE DAH</t>
  </si>
  <si>
    <t>RAB0000000111692</t>
  </si>
  <si>
    <t>KONE GNIENLTEHE ALEXIS YAKRO</t>
  </si>
  <si>
    <t>RAB0000000111442</t>
  </si>
  <si>
    <t>ABOH YANNICK LEANDRE</t>
  </si>
  <si>
    <t>RAB0000000111641</t>
  </si>
  <si>
    <t>TCHOTCHE MELEDJE ALAIN FABRICE</t>
  </si>
  <si>
    <t>RAB0000000111535</t>
  </si>
  <si>
    <t>SORO KINDAINAIN MARIE</t>
  </si>
  <si>
    <t>RAB0000000111171</t>
  </si>
  <si>
    <t>KOPKA NEE LOUH YOLET MARIE FLORENCE</t>
  </si>
  <si>
    <t>RAB0000000111212</t>
  </si>
  <si>
    <t>HOUESSOU EPSE KOUAME MONDOUKPE EDWIGE A</t>
  </si>
  <si>
    <t>RAB0000000110998</t>
  </si>
  <si>
    <t>GUEHI BAHOU GUY-JEAN-PIERRE</t>
  </si>
  <si>
    <t>RAB0000000111436</t>
  </si>
  <si>
    <t>BEKAY AMON CLAUDE</t>
  </si>
  <si>
    <t>RAB0000000111321</t>
  </si>
  <si>
    <t>BELLO SIDEEQ ENIOLA</t>
  </si>
  <si>
    <t>RAB0000000111484</t>
  </si>
  <si>
    <t>SOTTAN DOMINIQUE ANDREE LICA</t>
  </si>
  <si>
    <t>RAB0000000111654</t>
  </si>
  <si>
    <t>CAMARA ABDOUL MALICK</t>
  </si>
  <si>
    <t>RAB0000000111409</t>
  </si>
  <si>
    <t>KRAIDY ADJOBI DANIEL</t>
  </si>
  <si>
    <t>RAB0000000111411</t>
  </si>
  <si>
    <t>KOUASSI N'GORAN LOUIS ANDREAS SALOME (BKE)</t>
  </si>
  <si>
    <t>RAB0000000111604</t>
  </si>
  <si>
    <t>KOFFI KRA BEATRICE (BKE)</t>
  </si>
  <si>
    <t>RAB0000000111670</t>
  </si>
  <si>
    <t>KAMAGATE BOURAHIMA</t>
  </si>
  <si>
    <t>RAB0000000111686</t>
  </si>
  <si>
    <t>KPAN DEKADO AYMAR GHISLAIN (BKE)</t>
  </si>
  <si>
    <t>RAB0000000111708</t>
  </si>
  <si>
    <t>TRAORE HINTCHIMBELWELE FABRICE</t>
  </si>
  <si>
    <t>RAB0000000111737</t>
  </si>
  <si>
    <t>TRAORE MELAMA (BKE)</t>
  </si>
  <si>
    <t>RAB0000000111743</t>
  </si>
  <si>
    <t>ADINGRA GUY PACOME (BKE)</t>
  </si>
  <si>
    <t>RAB0000000111713</t>
  </si>
  <si>
    <t>ZADI MOHAMED LANDRY BEDEL</t>
  </si>
  <si>
    <t>RAB0000000111508</t>
  </si>
  <si>
    <t>TAH KPOTODE FLORENTINE YAKRO</t>
  </si>
  <si>
    <t>RAB0000000111510</t>
  </si>
  <si>
    <t>SORO DAOUDA</t>
  </si>
  <si>
    <t>RAB0000000111584</t>
  </si>
  <si>
    <t>KEITA FATOUMATA</t>
  </si>
  <si>
    <t>RAB0000000111673</t>
  </si>
  <si>
    <t>SANGARE DJAKARIDJA</t>
  </si>
  <si>
    <t>RAB0000000111493</t>
  </si>
  <si>
    <t>COFFI KOUADIO CHRISTOPHE JUNIOR</t>
  </si>
  <si>
    <t>RAB0000000111480</t>
  </si>
  <si>
    <t>YAO YAO JULES</t>
  </si>
  <si>
    <t>RAB0000000111695</t>
  </si>
  <si>
    <t>ASSOH YAPO SIMPLICE NAZAIRE</t>
  </si>
  <si>
    <t>RAB0000000111595</t>
  </si>
  <si>
    <t>ANVO EBE</t>
  </si>
  <si>
    <t>RAB0000000111074</t>
  </si>
  <si>
    <t>DONGO EPSE KPAN TIECOURA AHY LILIANE</t>
  </si>
  <si>
    <t>RAB0000000111517</t>
  </si>
  <si>
    <t>ETTE NINDJIN VINCENT CYRIL DJANGOYE</t>
  </si>
  <si>
    <t>RAB0000000111396</t>
  </si>
  <si>
    <t>SAHY ELIE SANE MARC ROGER</t>
  </si>
  <si>
    <t>RAB0000000110418</t>
  </si>
  <si>
    <t>PALE NATACHA ADRIENNE</t>
  </si>
  <si>
    <t>RAB0000000111664</t>
  </si>
  <si>
    <t>AKA ESPOIR-DESTIN</t>
  </si>
  <si>
    <t>RAB0000000111732</t>
  </si>
  <si>
    <t>DORE KHADY MYRIAM EPSE KEITA</t>
  </si>
  <si>
    <t>RAB0000000111745</t>
  </si>
  <si>
    <t>DJOUGBA DENISE MARIETTE</t>
  </si>
  <si>
    <t>RAB0000000111703</t>
  </si>
  <si>
    <t>SYLLA IBRAHIMA (BOUAKE)</t>
  </si>
  <si>
    <t>RAB0000000111706</t>
  </si>
  <si>
    <t>SIDIBE AMIDOU (BKE)</t>
  </si>
  <si>
    <t>RAB0000000111721</t>
  </si>
  <si>
    <t>MAHAMOUDOU TRAORE (BKE)</t>
  </si>
  <si>
    <t>RAB0000000111720</t>
  </si>
  <si>
    <t>COULIBALY BAKARY (BKE)</t>
  </si>
  <si>
    <t>RAB0000000111719</t>
  </si>
  <si>
    <t>BOHOUSSOU KOFFI JEAN FRANCOIS (BKE)</t>
  </si>
  <si>
    <t>RAB0000000111749</t>
  </si>
  <si>
    <t>EFFI N'GORAN KOUADIO FERNAND YVES (BKE)</t>
  </si>
  <si>
    <t>RAB0000000111750</t>
  </si>
  <si>
    <t>KONE CHEICK AHROUNA (BOUAKE)</t>
  </si>
  <si>
    <t>RAB0000000111781</t>
  </si>
  <si>
    <t>N'CHO ASSEUH SYDNEY WILFRIED (BKE)</t>
  </si>
  <si>
    <t>RAB0000000111779</t>
  </si>
  <si>
    <t>DIALLO MAMADOU OURY (BKE)</t>
  </si>
  <si>
    <t>RAB0000000111380</t>
  </si>
  <si>
    <t>KONAN AMANI MODESTE YAKRO</t>
  </si>
  <si>
    <t>RAB0000000111561</t>
  </si>
  <si>
    <t>BATHILY FANTA YAKRO</t>
  </si>
  <si>
    <t>RAB0000000111450</t>
  </si>
  <si>
    <t>AMANI KOUADIO YANNICK</t>
  </si>
  <si>
    <t>RAB0000000111707</t>
  </si>
  <si>
    <t>TOURE ABDOUL KARIM 2</t>
  </si>
  <si>
    <t>RAB0000000111655</t>
  </si>
  <si>
    <t>BLA KOUADIO MATHURIN</t>
  </si>
  <si>
    <t>RAB0000000110866</t>
  </si>
  <si>
    <t>TAPE NANZOUAN  ANGE</t>
  </si>
  <si>
    <t>RAB0000000108988</t>
  </si>
  <si>
    <t>KOUAME ANGE ELYSEE</t>
  </si>
  <si>
    <t>RAB0000000111613</t>
  </si>
  <si>
    <t>KONI CLAUDE DIDIER</t>
  </si>
  <si>
    <t>RAB0000000111231</t>
  </si>
  <si>
    <t>BAMBA YACOUBA</t>
  </si>
  <si>
    <t>RAB0000000111336</t>
  </si>
  <si>
    <t>FADIGA NAOMI LYNE OLIVIA</t>
  </si>
  <si>
    <t>RAB0000000111338</t>
  </si>
  <si>
    <t>BOUA HUGUES DAVY</t>
  </si>
  <si>
    <t>RAB0000000110471</t>
  </si>
  <si>
    <t>BALO ZIGA ENOCK BENJAMIN (BKE)</t>
  </si>
  <si>
    <t>RAB0000000111601</t>
  </si>
  <si>
    <t>GNEKPEHI PARFAITE DANIELLE (BKE)</t>
  </si>
  <si>
    <t>RAB0000000111782</t>
  </si>
  <si>
    <t>SANFO ABDOULAYE (BKE)</t>
  </si>
  <si>
    <t>RAB0000000111819</t>
  </si>
  <si>
    <t>ZOKOU ADJI ELIANE (BKE)</t>
  </si>
  <si>
    <t>RAB0000000008475</t>
  </si>
  <si>
    <t>KONE ABIBATA AICHA (BOUAKE)</t>
  </si>
  <si>
    <t>RAB0000000111797</t>
  </si>
  <si>
    <t>NIAKATE COUMBA YAKRO</t>
  </si>
  <si>
    <t>RAB0000000111798</t>
  </si>
  <si>
    <t>DAGO ABALE SERGE WILFRIED FABRICE YAKRO</t>
  </si>
  <si>
    <t>RAB0000000111837</t>
  </si>
  <si>
    <t>SOUMAHORO MORIBA YAKRO</t>
  </si>
  <si>
    <t>RAB0000000111652</t>
  </si>
  <si>
    <t>DANDOU ADIKO TIBURCE SOSTENE</t>
  </si>
  <si>
    <t>RAB0000000111829</t>
  </si>
  <si>
    <t>YRO TATIANA NADEGE YAKRO</t>
  </si>
  <si>
    <t>RAB0000000111826</t>
  </si>
  <si>
    <t>BAKAYOKO DRAMANE YAKRO</t>
  </si>
  <si>
    <t>RAB0000000111831</t>
  </si>
  <si>
    <t>KONATE SIAKA YAKRO</t>
  </si>
  <si>
    <t>RAB0000000111522</t>
  </si>
  <si>
    <t>KOFFI KOUASSI ERIC</t>
  </si>
  <si>
    <t>RAB0000000111424</t>
  </si>
  <si>
    <t>GBADI DJINA AUGUSTAVE</t>
  </si>
  <si>
    <t>RAB0000000111804</t>
  </si>
  <si>
    <t>ADAMA SOUMAHORO</t>
  </si>
  <si>
    <t>RAB0000000103338</t>
  </si>
  <si>
    <t>YAMEOGO ULRICH VENCESLAS</t>
  </si>
  <si>
    <t>RAB0000000111739</t>
  </si>
  <si>
    <t>ZONGO SOW JOSIANE</t>
  </si>
  <si>
    <t>RAB0000000111630</t>
  </si>
  <si>
    <t>ONE PIERRE MAIXENCE</t>
  </si>
  <si>
    <t>RAB0000000111790</t>
  </si>
  <si>
    <t>GUIRATHE WONTA ISABELLE ROLANDE</t>
  </si>
  <si>
    <t>RAB0000000009156</t>
  </si>
  <si>
    <t>DARBOUX NOEL ERNEST</t>
  </si>
  <si>
    <t>RAB0000000111525</t>
  </si>
  <si>
    <t>SANGARE IBRAHIMA (BKE)</t>
  </si>
  <si>
    <t>RAB0000000111931</t>
  </si>
  <si>
    <t>DOUMBIA TIEKRO</t>
  </si>
  <si>
    <t>RAB0000000111937</t>
  </si>
  <si>
    <t>N'GUESSAN YAPO PIERRE-JAURES</t>
  </si>
  <si>
    <t>RAB0000000111722</t>
  </si>
  <si>
    <t>FOFANA SAINDOU YAKRO</t>
  </si>
  <si>
    <t>RAB0000000111562</t>
  </si>
  <si>
    <t>GUESSAN LOPOA ANGE PATRICK YAKRO</t>
  </si>
  <si>
    <t>RAB0000000111825</t>
  </si>
  <si>
    <t>NDRI MISPA MARIE JOSEPHA YAKRO</t>
  </si>
  <si>
    <t>RAB0000000111530</t>
  </si>
  <si>
    <t>SOBO  ATCHE HERMANN</t>
  </si>
  <si>
    <t>RAB0000000111712</t>
  </si>
  <si>
    <t>YOBOUET AMAL KOUASSI</t>
  </si>
  <si>
    <t>RAB0000000111643</t>
  </si>
  <si>
    <t>YAO BAH DIEU DONNE</t>
  </si>
  <si>
    <t xml:space="preserve"> BIAILLY DALEBA DAVID </t>
  </si>
  <si>
    <t>RAB0000000111017</t>
  </si>
  <si>
    <t>KPEU KEUGONGO GUILLAUME</t>
  </si>
  <si>
    <t>RAB0000000109936</t>
  </si>
  <si>
    <t>FREEMAN EMANDA YONTAE</t>
  </si>
  <si>
    <t>RAB0000000111220</t>
  </si>
  <si>
    <t>ALLOH AKE ARMEL</t>
  </si>
  <si>
    <t>RAB0000000111975</t>
  </si>
  <si>
    <t>N'GROMA KOUASSI ASSOUMAN DOMINIQUE (BKE)</t>
  </si>
  <si>
    <t>RAB0000000111973</t>
  </si>
  <si>
    <t>TOURE HASSAN (BKE)</t>
  </si>
  <si>
    <t>RAB0000000111976</t>
  </si>
  <si>
    <t>M'BODI MICHEL HERMANN DOFOU (BKE)</t>
  </si>
  <si>
    <t>RAB0000000111970</t>
  </si>
  <si>
    <t>ABOYA TANO AMA SERAPHINE (BKE)</t>
  </si>
  <si>
    <t>RAB0000000111972</t>
  </si>
  <si>
    <t>DJEVIE YAO ANICET VALERY (BKE)</t>
  </si>
  <si>
    <t>RAB0000000111978</t>
  </si>
  <si>
    <t>FOFANA SOMAN (BKE)</t>
  </si>
  <si>
    <t>RAB0000000111454</t>
  </si>
  <si>
    <t>KOFFI MOAYE MACR SYLVA YAKRO</t>
  </si>
  <si>
    <t>RAB0000000111563</t>
  </si>
  <si>
    <t>DIABY AMARA</t>
  </si>
  <si>
    <t>RAB0000000111836</t>
  </si>
  <si>
    <t>SYLLA MOHAMED YAKRO SM 2</t>
  </si>
  <si>
    <t>RAB0000000111700</t>
  </si>
  <si>
    <t>SYLLA ABOUBACAR SIDIKI</t>
  </si>
  <si>
    <t>RAB0000000111799</t>
  </si>
  <si>
    <t>HUSSEIN HAMMADI YAKRO</t>
  </si>
  <si>
    <t>RAB0000000111944</t>
  </si>
  <si>
    <t>DANTE MOHAMED LAMINE KADER YAKRO</t>
  </si>
  <si>
    <t>RAB0000000111518</t>
  </si>
  <si>
    <t>COULIBALY NGOLO AMIDOU YAKRO</t>
  </si>
  <si>
    <t>RAB0000000111728</t>
  </si>
  <si>
    <t>BEJI SAFWEN YAKRO</t>
  </si>
  <si>
    <t>RAB0000000111833</t>
  </si>
  <si>
    <t>KOUDOU LANDRY YAKRO</t>
  </si>
  <si>
    <t>RAB0000000111834</t>
  </si>
  <si>
    <t>SOMA ISSA YAKRO</t>
  </si>
  <si>
    <t>RAB0000000108736</t>
  </si>
  <si>
    <t>BLE ARISTIDE</t>
  </si>
  <si>
    <t>RAB0000000112046</t>
  </si>
  <si>
    <t>DJAHOU ATSE GUSTAVE</t>
  </si>
  <si>
    <t>RAB0000000112043</t>
  </si>
  <si>
    <t>KOUADIO JEAN LUC KOUASSI</t>
  </si>
  <si>
    <t>RAB0000000112003</t>
  </si>
  <si>
    <t>HOUNKPONOU MAHOUSSI LEONTINE</t>
  </si>
  <si>
    <t>RAB0000000109211</t>
  </si>
  <si>
    <t>AVINI TONAN FRANCK</t>
  </si>
  <si>
    <t>RAB0000000110538</t>
  </si>
  <si>
    <t>TIAMA ZEBA ARISTIDE STEPHANE JORDAN</t>
  </si>
  <si>
    <t>RAB0000000111974</t>
  </si>
  <si>
    <t>OUATTARA KATIONAN (BKE)</t>
  </si>
  <si>
    <t>RAB0000000111971</t>
  </si>
  <si>
    <t>COULIBALY ABOUBACAR (Bouaké)</t>
  </si>
  <si>
    <t>RAB0000000111977</t>
  </si>
  <si>
    <t>KOUASSI KOUAME JULIEN (BKE)</t>
  </si>
  <si>
    <t>RAB0000000112071</t>
  </si>
  <si>
    <t>BENJAMIN KAMELAN (BKE)</t>
  </si>
  <si>
    <t>RAB0000000112073</t>
  </si>
  <si>
    <t>EKRA KOUASSI ALFRED (BOUAKE)</t>
  </si>
  <si>
    <t>RAB0000000112074</t>
  </si>
  <si>
    <t>GOSSAN ANGOUA JEANNETTE MARIANNE (BKE)</t>
  </si>
  <si>
    <t>RAB0000000112072</t>
  </si>
  <si>
    <t>DAO MAIMOUNA ATCHOUMOUTCHO (BKE)</t>
  </si>
  <si>
    <t>RAB0000000112076</t>
  </si>
  <si>
    <t>OUATTARA MAMADOU (BOUAKE)</t>
  </si>
  <si>
    <t>RAB0000000111765</t>
  </si>
  <si>
    <t>NANTI BI GOURE ALAIN YAKRO</t>
  </si>
  <si>
    <t>RAB0000000111466</t>
  </si>
  <si>
    <t>DIANE DAOUDA</t>
  </si>
  <si>
    <t>RAB0000000111583</t>
  </si>
  <si>
    <t>KOUADIO KOUAME BRUNO YAKRO</t>
  </si>
  <si>
    <t>RAB0000000111897</t>
  </si>
  <si>
    <t>DRAMERA OUMAR YAKRO</t>
  </si>
  <si>
    <t>RAB0000000111832</t>
  </si>
  <si>
    <t>KOUA YA BASILE YAKRO</t>
  </si>
  <si>
    <t>RAB0000000111907</t>
  </si>
  <si>
    <t>KOUASSI OFFELIA ELEONORE YAKRO</t>
  </si>
  <si>
    <t>RAB0000000111901</t>
  </si>
  <si>
    <t>YAO YAO GHISLAIN STANISLAS YAKRO</t>
  </si>
  <si>
    <t>RAB0000000112010</t>
  </si>
  <si>
    <t>DIBY AMOIN DIANE</t>
  </si>
  <si>
    <t>RAB0000000111912</t>
  </si>
  <si>
    <t>EZOA EBAGNILIN STEPHANE JULIEN</t>
  </si>
  <si>
    <t>RAB0000000111880</t>
  </si>
  <si>
    <t>SAHNO BERETE FANTA KONE</t>
  </si>
  <si>
    <t>RAB0000000112049</t>
  </si>
  <si>
    <t>NINKIEMA MARCEL</t>
  </si>
  <si>
    <t>RAB0000000011270</t>
  </si>
  <si>
    <t>EBOI MARIE ANGELE AUDREY ALIMA</t>
  </si>
  <si>
    <t>RAB0000000111463</t>
  </si>
  <si>
    <t>OULAI DETEA NADINE ROLANDE</t>
  </si>
  <si>
    <t>RAB0000000112075</t>
  </si>
  <si>
    <t>OUATTARA ADJA KOGNON BINTOU (BKE)</t>
  </si>
  <si>
    <t>RAB0000000111863</t>
  </si>
  <si>
    <t>CISSE MALIKA LORNADJOU BKE</t>
  </si>
  <si>
    <t>RAB0000000108157</t>
  </si>
  <si>
    <t>COULIBALY NDATIEN DESIRE YAKRO</t>
  </si>
  <si>
    <t>RAB0000000111009</t>
  </si>
  <si>
    <t>KONE KATI MONIAH KELLY INGRID</t>
  </si>
  <si>
    <t>RAB0000000111243</t>
  </si>
  <si>
    <t>BARRO BRAHIMA YAKRO</t>
  </si>
  <si>
    <t>RAB0000000112024</t>
  </si>
  <si>
    <t>YEO YEFARKIYA FRANCOIS YAKRO</t>
  </si>
  <si>
    <t>RAB0000000111560</t>
  </si>
  <si>
    <t>KANE BENEYAMINA</t>
  </si>
  <si>
    <t>RAB0000000112019</t>
  </si>
  <si>
    <t>BEDOMO MARIE KAREN  AUDREY YAKRO</t>
  </si>
  <si>
    <t>RAB0000000111585</t>
  </si>
  <si>
    <t>KONE KARIDJATOU YAKRO</t>
  </si>
  <si>
    <t>RAB0000000111800</t>
  </si>
  <si>
    <t>DIAKITE KADER SOULEYMANE YAKRO</t>
  </si>
  <si>
    <t>RAB0000000112080</t>
  </si>
  <si>
    <t>ADEL ABID</t>
  </si>
  <si>
    <t>RAB0000000112028</t>
  </si>
  <si>
    <t>PARE MAMADOU YAKRO PM</t>
  </si>
  <si>
    <t>RAB0000000112084</t>
  </si>
  <si>
    <t>HAMADOU KARIMOU BACHIR</t>
  </si>
  <si>
    <t>RAB0000000109782</t>
  </si>
  <si>
    <t>DIOMANDE BRAHIMA</t>
  </si>
  <si>
    <t>RAB0000000111871</t>
  </si>
  <si>
    <t>KOUAKOU FIDEL</t>
  </si>
  <si>
    <t>RAB0000000112216</t>
  </si>
  <si>
    <t>SARAKA AKISSI DANIELLE</t>
  </si>
  <si>
    <t>RAB0000000112210</t>
  </si>
  <si>
    <t>KAMATE BAKARY (BKE)</t>
  </si>
  <si>
    <t>RAB0000000112094</t>
  </si>
  <si>
    <t>DIABATE FAWZIATE (BKE)</t>
  </si>
  <si>
    <t>RAB0000000112209</t>
  </si>
  <si>
    <t>FOFANA ZOUMANA (BKE)</t>
  </si>
  <si>
    <t>RAB0000000112211</t>
  </si>
  <si>
    <t>KANGA EBA NADEGE (BKE)</t>
  </si>
  <si>
    <t>RAB0000000112212</t>
  </si>
  <si>
    <t>OUATTARA MOHAMED (BOUAKE)</t>
  </si>
  <si>
    <t>RAB0000000112295</t>
  </si>
  <si>
    <t>KOUAME KOUASSI ADRIEN (BKE)</t>
  </si>
  <si>
    <t>RAB0000000112398</t>
  </si>
  <si>
    <t>COULIBALY ATCHOUNAN MATHIAS</t>
  </si>
  <si>
    <t>RAB0000000112078</t>
  </si>
  <si>
    <t>YAO NGORAN ASSIGNO RICHARD YAKRO</t>
  </si>
  <si>
    <t>RAB0000000111763</t>
  </si>
  <si>
    <t>GEDEON LEZOU NI NGUESSAN YAKRO</t>
  </si>
  <si>
    <t>RAB0000000111873</t>
  </si>
  <si>
    <t>KOUMOIN JEAN LUDOVIC YAKRO</t>
  </si>
  <si>
    <t>RAB0000000111828</t>
  </si>
  <si>
    <t>DIARRA DJIBRIL YAKRO</t>
  </si>
  <si>
    <t>RAB0000000111031</t>
  </si>
  <si>
    <t>OUATTARA KADER DESIRE YAKRO</t>
  </si>
  <si>
    <t>RAB0000000112230</t>
  </si>
  <si>
    <t>DEMBELE GHULAM AHMAD</t>
  </si>
  <si>
    <t>RAB0000000112468</t>
  </si>
  <si>
    <t>COLLEGE CATHOLIQUE PÈRE MONTI 2</t>
  </si>
  <si>
    <t>RAB0000000111497</t>
  </si>
  <si>
    <t>ABOUNA ROLAND SYDNEY</t>
  </si>
  <si>
    <t>RAB0000000112401</t>
  </si>
  <si>
    <t>EZEONYIWARA FRANCIS OBINNA</t>
  </si>
  <si>
    <t>RAB0000000112435</t>
  </si>
  <si>
    <t>N'GUESSAN  YAO CLAUDE</t>
  </si>
  <si>
    <t>RAB0000000112213</t>
  </si>
  <si>
    <t>VOVOHI DIEUDONNE  (BKE)</t>
  </si>
  <si>
    <t>RAB0000000006784</t>
  </si>
  <si>
    <t>KOUAGUIDE FIDELE (BOUAKE)</t>
  </si>
  <si>
    <t>RAB0000000112509</t>
  </si>
  <si>
    <t>DJANHOUE BI IRIE (BKE)</t>
  </si>
  <si>
    <t>RAB0000000112025</t>
  </si>
  <si>
    <t>TRA BI BOUA JOEL YAKRO</t>
  </si>
  <si>
    <t>RAB0000000112020</t>
  </si>
  <si>
    <t>KONE ZIE</t>
  </si>
  <si>
    <t>RAB0000000112026</t>
  </si>
  <si>
    <t>KOUAKOU ACKONVOU KOUAME ANDRE</t>
  </si>
  <si>
    <t>RAB0000000112021</t>
  </si>
  <si>
    <t>KONGOUE KOUAKOU ROLAND SERGE</t>
  </si>
  <si>
    <t>RAB0000000111878</t>
  </si>
  <si>
    <t>NGORAN AYA  CHANTAL YAKRO</t>
  </si>
  <si>
    <t>RAB0000000112079</t>
  </si>
  <si>
    <t>LEGREHI GBODOU ELOGNE 3</t>
  </si>
  <si>
    <t>RAB0000000112203</t>
  </si>
  <si>
    <t>INZA TRAORE</t>
  </si>
  <si>
    <t>RAB0000000112144</t>
  </si>
  <si>
    <t>OUEDRAOGO YOUSSOUF</t>
  </si>
  <si>
    <t>RAB0000000112140</t>
  </si>
  <si>
    <t>ASSI YAPO JEAN CASIMIR YAKRO</t>
  </si>
  <si>
    <t>RAB0000000112345</t>
  </si>
  <si>
    <t>OUEDRAOGO ABOUBACAR</t>
  </si>
  <si>
    <t>RAB0000000112467</t>
  </si>
  <si>
    <t>COLLEGE CATHOLIQUE PÈRE MONTI 1</t>
  </si>
  <si>
    <t>RAB0000000112155</t>
  </si>
  <si>
    <t>RAB0000000111851</t>
  </si>
  <si>
    <t>BADO KADIDATOU</t>
  </si>
  <si>
    <t>RAB0000000112291</t>
  </si>
  <si>
    <t>BOLOU GERMAINE</t>
  </si>
  <si>
    <t>RAB0000000112446</t>
  </si>
  <si>
    <t>TATY GRACES GUYLENA</t>
  </si>
  <si>
    <t>RAB0000000111914</t>
  </si>
  <si>
    <t>GNEPOH GNEPOH FRANCIS</t>
  </si>
  <si>
    <t>RAB0000000112142</t>
  </si>
  <si>
    <t>BOUETI GONEA LOU TINA MARIE LAURE YAKRO</t>
  </si>
  <si>
    <t>RAB0000000110258</t>
  </si>
  <si>
    <t>OUATTARA BAKARY BEN HABIB YAKRO</t>
  </si>
  <si>
    <t>RAB0000000112023</t>
  </si>
  <si>
    <t>YEO ZONGOU MOCTAR YAKRO</t>
  </si>
  <si>
    <t>RAB0000000112030</t>
  </si>
  <si>
    <t>SEHI BOZAN FABIEN</t>
  </si>
  <si>
    <t>RAB0000000110332</t>
  </si>
  <si>
    <t>BAH MAMADOU YAKRO</t>
  </si>
  <si>
    <t>RAB0000000111255</t>
  </si>
  <si>
    <t>KONATE BASSABA YAKRO</t>
  </si>
  <si>
    <t>RAB0000000112201</t>
  </si>
  <si>
    <t>KOUAME CLAUDE BREJNEV YAKRO</t>
  </si>
  <si>
    <t>RAB0000000112146</t>
  </si>
  <si>
    <t>NIAVA RITA NADEGE</t>
  </si>
  <si>
    <t>RAB0000000112431</t>
  </si>
  <si>
    <t>M BRA KOFFI</t>
  </si>
  <si>
    <t>RAB0000000112244</t>
  </si>
  <si>
    <t>BEDI MEL GRACE CHRISTELLE JOELLE YAKRO</t>
  </si>
  <si>
    <t>RAB0000000112225</t>
  </si>
  <si>
    <t>KAMKEU NOUME BLAISE SERGE</t>
  </si>
  <si>
    <t>RAB0000000010014</t>
  </si>
  <si>
    <t>KONAN JEAN-JACQUES</t>
  </si>
  <si>
    <t>RAB0000000111483</t>
  </si>
  <si>
    <t>TANO ANIEMAN CHRISTIA MARIE</t>
  </si>
  <si>
    <t>RAB0000000112298</t>
  </si>
  <si>
    <t>KRI BI KOFFI BENI MICHAEL CYRILLE</t>
  </si>
  <si>
    <t>RAB0000000112408</t>
  </si>
  <si>
    <t>HAMAN ABOUBABAKAR</t>
  </si>
  <si>
    <t>RAB0000000111847</t>
  </si>
  <si>
    <t>MONOKO SAHOUA ANDREE CHRISTELLE</t>
  </si>
  <si>
    <t>RAB0000000112546</t>
  </si>
  <si>
    <t>OKALA YAO PASCAL BKE</t>
  </si>
  <si>
    <t>RAB0000000112545</t>
  </si>
  <si>
    <t>KOUAKOU ADJOUA HENRIETTE BKE</t>
  </si>
  <si>
    <t>RAB0000000111766</t>
  </si>
  <si>
    <t>KOUASSI KOFFI FRANCIS YAKRO</t>
  </si>
  <si>
    <t>RAB0000000112340</t>
  </si>
  <si>
    <t>KOUADIO YAO FABRICE COLOMBE</t>
  </si>
  <si>
    <t>RAB0000000112462</t>
  </si>
  <si>
    <t>N'DA KOUADIO YAO GERMAIN</t>
  </si>
  <si>
    <t>RAB0000000111341</t>
  </si>
  <si>
    <t>KONAN KOUADIO AMANI RICHARD</t>
  </si>
  <si>
    <t>RAB0000000111342</t>
  </si>
  <si>
    <t>KONAN KOUADIO WILFRIED</t>
  </si>
  <si>
    <t>RAB0000000110834</t>
  </si>
  <si>
    <t>KOUASSI HERMANN HERVE YAKRO</t>
  </si>
  <si>
    <t>RAB0000000112246</t>
  </si>
  <si>
    <t>EHOUMAN KOUAME TOUSSAINT YAKRO</t>
  </si>
  <si>
    <t>RAB0000000112472</t>
  </si>
  <si>
    <t>KOUASSI YAO JEAN JACQUES YAKRO JJK</t>
  </si>
  <si>
    <t>RAB0000000112204</t>
  </si>
  <si>
    <t>COFFY JEAN CYR YAKRO</t>
  </si>
  <si>
    <t>RAB0000000112329</t>
  </si>
  <si>
    <t>ATTOUNGBRE KOUASSI MARCELLIN</t>
  </si>
  <si>
    <t>RAB0000000112376</t>
  </si>
  <si>
    <t>KOUAME KOFFI WILFRIED STEPHANE</t>
  </si>
  <si>
    <t>RAB0000000112543</t>
  </si>
  <si>
    <t>DJEOUA ULRICH NADEGE</t>
  </si>
  <si>
    <t>RAB0000000112233</t>
  </si>
  <si>
    <t>BENGALY BAMBA</t>
  </si>
  <si>
    <t>RAB0000000112222</t>
  </si>
  <si>
    <t>KOUAME DEHELKA SOSTHENE RODOLPHE</t>
  </si>
  <si>
    <t>RAB0000000112223</t>
  </si>
  <si>
    <t>KOUADIO ADJOUA ANNE EDWIGE</t>
  </si>
  <si>
    <t>RAB0000000112591</t>
  </si>
  <si>
    <t>CAMARA YELANFLA HERVE BKE</t>
  </si>
  <si>
    <t>RAB0000000112592</t>
  </si>
  <si>
    <t>DOUMBIA KADY BKE</t>
  </si>
  <si>
    <t>RAB0000000111159</t>
  </si>
  <si>
    <t>KONAN NGUESSAN FLORENTIN ROMARIC YAKRO SOPIM</t>
  </si>
  <si>
    <t>RAB0000000111680</t>
  </si>
  <si>
    <t>N'GUESSAN DESTECKS FLORENT JUNIOR</t>
  </si>
  <si>
    <t>RAB0000000112341</t>
  </si>
  <si>
    <t>KOUAKOU JEAN GONZALEZ</t>
  </si>
  <si>
    <t>RAB0000000112343</t>
  </si>
  <si>
    <t>KOUAKOU YAO JEAN RODRIGUE</t>
  </si>
  <si>
    <t>RAB0000000112243</t>
  </si>
  <si>
    <t>KONE MOUSTAPHA YAKRO 2 KM</t>
  </si>
  <si>
    <t>RAB0000000112143</t>
  </si>
  <si>
    <t>OULOBOTE GNONO AIME</t>
  </si>
  <si>
    <t>RAB0000000112567</t>
  </si>
  <si>
    <t>DE FRETTES YANNICK YVES ROGER</t>
  </si>
  <si>
    <t>RAB0000000112141</t>
  </si>
  <si>
    <t>BAH ABSATOU YAKRO</t>
  </si>
  <si>
    <t>RAB0000000112202</t>
  </si>
  <si>
    <t>KOFFI AKISSI JEMIMA DESIREE ANDRE EPOUSE KONAN YAKRO</t>
  </si>
  <si>
    <t>RAB0000000112331</t>
  </si>
  <si>
    <t>BEDA ACHI YANN PATRICE YAKRO</t>
  </si>
  <si>
    <t>RAB0000000112566</t>
  </si>
  <si>
    <t>KAMBIRE OLLO JEAN PARFAIT</t>
  </si>
  <si>
    <t>RAB0000000112017</t>
  </si>
  <si>
    <t>ADEPO N'TAKPE YVES</t>
  </si>
  <si>
    <t>RAB0000000112683</t>
  </si>
  <si>
    <t>SANZE EPSE KONE BEATRICE FLORENCE APPOLINE (BKE)</t>
  </si>
  <si>
    <t>RAB0000000112682</t>
  </si>
  <si>
    <t>BEHI ZOH ALAIN JAURES (BKE)</t>
  </si>
  <si>
    <t>RAB0000000112476</t>
  </si>
  <si>
    <t>AHOUMOUAN KOUAME GUY SERGE</t>
  </si>
  <si>
    <t>RAB0000000112565</t>
  </si>
  <si>
    <t>KOFFI KOBLE RUFIDE STEPHANE</t>
  </si>
  <si>
    <t>RAB0000000112570</t>
  </si>
  <si>
    <t>BOUSSOU ADJOUA MARIE AUDE YAKRO</t>
  </si>
  <si>
    <t>RAB0000000112563</t>
  </si>
  <si>
    <t>KONAN N'DRI JEAN-LOUIS</t>
  </si>
  <si>
    <t>RAB0000000112561</t>
  </si>
  <si>
    <t>AKOBE CHO NINA</t>
  </si>
  <si>
    <t>RAB0000000112620</t>
  </si>
  <si>
    <t>KOFFI BROU MARIUS</t>
  </si>
  <si>
    <t>RAB0000000112619</t>
  </si>
  <si>
    <t>KONAN AMENAN ANNE CHRISTELLE YAKRO</t>
  </si>
  <si>
    <t>RAB0000000112145</t>
  </si>
  <si>
    <t>DRAMERA MAMADOU YAKRO DM</t>
  </si>
  <si>
    <t>RAB0000000112559</t>
  </si>
  <si>
    <t>KONAN YAO ANSELME</t>
  </si>
  <si>
    <t>RAB0000000112661</t>
  </si>
  <si>
    <t>KRA JEAN VINCENT BONFILS YAKRO</t>
  </si>
  <si>
    <t>RAB0000000112640</t>
  </si>
  <si>
    <t>OUATTARA ADJOUMANI MOUSSA YAKRO</t>
  </si>
  <si>
    <t>RAB0000000112297</t>
  </si>
  <si>
    <t>KOUASSI YAO GUY LIONEL</t>
  </si>
  <si>
    <t>RAB0000000111747</t>
  </si>
  <si>
    <t>CISSE AHMED</t>
  </si>
  <si>
    <t>RAB0000000109023</t>
  </si>
  <si>
    <t>COULIBALY MAMADOU CYRILLE</t>
  </si>
  <si>
    <t>RAB0000000112541</t>
  </si>
  <si>
    <t>AWEGNONDE  ALOGNIKIN LUC  NARCISSE</t>
  </si>
  <si>
    <t>RAB0000000112628</t>
  </si>
  <si>
    <t>KOUTOUAN N'GUESSAN PAUL</t>
  </si>
  <si>
    <t>RAB0000000112632</t>
  </si>
  <si>
    <t>HAIDARA AMINATA BKE</t>
  </si>
  <si>
    <t>RAB0000000112651</t>
  </si>
  <si>
    <t>KOFFI PIERRE AHUY YAKRO</t>
  </si>
  <si>
    <t>RAB0000000112613</t>
  </si>
  <si>
    <t>KOUASSI KOUADIO MARUIS YAKRO</t>
  </si>
  <si>
    <t>RAB0000000112614</t>
  </si>
  <si>
    <t>DIALLO YAO ISIDORE YAKRO</t>
  </si>
  <si>
    <t>RAB0000000112638</t>
  </si>
  <si>
    <t>OBROU OYOUROU CHARLES</t>
  </si>
  <si>
    <t>RAB0000000112655</t>
  </si>
  <si>
    <t>OUATTARA YAYA TIEKOURA GEORGES YAKRO 1</t>
  </si>
  <si>
    <t>RAB0000000111887</t>
  </si>
  <si>
    <t>TIE BI TRA ALEX YAKRO</t>
  </si>
  <si>
    <t>RAB0000000112693</t>
  </si>
  <si>
    <t>OUATTARA YAYA TIEKOURA GEORGES YAKRO 2</t>
  </si>
  <si>
    <t>RAB0000000112691</t>
  </si>
  <si>
    <t>BLEY GOHOUROU JULIENNE YAKRO</t>
  </si>
  <si>
    <t>RAB0000000112617</t>
  </si>
  <si>
    <t>KOUASSI FONTENAY HARNAUD</t>
  </si>
  <si>
    <t>RAB0000000110626</t>
  </si>
  <si>
    <t>AKPANGNI URBAIN</t>
  </si>
  <si>
    <t>RAB0000000112571</t>
  </si>
  <si>
    <t>CAMARA ABDOUL KARIM</t>
  </si>
  <si>
    <t>RAB0000000112529</t>
  </si>
  <si>
    <t>KOFFI KOUAME PRINCE TENILD</t>
  </si>
  <si>
    <t>RAB0000000112486</t>
  </si>
  <si>
    <t>KOUAME CYNTHIA</t>
  </si>
  <si>
    <t>RAB0000000112289</t>
  </si>
  <si>
    <t>BAHORO FELICITE</t>
  </si>
  <si>
    <t>RAB0000000006251</t>
  </si>
  <si>
    <t>DOSSO GOGBE EMMANUEL SALOMON</t>
  </si>
  <si>
    <t>RAB0000000096150</t>
  </si>
  <si>
    <t>TANOH KANGAH MICHEL</t>
  </si>
  <si>
    <t>RAB0000000112699</t>
  </si>
  <si>
    <t>ENTREPRISE SEKONGO PAGNINKA</t>
  </si>
  <si>
    <t>RAB0000000111674</t>
  </si>
  <si>
    <t>SANFO ADAMA</t>
  </si>
  <si>
    <t>RAB0000000112713</t>
  </si>
  <si>
    <t>KONE ZOVANGA (BKE)</t>
  </si>
  <si>
    <t>RAB0000000112139</t>
  </si>
  <si>
    <t>TOURE MARIAM BALAQISS</t>
  </si>
  <si>
    <t>RAB0000000112560</t>
  </si>
  <si>
    <t>ABOUBACAR BAGARAMA TIDJANI YAKRO</t>
  </si>
  <si>
    <t>RAB0000000112692</t>
  </si>
  <si>
    <t>KOUAKOU AYA CYNTHIA PRINCESSE  YAKRO</t>
  </si>
  <si>
    <t>RAB0000000112690</t>
  </si>
  <si>
    <t>SEA STAPHANE JUNIOR</t>
  </si>
  <si>
    <t>RAB0000000112612</t>
  </si>
  <si>
    <t>N'DAOU MAMADOU 2</t>
  </si>
  <si>
    <t>RAB0000000112615</t>
  </si>
  <si>
    <t>DJUE AHOU RACHELLE</t>
  </si>
  <si>
    <t>RAB0000000112694</t>
  </si>
  <si>
    <t>LACINE KONE YAKRO</t>
  </si>
  <si>
    <t>RAB0000000112621</t>
  </si>
  <si>
    <t>KESSE STEVEN THIERRY</t>
  </si>
  <si>
    <t>RAB0000000112568</t>
  </si>
  <si>
    <t>BENGALY ALOU YAKRO</t>
  </si>
  <si>
    <t>RAB0000000112200</t>
  </si>
  <si>
    <t>KOUASSI SAMSON JOSUE</t>
  </si>
  <si>
    <t>RAB0000000112147</t>
  </si>
  <si>
    <t>KOUAME SUHITY  YANNICK YAKRO</t>
  </si>
  <si>
    <t>RAB0000000112616</t>
  </si>
  <si>
    <t>OUATTARA DRAMANE</t>
  </si>
  <si>
    <t>RAB0000000112636</t>
  </si>
  <si>
    <t>KANDA PRODIGE</t>
  </si>
  <si>
    <t>RAB0000000112226</t>
  </si>
  <si>
    <t>IROGBO BALLA CARINE</t>
  </si>
  <si>
    <t>RAB0000000112483</t>
  </si>
  <si>
    <t>THIEMELE KOUAKOU-BLA CHARLIE-AUDE</t>
  </si>
  <si>
    <t>RAB0000000112709</t>
  </si>
  <si>
    <t>SOMOLO ALAIN JOEL</t>
  </si>
  <si>
    <t>RAB0000000112702</t>
  </si>
  <si>
    <t>ASSI KIMOU LOUIS FABRICE</t>
  </si>
  <si>
    <t>RAB0000000110140</t>
  </si>
  <si>
    <t>NGUELE MAX INES</t>
  </si>
  <si>
    <t>RAB0000000112714</t>
  </si>
  <si>
    <t>SORO GUEBESSONGUI (BKE)</t>
  </si>
  <si>
    <t>RAB0000000112731</t>
  </si>
  <si>
    <t>DIALLO MARALO (BKE)</t>
  </si>
  <si>
    <t>RAB0000000112778</t>
  </si>
  <si>
    <t>N'GUESSAN KONAN JEAN JACQUES (BKE)</t>
  </si>
  <si>
    <t>RAB0000000112792</t>
  </si>
  <si>
    <t>KOFFI YAO HENRI (BKE)</t>
  </si>
  <si>
    <t>RAB0000000112772</t>
  </si>
  <si>
    <t>OURO KOUASSI N'GORAN JEAN-MARC (BKE)</t>
  </si>
  <si>
    <t>RAB0000000112455</t>
  </si>
  <si>
    <t>YAO AKPEYA BEYACHY QUENUM</t>
  </si>
  <si>
    <t>RAB0000000112650</t>
  </si>
  <si>
    <t>BONANE SALAM</t>
  </si>
  <si>
    <t>RAB0000000112658</t>
  </si>
  <si>
    <t>TRE DOH JEAN MARIE MISTRAL SERY YAKRO</t>
  </si>
  <si>
    <t>RAB0000000112618</t>
  </si>
  <si>
    <t>KOUASSI  LUC FABRICE YAKRO</t>
  </si>
  <si>
    <t>RAB0000000112648</t>
  </si>
  <si>
    <t>SINON SOUMAILA</t>
  </si>
  <si>
    <t>RAB0000000112382</t>
  </si>
  <si>
    <t>KONE LANCINE</t>
  </si>
  <si>
    <t>RAB0000000112149</t>
  </si>
  <si>
    <t>DIOMANDE VASSIDIKI</t>
  </si>
  <si>
    <t>RAB0000000112725</t>
  </si>
  <si>
    <t>AYEKOE ACHY HENRI JOEL</t>
  </si>
  <si>
    <t>RAB0000000112723</t>
  </si>
  <si>
    <t>IRIE SEI ARNOLD ARISTIDE</t>
  </si>
  <si>
    <t>RAB0000000112741</t>
  </si>
  <si>
    <t>NGATTA KOUADIO FREDERIC</t>
  </si>
  <si>
    <t>RAB0000000112448</t>
  </si>
  <si>
    <t>TIEMOKO KONATE</t>
  </si>
  <si>
    <t>RAB0000000112751</t>
  </si>
  <si>
    <t>YAO OKOUKOUOTO AQUILAS</t>
  </si>
  <si>
    <t>RAB0000000112748</t>
  </si>
  <si>
    <t>ABE ASSEMIAN ABOH FRANCK OLIVIER</t>
  </si>
  <si>
    <t>RAB0000000112578</t>
  </si>
  <si>
    <t>BAH KADIDIA</t>
  </si>
  <si>
    <t>RAB0000000112780</t>
  </si>
  <si>
    <t>MAHI BADRO WILFRIED</t>
  </si>
  <si>
    <t>RAB0000000111392</t>
  </si>
  <si>
    <t>TANOH JEAN PAQUES</t>
  </si>
  <si>
    <t>RAB0000000112767</t>
  </si>
  <si>
    <t>SEKONGO TIEREGNIMIN MARIAMOU</t>
  </si>
  <si>
    <t>RAB0000000112774</t>
  </si>
  <si>
    <t>OUEDRAOGO SOULEYMANE</t>
  </si>
  <si>
    <t>RAB0000000112868</t>
  </si>
  <si>
    <t>YOBOUET KOUASSI (BKE)</t>
  </si>
  <si>
    <t>RAB0000000111872</t>
  </si>
  <si>
    <t>KOUAME YAO SYLVIO BKE</t>
  </si>
  <si>
    <t>RAB0000000112864</t>
  </si>
  <si>
    <t>KOUADIO BROU RODOLPHE (BKE)</t>
  </si>
  <si>
    <t>RAB0000000112815</t>
  </si>
  <si>
    <t>TOUGMA SOUGRINOMA MOISE</t>
  </si>
  <si>
    <t>RAB0000000112814</t>
  </si>
  <si>
    <t>TRAORE MADINA YAKRO</t>
  </si>
  <si>
    <t>RAB0000000112783</t>
  </si>
  <si>
    <t>AKOLI KOKOU YAKRO</t>
  </si>
  <si>
    <t>RAB0000000112782</t>
  </si>
  <si>
    <t>BAMBA AHMED IBRAHIMA YAKRO BAI</t>
  </si>
  <si>
    <t>RAB0000000112785</t>
  </si>
  <si>
    <t>KOUAKOU JOSEPHINE ROSINE AKISSI</t>
  </si>
  <si>
    <t>RAB0000000112777</t>
  </si>
  <si>
    <t>NGUESSAN LASSIE DIGBE ADAM</t>
  </si>
  <si>
    <t>RAB0000000112797</t>
  </si>
  <si>
    <t>GNONKONSON HENRI JOEL BAH</t>
  </si>
  <si>
    <t>RAB0000000112784</t>
  </si>
  <si>
    <t>KOUAME KOUAKOU BAH JEAN FRANCOIS</t>
  </si>
  <si>
    <t>RAB0000000111905</t>
  </si>
  <si>
    <t>NDA KONAN AFFOUE LAETICIA</t>
  </si>
  <si>
    <t>RAB0000000112752</t>
  </si>
  <si>
    <t>ZADI ILLAZELET DIANE AGNES</t>
  </si>
  <si>
    <t>RAB0000000112781</t>
  </si>
  <si>
    <t>KRAYEBOUET ALAIN</t>
  </si>
  <si>
    <t>RAB0000000111866</t>
  </si>
  <si>
    <t>DRO SADIA HAMED JUNIOR</t>
  </si>
  <si>
    <t>RAB0000000008681</t>
  </si>
  <si>
    <t>ILBOUDO OUMAROU</t>
  </si>
  <si>
    <t>RAB0000000109798</t>
  </si>
  <si>
    <t>NIAMKE BILE FABRICE LIONEL</t>
  </si>
  <si>
    <t>RAB0000000112866</t>
  </si>
  <si>
    <t>N'GUESSAN ALAIN DYLAN (BKE)</t>
  </si>
  <si>
    <t>RAB0000000112867</t>
  </si>
  <si>
    <t>N'GUESSAN PIERRE (BKE)</t>
  </si>
  <si>
    <t>RAB0000000112865</t>
  </si>
  <si>
    <t>KRAH N'GORAN JUDICAEL (BKE)</t>
  </si>
  <si>
    <t>RAB0000000112902</t>
  </si>
  <si>
    <t>KAMAGATE MOHAMED (BOUAKE)</t>
  </si>
  <si>
    <t>RAB0000000112956</t>
  </si>
  <si>
    <t>GOLLY ANNE ROSE N'DRY (BKE)</t>
  </si>
  <si>
    <t>RAB0000000111234</t>
  </si>
  <si>
    <t>BAH ABDOULAYE YAKRO</t>
  </si>
  <si>
    <t>RAB0000000112649</t>
  </si>
  <si>
    <t>KACOU KONAN ATHANASE</t>
  </si>
  <si>
    <t>RAB0000000112854</t>
  </si>
  <si>
    <t>KONKOBO SALIF</t>
  </si>
  <si>
    <t>RAB0000000112843</t>
  </si>
  <si>
    <t>NDOUA AHOU YAKRO</t>
  </si>
  <si>
    <t>RAB0000000111050</t>
  </si>
  <si>
    <t>KONE MAMADOU</t>
  </si>
  <si>
    <t>RAB0000000112946</t>
  </si>
  <si>
    <t>TRAORE ZAKARIRA</t>
  </si>
  <si>
    <t>RAB0000000112908</t>
  </si>
  <si>
    <t>RAYASSE LOUKMAN YAKRO</t>
  </si>
  <si>
    <t>RAB0000000111663</t>
  </si>
  <si>
    <t>ANGUILE LOKO JULIEN JESS</t>
  </si>
  <si>
    <t>RAB0000000112528</t>
  </si>
  <si>
    <t>ISSAWU ISSOUF YEBOUA</t>
  </si>
  <si>
    <t>RAB0000000112899</t>
  </si>
  <si>
    <t>MENE YANN CEDRIC AKE YAPO</t>
  </si>
  <si>
    <t>RAB0000000112894</t>
  </si>
  <si>
    <t>KOUAKOU N'GUESSAN NADEGE MARTIN</t>
  </si>
  <si>
    <t>RAB0000000112749</t>
  </si>
  <si>
    <t>KAKI COULIBALY</t>
  </si>
  <si>
    <t>RAB0000000112976</t>
  </si>
  <si>
    <t>N'TAMON AKAFFOU MARTHE</t>
  </si>
  <si>
    <t>RAB0000000112906</t>
  </si>
  <si>
    <t>BINATE MARIAM PATRICIA</t>
  </si>
  <si>
    <t>RAB0000000112904</t>
  </si>
  <si>
    <t>AKRE ARMAND GUY NOEL YAKRO</t>
  </si>
  <si>
    <t>RAB0000000112947</t>
  </si>
  <si>
    <t>N'DRI KOFFI ULRICH</t>
  </si>
  <si>
    <t>RAB0000000112912</t>
  </si>
  <si>
    <t>GOHI BI TIESSE DABLA GIRESSE</t>
  </si>
  <si>
    <t>RAB0000000112905</t>
  </si>
  <si>
    <t>ALMOHAMAD ALALI IBRAHIM</t>
  </si>
  <si>
    <t>RAB0000000112911</t>
  </si>
  <si>
    <t>KABA DIARRA MOHAMED YAKRO</t>
  </si>
  <si>
    <t>RAB0000000112910</t>
  </si>
  <si>
    <t>KATOU GUSTAVE 2</t>
  </si>
  <si>
    <t>RAB0000000112959</t>
  </si>
  <si>
    <t>SORO DOLOUROU (BKE)</t>
  </si>
  <si>
    <t>RAB0000000112957</t>
  </si>
  <si>
    <t>KOUAKOU YAO SYLVAIN (BKE)</t>
  </si>
  <si>
    <t>RAB0000000004007</t>
  </si>
  <si>
    <t>M. BARRY ANTAR</t>
  </si>
  <si>
    <t>RAB0000000112896</t>
  </si>
  <si>
    <t>BAMBA GAHOUSSOU</t>
  </si>
  <si>
    <t>RAB0000000112117</t>
  </si>
  <si>
    <t>KODJO EPSE WASSA  ELIAM ADJOUA CHRISTEL</t>
  </si>
  <si>
    <t>RAB0000000112764</t>
  </si>
  <si>
    <t>TIMBINE AMADOU</t>
  </si>
  <si>
    <t>RAB0000000112958</t>
  </si>
  <si>
    <t>OUATTARA BAKOGOLY (BKE)</t>
  </si>
  <si>
    <t>RAB0000000112960</t>
  </si>
  <si>
    <t>TANGARA OUMAR (BKE)</t>
  </si>
  <si>
    <t>RAB0000000113013</t>
  </si>
  <si>
    <t>COULIBALY KOROTOUM CYNTHIA (BKE)</t>
  </si>
  <si>
    <t>RAB0000000113025</t>
  </si>
  <si>
    <t>BAMBA LASSO (BKE)</t>
  </si>
  <si>
    <t>RAB0000000112939</t>
  </si>
  <si>
    <t>SYLLA BRAHIMA YAKRO</t>
  </si>
  <si>
    <t>RAB0000000112909</t>
  </si>
  <si>
    <t>KOUAME SOTY RODRIGUE YAKRO</t>
  </si>
  <si>
    <t>RAB0000000113004</t>
  </si>
  <si>
    <t>KONATE SINALY</t>
  </si>
  <si>
    <t>RAB0000000113002</t>
  </si>
  <si>
    <t>SAMAKE MISSA</t>
  </si>
  <si>
    <t>RAB0000000113006</t>
  </si>
  <si>
    <t>MEITE HADJA MANKESSA</t>
  </si>
  <si>
    <t>RAB0000000113066</t>
  </si>
  <si>
    <t>OUATTARA TIEREGNIMA ADAMA</t>
  </si>
  <si>
    <t>RAB0000000112750</t>
  </si>
  <si>
    <t>SOKRO MARIE DANIELLE</t>
  </si>
  <si>
    <t>RAB0000000113015</t>
  </si>
  <si>
    <t>GNAGNE AGNERO ROMARIC</t>
  </si>
  <si>
    <t>RAB0000000113024</t>
  </si>
  <si>
    <t>BAMBA ELIAS MADELEINE</t>
  </si>
  <si>
    <t>RAB0000000112253</t>
  </si>
  <si>
    <t>BULTO CI 2</t>
  </si>
  <si>
    <t>RAB0000000112252</t>
  </si>
  <si>
    <t>BULTO CI 1</t>
  </si>
  <si>
    <t>RAB0000000113058</t>
  </si>
  <si>
    <t>KOUAME KOUASSI CORENTIN MICHEL (BKE)</t>
  </si>
  <si>
    <t>RAB0000000113031</t>
  </si>
  <si>
    <t>COULIBALY AICHA</t>
  </si>
  <si>
    <t>RAB0000000113049</t>
  </si>
  <si>
    <t>KONE N GANAN CONSTANT</t>
  </si>
  <si>
    <t>RAB0000000113050</t>
  </si>
  <si>
    <t>KONE SALIMATA (BKE)</t>
  </si>
  <si>
    <t>RAB0000000113003</t>
  </si>
  <si>
    <t>CISSE LOSENI JUNIOR</t>
  </si>
  <si>
    <t>RAB0000000113046</t>
  </si>
  <si>
    <t>KONAN FRANCK SYLVAIN</t>
  </si>
  <si>
    <t>RAB0000000113039</t>
  </si>
  <si>
    <t>FOFANA MAMADOU YAKRO FM</t>
  </si>
  <si>
    <t>RAB0000000113081</t>
  </si>
  <si>
    <t>DIARRA SOUMAILA ISMAEL</t>
  </si>
  <si>
    <t>RAB0000000112808</t>
  </si>
  <si>
    <t>BASSOMBRA AKA MICHEL</t>
  </si>
  <si>
    <t>RAB0000000113089</t>
  </si>
  <si>
    <t>AISSY MARCEL CHRISTIAN PELEGRIN</t>
  </si>
  <si>
    <t>RAB0000000112898</t>
  </si>
  <si>
    <t>LOROUGNON DJIRIGA MAXIME</t>
  </si>
  <si>
    <t>RAB0000000113067</t>
  </si>
  <si>
    <t>OURA AKISSI ANDREA AUDE</t>
  </si>
  <si>
    <t>RAB0000000112234</t>
  </si>
  <si>
    <t>AHONZO NARCISSE</t>
  </si>
  <si>
    <t>RAB0000000113035</t>
  </si>
  <si>
    <t>DIALLO SINDOU (BKE)</t>
  </si>
  <si>
    <t>RAB0000000113154</t>
  </si>
  <si>
    <t>KOUADIO KOUAME HYACINTHE (BKE)</t>
  </si>
  <si>
    <t>RAB0000000113160</t>
  </si>
  <si>
    <t>KOUMA ABOUBACAR (BKE)</t>
  </si>
  <si>
    <t>RAB0000000113152</t>
  </si>
  <si>
    <t>DJANKA TIDIANE (BKE)</t>
  </si>
  <si>
    <t>RAB0000000113159</t>
  </si>
  <si>
    <t>KOUAME YANN PATRICK JEREMIE (BKE)</t>
  </si>
  <si>
    <t>RAB0000000113163</t>
  </si>
  <si>
    <t>YAO KONAN KAN RENAUD (BKE)</t>
  </si>
  <si>
    <t>RAB0000000113161</t>
  </si>
  <si>
    <t>OURIGBALE LANDRY (BKE)</t>
  </si>
  <si>
    <t>RAB0000000113158</t>
  </si>
  <si>
    <t>CAMARA DOSSONGUI ISMAEL (BKE)</t>
  </si>
  <si>
    <t>RAB0000000113156</t>
  </si>
  <si>
    <t>TRAORE MARIAME (BKE)</t>
  </si>
  <si>
    <t>RAB0000000113162</t>
  </si>
  <si>
    <t>SAVADOGO MOUMOUNI (BKE)</t>
  </si>
  <si>
    <t>RAB0000000113135</t>
  </si>
  <si>
    <t>MOMPOHED LOKINKA ARNAUD</t>
  </si>
  <si>
    <t>RAB0000000113130</t>
  </si>
  <si>
    <t>KOUASSI BI DJESSAN JULES MATHURIN</t>
  </si>
  <si>
    <t>RAB0000000113133</t>
  </si>
  <si>
    <t>KOUAME MIENSAH KOUAME JUNIAS YAKRO</t>
  </si>
  <si>
    <t>RAB0000000113068</t>
  </si>
  <si>
    <t>SAGARA SAMUEL</t>
  </si>
  <si>
    <t>RAB0000000113196</t>
  </si>
  <si>
    <t>AMANI KWADJAU HYPPOLITE ANDERSON</t>
  </si>
  <si>
    <t>RAB0000000113059</t>
  </si>
  <si>
    <t>KRAMO KOFFI JEAN MARC</t>
  </si>
  <si>
    <t>RAB0000000113125</t>
  </si>
  <si>
    <t>CHOPARD-LALLIER ANTHONY</t>
  </si>
  <si>
    <t>RAB0000000113140</t>
  </si>
  <si>
    <t>DETOH YONE MARCIE-ALICIA</t>
  </si>
  <si>
    <t>RAB0000000113139</t>
  </si>
  <si>
    <t>BROU KONAN ALLANY FRANCK EULOGE</t>
  </si>
  <si>
    <t>RAB0000000113153</t>
  </si>
  <si>
    <t>FOFANA BAKARY KARIMOU (BKE)</t>
  </si>
  <si>
    <t>RAB0000000112518</t>
  </si>
  <si>
    <t>KONE LAMISSA (BKE)</t>
  </si>
  <si>
    <t>RAB0000000113209</t>
  </si>
  <si>
    <t>BEIKO BLY STEVE MAUREL (BKE)</t>
  </si>
  <si>
    <t>RAB0000000113184</t>
  </si>
  <si>
    <t>DIECKET  BRAH JUDITH YAKRO</t>
  </si>
  <si>
    <t>RAB0000000113191</t>
  </si>
  <si>
    <t>KOUASSI TEHIA GERVAISE JOCELYNE EPOUSE DOUO</t>
  </si>
  <si>
    <t>RAB0000000113181</t>
  </si>
  <si>
    <t>ANGAMAN ASSANDOA MARIE THERESE YAKRO</t>
  </si>
  <si>
    <t>RAB0000000113192</t>
  </si>
  <si>
    <t>N'GUESSAN AHOU ANICK-DIEU DONNEE</t>
  </si>
  <si>
    <t>RAB0000000113190</t>
  </si>
  <si>
    <t>OUATTARA YAYA YAKRO 2</t>
  </si>
  <si>
    <t>RAB0000000113185</t>
  </si>
  <si>
    <t>YAVO GOYO MICHEL YAKRO</t>
  </si>
  <si>
    <t>RAB0000000113183</t>
  </si>
  <si>
    <t>BAKAYOKO MAHOUA YAKRO</t>
  </si>
  <si>
    <t>RAB0000000109249</t>
  </si>
  <si>
    <t>BAKAYOKO ZHEINAB YAKRO</t>
  </si>
  <si>
    <t>RAB0000000112535</t>
  </si>
  <si>
    <t>OUPOH KIZITO IBA</t>
  </si>
  <si>
    <t>RAB0000000112917</t>
  </si>
  <si>
    <t>KAKOU KOFFI JEAN CLAUDE</t>
  </si>
  <si>
    <t>RAB0000000113145</t>
  </si>
  <si>
    <t>KOUASSI HAUDY  ANGE PATRICK</t>
  </si>
  <si>
    <t>RAB0000000113147</t>
  </si>
  <si>
    <t>ATTA BROU NOEL</t>
  </si>
  <si>
    <t>RAB0000000113124</t>
  </si>
  <si>
    <t>BAMBA MOUSSA</t>
  </si>
  <si>
    <t>RAB0000000113193</t>
  </si>
  <si>
    <t>KOGBA KROUGBO CHANTAL</t>
  </si>
  <si>
    <t>RAB0000000113260</t>
  </si>
  <si>
    <t>DIAGNE MARIE PAULE</t>
  </si>
  <si>
    <t>RAB0000000113261</t>
  </si>
  <si>
    <t>ADIKO ESSOH LOYEI DIANE-MANUELLE</t>
  </si>
  <si>
    <t>RAB0000000113514</t>
  </si>
  <si>
    <t>TRAORE FATOUMATA (BKE)</t>
  </si>
  <si>
    <t>RAB0000000113503</t>
  </si>
  <si>
    <t>TRAORE BAMANE</t>
  </si>
  <si>
    <t>RAB0000000005854</t>
  </si>
  <si>
    <t>COULIBALY HAMIDOU (BOUAKE)</t>
  </si>
  <si>
    <t>RAB0000000113182</t>
  </si>
  <si>
    <t>N'GUESSAN JEAN HILAIRE 3</t>
  </si>
  <si>
    <t>RAB0000000113188</t>
  </si>
  <si>
    <t>YAO KOUASSI EVRA</t>
  </si>
  <si>
    <t>RAB0000000113061</t>
  </si>
  <si>
    <t>MISSHON MA-JOIE JESSIKA ROSALIE</t>
  </si>
  <si>
    <t>RAB0000000113074</t>
  </si>
  <si>
    <t>TRAORE DAOUDA ARIF</t>
  </si>
  <si>
    <t>RAB0000000113136</t>
  </si>
  <si>
    <t>SANGARE OUMAR YAKRO SO</t>
  </si>
  <si>
    <t>RAB0000000112729</t>
  </si>
  <si>
    <t>BROU KOFFI SYLVESTRE</t>
  </si>
  <si>
    <t>RAB0000000112027</t>
  </si>
  <si>
    <t>N'DRI FAMIEN PRINCE AIME YAKRO</t>
  </si>
  <si>
    <t>RAB0000000111890</t>
  </si>
  <si>
    <t>TOURE DJAKARIDJA YAKRO TD</t>
  </si>
  <si>
    <t>RAB0000000112914</t>
  </si>
  <si>
    <t>KOFFI KOUADIO JEAN-MERMOZ</t>
  </si>
  <si>
    <t>RAB0000000113007</t>
  </si>
  <si>
    <t>KOUAME KONAN MAKEN</t>
  </si>
  <si>
    <t>RAB0000000113072</t>
  </si>
  <si>
    <t>TRAORE ABOULAYE YAKRO TA</t>
  </si>
  <si>
    <t>RAB0000000113280</t>
  </si>
  <si>
    <t>DALI AKA JUSTIN</t>
  </si>
  <si>
    <t>RAB0000000112927</t>
  </si>
  <si>
    <t>DEMBELE MOUBARAK MAEL</t>
  </si>
  <si>
    <t>RAB0000000113496</t>
  </si>
  <si>
    <t>GANH DEKASSE PAULIN</t>
  </si>
  <si>
    <t>RAB0000000112836</t>
  </si>
  <si>
    <t>MESSAN FUMILAYO HERMANN</t>
  </si>
  <si>
    <t>RAB0000000113129</t>
  </si>
  <si>
    <t>SIDIBE SALIFOU</t>
  </si>
  <si>
    <t>RAB0000000113521</t>
  </si>
  <si>
    <t>SORO NONTONWA LYDIE (BKE)</t>
  </si>
  <si>
    <t>RAB0000000113189</t>
  </si>
  <si>
    <t>KOUASSI N'DRI GUY HARMEL</t>
  </si>
  <si>
    <t>RAB0000000113186</t>
  </si>
  <si>
    <t>KESSIE OURAGA CHARLES</t>
  </si>
  <si>
    <t>RAB0000000113279</t>
  </si>
  <si>
    <t>TRAORE DAOUDA YAKRO TD</t>
  </si>
  <si>
    <t>RAB0000000113508</t>
  </si>
  <si>
    <t>AKEGNAN KOUAME CHRISTOPHE</t>
  </si>
  <si>
    <t>RAB0000000113509</t>
  </si>
  <si>
    <t>ACAFOU GNANDO BRICE GAEL YAKRO</t>
  </si>
  <si>
    <t>RAB0000000113516</t>
  </si>
  <si>
    <t>GONDO SOUMAHORO FRANCIS</t>
  </si>
  <si>
    <t>RAB0000000109667</t>
  </si>
  <si>
    <t>COFFI CONFORTE VICTOIRE</t>
  </si>
  <si>
    <t>RAB0000000113263</t>
  </si>
  <si>
    <t>ABONG RENEE MARIE MANZAN</t>
  </si>
  <si>
    <t>RAB0000000112512</t>
  </si>
  <si>
    <t>AGNERO AKPA SIE ESSANE LEA HEMERITE</t>
  </si>
  <si>
    <t>RAB0000000112846</t>
  </si>
  <si>
    <t>TAPE ZOTA ROLANDE</t>
  </si>
  <si>
    <t>RAB0000000113199</t>
  </si>
  <si>
    <t>SANKOH ALICE BETTY</t>
  </si>
  <si>
    <t>RAB0000000110951</t>
  </si>
  <si>
    <t>DRAMMEH LAMIN M.</t>
  </si>
  <si>
    <t>RAB0000000113511</t>
  </si>
  <si>
    <t>AYA ADJARA (BKE)</t>
  </si>
  <si>
    <t>RAB0000000113538</t>
  </si>
  <si>
    <t>TRAORE OUMAROU (BKE)</t>
  </si>
  <si>
    <t>RAB0000000112760</t>
  </si>
  <si>
    <t>RIMCO - SETACI</t>
  </si>
  <si>
    <t>RAB0000000113564</t>
  </si>
  <si>
    <t>KOUAME AUDREY GRACE EMMANUELLE</t>
  </si>
  <si>
    <t>RAB0000000113562</t>
  </si>
  <si>
    <t>KONE NOUMOUDEDJE YAKRO</t>
  </si>
  <si>
    <t>RAB0000000113563</t>
  </si>
  <si>
    <t>KONE SIDIKI YAKRO</t>
  </si>
  <si>
    <t>RAB0000000113583</t>
  </si>
  <si>
    <t>KOUADIO KOUTOUAN  NATHACHAEL</t>
  </si>
  <si>
    <t>RAB0000000113585</t>
  </si>
  <si>
    <t>KOUAME ADJOUA PHILOMENE EPOUSE NDAH</t>
  </si>
  <si>
    <t>RAB0000000113542</t>
  </si>
  <si>
    <t>N'GUESSAN KOUAME N'GUESSAN LEON JUNIOR</t>
  </si>
  <si>
    <t>RAB0000000108667</t>
  </si>
  <si>
    <t>ALARM AFRICA SARL</t>
  </si>
  <si>
    <t>RAB0000000111950</t>
  </si>
  <si>
    <t>GBOBOUO VAGBEU AMELIE</t>
  </si>
  <si>
    <t>RAB0000000113211</t>
  </si>
  <si>
    <t>FALE WILFRIED ANDRE</t>
  </si>
  <si>
    <t>RAB0000000112844</t>
  </si>
  <si>
    <t>YOMAN KOKANA CARINE</t>
  </si>
  <si>
    <t>RAB0000000113079</t>
  </si>
  <si>
    <t>DARE NOEL SYLVIAN</t>
  </si>
  <si>
    <t>RAB0000000110257</t>
  </si>
  <si>
    <t>KEITA GOHOUROU PAUL EMMANUEL WILFRIED</t>
  </si>
  <si>
    <t>RAB0000000113576</t>
  </si>
  <si>
    <t>COULIBALY NASSARANGBE FOINLA</t>
  </si>
  <si>
    <t>RAB0000000113571</t>
  </si>
  <si>
    <t>GUIHO OUATTARA LYDIE NATACHA</t>
  </si>
  <si>
    <t>RAB0000000113597</t>
  </si>
  <si>
    <t>TENIN MICHELLE MONCKEY</t>
  </si>
  <si>
    <t>RAB0000000113614</t>
  </si>
  <si>
    <t>KANATE MASSANDJE</t>
  </si>
  <si>
    <t>RAB0000000113602</t>
  </si>
  <si>
    <t>BEUGRE JEAN BEKANTI WILFRIED</t>
  </si>
  <si>
    <t>RAB0000000113132</t>
  </si>
  <si>
    <t>KORE DENISE LORAINE</t>
  </si>
  <si>
    <t>RAB0000000113540</t>
  </si>
  <si>
    <t>TRAORE BAH BAKARY YAKRO</t>
  </si>
  <si>
    <t>RAB0000000113541</t>
  </si>
  <si>
    <t>NOGBOU NDJA MATTHIEU YAKRO</t>
  </si>
  <si>
    <t>RAB0000000113187</t>
  </si>
  <si>
    <t>KOFFI KOUADIO JEAN MARUIS YAKRO</t>
  </si>
  <si>
    <t>RAB0000000113131</t>
  </si>
  <si>
    <t>BOHIRI SERGE ROMI YAKRO</t>
  </si>
  <si>
    <t>RAB0000000112972</t>
  </si>
  <si>
    <t>BRUCE ETSE JACQUES</t>
  </si>
  <si>
    <t>RAB0000000113501</t>
  </si>
  <si>
    <t>TANDIA FATOUMATA</t>
  </si>
  <si>
    <t>RAB0000000113502</t>
  </si>
  <si>
    <t>TIA MICHEL</t>
  </si>
  <si>
    <t>RAB0000000111214</t>
  </si>
  <si>
    <t>FAHE SAHE BIONAO LANDRY</t>
  </si>
  <si>
    <t>RAB0000000112116</t>
  </si>
  <si>
    <t>GOUANOU YEHI CARINE</t>
  </si>
  <si>
    <t>RAB0000000113611</t>
  </si>
  <si>
    <t>GNANGA N'GUESSAN FABRICE</t>
  </si>
  <si>
    <t>RAB0000000113703</t>
  </si>
  <si>
    <t>DIARRASSOUBA ALY CHEICK KADER (BKE)</t>
  </si>
  <si>
    <t>RAB0000000113619</t>
  </si>
  <si>
    <t>KOUAME HENRI JOEL</t>
  </si>
  <si>
    <t>RAB0000000113626</t>
  </si>
  <si>
    <t>OUATTARA ZANA</t>
  </si>
  <si>
    <t>RAB0000000113607</t>
  </si>
  <si>
    <t>DJAZE ROMEO</t>
  </si>
  <si>
    <t>RAB0000000113669</t>
  </si>
  <si>
    <t>SAWADOGO  MOHAMED LAMINE YAKRO</t>
  </si>
  <si>
    <t>RAB0000000111225</t>
  </si>
  <si>
    <t>KONE DJENEBA</t>
  </si>
  <si>
    <t>RAB0000000113505</t>
  </si>
  <si>
    <t>BOBI STEPHANE EMMANUEL</t>
  </si>
  <si>
    <t>RAB0000000013215</t>
  </si>
  <si>
    <t>DRAMERA AMY</t>
  </si>
  <si>
    <t>RAB0000000112932</t>
  </si>
  <si>
    <t>BONI MOUSSO HYACINTHE</t>
  </si>
  <si>
    <t>RAB0000000113663</t>
  </si>
  <si>
    <t>TIA BIBOLOU YENET</t>
  </si>
  <si>
    <t>RAB0000000113643</t>
  </si>
  <si>
    <t>BONG BIKE HERMANN THIBAUT</t>
  </si>
  <si>
    <t>RAB0000000110868</t>
  </si>
  <si>
    <t>YAO KOUAME</t>
  </si>
  <si>
    <t>RAB0000000113686</t>
  </si>
  <si>
    <t>KOUYA GOUANTOUO BERNARD ISRAEL (BKE)</t>
  </si>
  <si>
    <t>RAB0000000113706</t>
  </si>
  <si>
    <t>TRAORE HAOUA (BKE)</t>
  </si>
  <si>
    <t>RAB0000000113690</t>
  </si>
  <si>
    <t>SIDIBE IMAM AHAMADOU (BKE)</t>
  </si>
  <si>
    <t>RAB0000000113705</t>
  </si>
  <si>
    <t>SANOGO ABOUBACAKAR (BKE)</t>
  </si>
  <si>
    <t>RAB0000000113623</t>
  </si>
  <si>
    <t>MAFIA ADIO CAROLE MURIELLE</t>
  </si>
  <si>
    <t>RAB0000000113620</t>
  </si>
  <si>
    <t>KOUASSI ABOUHO EPHRAIM</t>
  </si>
  <si>
    <t>RAB0000000113633</t>
  </si>
  <si>
    <t>ZOUZOU BROU OLIVIER</t>
  </si>
  <si>
    <t>RAB0000000113664</t>
  </si>
  <si>
    <t>NGUESSAN KOUAME FIRMIN YAKRO</t>
  </si>
  <si>
    <t>RAB0000000113615</t>
  </si>
  <si>
    <t>KONAN ERCI MARTIAL YAKRO</t>
  </si>
  <si>
    <t>RAB0000000113668</t>
  </si>
  <si>
    <t>DIABY MOHAMED CHEICK TIDIANE</t>
  </si>
  <si>
    <t>RAB0000000113630</t>
  </si>
  <si>
    <t>TEHUA KOUADIO ALPHONSE YAKRO</t>
  </si>
  <si>
    <t>RAB0000000113685</t>
  </si>
  <si>
    <t>KAGLO AMELE YAKRO</t>
  </si>
  <si>
    <t>RAB0000000113683</t>
  </si>
  <si>
    <t>SALIU AREO LIASU</t>
  </si>
  <si>
    <t>RAB0000000013287</t>
  </si>
  <si>
    <t>KASSOUMOU ABDOUL LATIF YAKRO</t>
  </si>
  <si>
    <t>RAB0000000113613</t>
  </si>
  <si>
    <t>GNING IBRAHIM YAKRO</t>
  </si>
  <si>
    <t>RAB0000000113681</t>
  </si>
  <si>
    <t>ZERBO FATOUMATA</t>
  </si>
  <si>
    <t>RAB0000000113692</t>
  </si>
  <si>
    <t>KOUAME YAO SIMON</t>
  </si>
  <si>
    <t>RAB0000000111895</t>
  </si>
  <si>
    <t>RAB0000000113656</t>
  </si>
  <si>
    <t>KRA JEAN NOEL STEPHANE TACQUY</t>
  </si>
  <si>
    <t>RAB0000000113026</t>
  </si>
  <si>
    <t>BATTO FLORENT</t>
  </si>
  <si>
    <t>RAB0000000113645</t>
  </si>
  <si>
    <t>DIOMANDE JEAN MARC KELLY</t>
  </si>
  <si>
    <t>RAB0000000113762</t>
  </si>
  <si>
    <t>MANDAH EPSE GBAHOU YABA DENISE ESTELLE (BKE)</t>
  </si>
  <si>
    <t>RAB0000000113765</t>
  </si>
  <si>
    <t>ZOH KOFFI JOEL (BKE)</t>
  </si>
  <si>
    <t>RAB0000000113763</t>
  </si>
  <si>
    <t>OUATTARA ZAKARY ABDEL KADHER (BKE)</t>
  </si>
  <si>
    <t>RAB0000000113764</t>
  </si>
  <si>
    <t>YAO BABA KAN AUGUSTIN (BKE)</t>
  </si>
  <si>
    <t>RAB0000000113807</t>
  </si>
  <si>
    <t>GOLY LAHON JULIE EPOUSE BOLY</t>
  </si>
  <si>
    <t>RAB0000000113719</t>
  </si>
  <si>
    <t>YAO LANDOU MARIE AUDE ROXANE</t>
  </si>
  <si>
    <t>RAB0000000113650</t>
  </si>
  <si>
    <t>KANGOUTE YOUSSOUF JEROME</t>
  </si>
  <si>
    <t>RAB0000000113745</t>
  </si>
  <si>
    <t>EMOGIE DANIEL UYIOGHOSA</t>
  </si>
  <si>
    <t>RAB0000000113772</t>
  </si>
  <si>
    <t>TUO DJENEBA</t>
  </si>
  <si>
    <t>RAB0000000113799</t>
  </si>
  <si>
    <t>BAGO KOKO EDDY FRANCK</t>
  </si>
  <si>
    <t>RAB0000000113197</t>
  </si>
  <si>
    <t>YAI LIDWINE MATHILDE DJEGOUET</t>
  </si>
  <si>
    <t>RAB0000000113761</t>
  </si>
  <si>
    <t>BALLO CHOUAYB (BKE)</t>
  </si>
  <si>
    <t>RAB0000000113871</t>
  </si>
  <si>
    <t>KOUASSI KOUASSI DEBOUCHARD (Bouaké)</t>
  </si>
  <si>
    <t>RAB0000000113873</t>
  </si>
  <si>
    <t>SETIN DEDAU FELICIA EPSE KONE (BKE)</t>
  </si>
  <si>
    <t>RAB0000000113831</t>
  </si>
  <si>
    <t>SORE SEYDOU</t>
  </si>
  <si>
    <t>RAB0000000113869</t>
  </si>
  <si>
    <t>KARAMOKO NAMORY (BKE)</t>
  </si>
  <si>
    <t>RAB0000000113872</t>
  </si>
  <si>
    <t>SERE ADAMA (BKE)</t>
  </si>
  <si>
    <t>RAB0000000113870</t>
  </si>
  <si>
    <t>KONE MAHOUA (BKE)</t>
  </si>
  <si>
    <t>RAB0000000113809</t>
  </si>
  <si>
    <t>SADIA LOUA JEAN MARC MACHENZY</t>
  </si>
  <si>
    <t>RAB0000000113728</t>
  </si>
  <si>
    <t>MOHAMED JOUMANI FATIMETOU ZEHRA YAKRO</t>
  </si>
  <si>
    <t>RAB0000000113727</t>
  </si>
  <si>
    <t>KOUAME KOUAME FRANCK</t>
  </si>
  <si>
    <t>RAB0000000113726</t>
  </si>
  <si>
    <t>KOUASSI KOUAKOU FABRICE</t>
  </si>
  <si>
    <t>RAB0000000113810</t>
  </si>
  <si>
    <t>AMAN ASSOUMOU GAUTIER</t>
  </si>
  <si>
    <t>RAB0000000113722</t>
  </si>
  <si>
    <t>SERIFOU ISMAILA YAKRO SI</t>
  </si>
  <si>
    <t>RAB0000000113609</t>
  </si>
  <si>
    <t>DRABO JACOB 2YAKRO</t>
  </si>
  <si>
    <t>RAB0000000113753</t>
  </si>
  <si>
    <t>MAGASSOUBA AHMED YAKRO</t>
  </si>
  <si>
    <t>RAB0000000113779</t>
  </si>
  <si>
    <t>LOBA DJOKOUEHI VICTOR ASCENSION DALOUGOU SERIPKA</t>
  </si>
  <si>
    <t>RAB0000000113820</t>
  </si>
  <si>
    <t>NIABA DIAPAN MARINA HERVEE</t>
  </si>
  <si>
    <t>RAB0000000113863</t>
  </si>
  <si>
    <t>ASSAMOI MOLOD JEAN- LUC</t>
  </si>
  <si>
    <t>RAB0000000113888</t>
  </si>
  <si>
    <t>DOUGOURI ADAMAN LAMBERT</t>
  </si>
  <si>
    <t>RAB0000000113829</t>
  </si>
  <si>
    <t>TAPE LOU GOHI ELLA-EMMA</t>
  </si>
  <si>
    <t>RAB0000000113818</t>
  </si>
  <si>
    <t>ASSI ASSI SERGE</t>
  </si>
  <si>
    <t>RAB0000000113838</t>
  </si>
  <si>
    <t>N'DRI KOUAKOU JEAN-DANIEL</t>
  </si>
  <si>
    <t>RAB0000000113908</t>
  </si>
  <si>
    <t>KONE N'GANAN MICHAEL (BKE)</t>
  </si>
  <si>
    <t>RAB0000000113925</t>
  </si>
  <si>
    <t>YAO YAO RENE (BOUAKE)</t>
  </si>
  <si>
    <t>RAB0000000113905</t>
  </si>
  <si>
    <t>KONE BRAHIMA (BKE) 2</t>
  </si>
  <si>
    <t>RAB0000000113945</t>
  </si>
  <si>
    <t>GAMBY ABDOUL AZIZ ALFRED</t>
  </si>
  <si>
    <t>RAB0000000111100</t>
  </si>
  <si>
    <t>SORO SOLOUROUGO YOUSSOUF FTTH (BKE)</t>
  </si>
  <si>
    <t>RAB0000000113933</t>
  </si>
  <si>
    <t>BAH MAMADOU MOUSTAPHA</t>
  </si>
  <si>
    <t>RAB0000000113868</t>
  </si>
  <si>
    <t>DJILE GBAKA DONALD OLIVIER (BKE)</t>
  </si>
  <si>
    <t>RAB0000000113806</t>
  </si>
  <si>
    <t>KONE BEN ABOUBACAR</t>
  </si>
  <si>
    <t>RAB0000000113808</t>
  </si>
  <si>
    <t>DJEDJI YAPO OLIVIER CORNEILLE YAKRO</t>
  </si>
  <si>
    <t>RAB0000000113823</t>
  </si>
  <si>
    <t>BELEM AMIDOU</t>
  </si>
  <si>
    <t>RAB0000000113886</t>
  </si>
  <si>
    <t>DIOMANDE MANHLOU ELODIE</t>
  </si>
  <si>
    <t>RAB0000000113884</t>
  </si>
  <si>
    <t>DIAKITE AHMED</t>
  </si>
  <si>
    <t>RAB0000000113895</t>
  </si>
  <si>
    <t>HAIDARA ABOUBACAR YAKRO</t>
  </si>
  <si>
    <t>RAB0000000113916</t>
  </si>
  <si>
    <t>OUATTARA AHMED</t>
  </si>
  <si>
    <t>RAB0000000113927</t>
  </si>
  <si>
    <t>AKA OI AKA JEAN ARMEL</t>
  </si>
  <si>
    <t>RAB0000000113912</t>
  </si>
  <si>
    <t>NDRI EPOUSE DJODJO AHOU EPIPHANE YAKRO</t>
  </si>
  <si>
    <t>RAB0000000113907</t>
  </si>
  <si>
    <t>ABE YAPO LEOPOLD YAKRO</t>
  </si>
  <si>
    <t>RAB0000000113628</t>
  </si>
  <si>
    <t>SIBAILLY OLGA ROSELYNE</t>
  </si>
  <si>
    <t>RAB0000000113883</t>
  </si>
  <si>
    <t>BLEGBO GNALY ZOGOURY ROMUALD</t>
  </si>
  <si>
    <t>RAB0000000113826</t>
  </si>
  <si>
    <t>YOH SONEZERE MATHIAS</t>
  </si>
  <si>
    <t>RAB0000000113906</t>
  </si>
  <si>
    <t>KONE IBRAHIM (BKE)</t>
  </si>
  <si>
    <t>RAB0000000113923</t>
  </si>
  <si>
    <t>TOURE GBEKE SIE IBRAHIMAN KADER (BKE)</t>
  </si>
  <si>
    <t>RAB0000000113938</t>
  </si>
  <si>
    <t>CISSE FATOUMATA</t>
  </si>
  <si>
    <t>RAB0000000113939</t>
  </si>
  <si>
    <t>DIGBEU DAKOURY GUY</t>
  </si>
  <si>
    <t>RAB0000000113971</t>
  </si>
  <si>
    <t>N'GUESSAN DANE VALERI</t>
  </si>
  <si>
    <t>RAB0000000113968</t>
  </si>
  <si>
    <t>VE BLE GEROME</t>
  </si>
  <si>
    <t>RAB0000000113893</t>
  </si>
  <si>
    <t>GNAHOUA ABDALLAH ARAFAT BLE BEN ABUBAKAR</t>
  </si>
  <si>
    <t>RAB0000000113244</t>
  </si>
  <si>
    <t>YEO SIRATA NATHALIE</t>
  </si>
  <si>
    <t>RAB0000000113222</t>
  </si>
  <si>
    <t>KOUADIO OKON SEBASTIEN YAKRO</t>
  </si>
  <si>
    <t>RAB0000000113227</t>
  </si>
  <si>
    <t>BAILOU OUMAR YAKRO</t>
  </si>
  <si>
    <t>RAB0000000113954</t>
  </si>
  <si>
    <t>KPEHIAI ZEAN HUBERT</t>
  </si>
  <si>
    <t>RAB0000000113223</t>
  </si>
  <si>
    <t>KASSEGNE CODJO CLAUDE PIERRE YAKRO</t>
  </si>
  <si>
    <t>RAB0000000113226</t>
  </si>
  <si>
    <t>KONKOBO SALIF 2</t>
  </si>
  <si>
    <t>RAB0000000113962</t>
  </si>
  <si>
    <t>TAH BITAR SEBASTIEN</t>
  </si>
  <si>
    <t>RAB0000000111802</t>
  </si>
  <si>
    <t>SERY MARIE-ROLANDE</t>
  </si>
  <si>
    <t>RAB0000000113819</t>
  </si>
  <si>
    <t>KOUAKOU AMAN AKOU</t>
  </si>
  <si>
    <t>RAB0000000113861</t>
  </si>
  <si>
    <t>BROU INAO FRED ALAIN JARDEL</t>
  </si>
  <si>
    <t>RAB0000000113747</t>
  </si>
  <si>
    <t>DRO GONDO AURELIEN</t>
  </si>
  <si>
    <t>RAB0000000113910</t>
  </si>
  <si>
    <t>KOUADIO N'GUESSAN MARIE CLAIRE (BKE)</t>
  </si>
  <si>
    <t>RAB0000000113924</t>
  </si>
  <si>
    <t>VANIE BI GOORE TOUSSAINT (BKE)</t>
  </si>
  <si>
    <t>RAB0000000113901</t>
  </si>
  <si>
    <t>COULIBALY ABDOULAYE GUY MARCEL YAKRO</t>
  </si>
  <si>
    <t>RAB0000000113952</t>
  </si>
  <si>
    <t>N DRI KOLLOU MARC WIFRIED ASSIE</t>
  </si>
  <si>
    <t>RAB0000000113966</t>
  </si>
  <si>
    <t>FOFANA HAMED</t>
  </si>
  <si>
    <t>RAB0000000113990</t>
  </si>
  <si>
    <t>KONE ZENAB YAKRO</t>
  </si>
  <si>
    <t>RAB0000000114001</t>
  </si>
  <si>
    <t>KOUASSI KOUADIO MARUIS</t>
  </si>
  <si>
    <t>RAB0000000114000</t>
  </si>
  <si>
    <t>SANGARE MOUSTAPHA</t>
  </si>
  <si>
    <t>RAB0000000113991</t>
  </si>
  <si>
    <t>DIABATE BLAMATIE YAKRO</t>
  </si>
  <si>
    <t>RAB0000000113865</t>
  </si>
  <si>
    <t>AGBOKE LOBA GEDEON</t>
  </si>
  <si>
    <t>RAB0000000113902</t>
  </si>
  <si>
    <t>KOFFI KONAN ANGE NOEL KEVIN</t>
  </si>
  <si>
    <t>RAB0000000114065</t>
  </si>
  <si>
    <t>TANO N'ZIAN ROMARIC</t>
  </si>
  <si>
    <t>RAB0000000113911</t>
  </si>
  <si>
    <t>KOUAKOU JEAN GUILLAUME</t>
  </si>
  <si>
    <t>RAB0000000113570</t>
  </si>
  <si>
    <t>NTOPA TAMBI CHRISTIAN FRITZ</t>
  </si>
  <si>
    <t>RAB0000000113827</t>
  </si>
  <si>
    <t>RAB0000000113988</t>
  </si>
  <si>
    <t>KOUAKOU AMOIN FLORE NADEGE YAKRO</t>
  </si>
  <si>
    <t>RAB0000000114058</t>
  </si>
  <si>
    <t>KOUGNON TAKI FRANCIS YAKRO</t>
  </si>
  <si>
    <t>RAB0000000114077</t>
  </si>
  <si>
    <t>THIO YENATABAN ALINE (BKE)</t>
  </si>
  <si>
    <t>RAB0000000114074</t>
  </si>
  <si>
    <t>N'GORAN N'GUETTA FIDELE (BKE)</t>
  </si>
  <si>
    <t>RAB0000000114075</t>
  </si>
  <si>
    <t>PAGNY ERIC  MARTIAL TANO STANISLAS (BKE)</t>
  </si>
  <si>
    <t>RAB0000000113860</t>
  </si>
  <si>
    <t>COULIBALY ADAMA</t>
  </si>
  <si>
    <t>RAB0000000113889</t>
  </si>
  <si>
    <t>FAHE NEHEMIE</t>
  </si>
  <si>
    <t>RAB0000000114005</t>
  </si>
  <si>
    <t>AMAN TANOH DESIRE</t>
  </si>
  <si>
    <t>RAB0000000113920</t>
  </si>
  <si>
    <t>SEKA NCHO HERMANN MONDESIR</t>
  </si>
  <si>
    <t>RAB0000000113658</t>
  </si>
  <si>
    <t>N'DA GAEL WILFRIED</t>
  </si>
  <si>
    <t>RAB0000000113975</t>
  </si>
  <si>
    <t>KONE ADAMA</t>
  </si>
  <si>
    <t>RAB0000000114073</t>
  </si>
  <si>
    <t>KONE YELANAN FRANCK (BKE)</t>
  </si>
  <si>
    <t>RAB0000000114102</t>
  </si>
  <si>
    <t>YEO TIANGARIGA (BKE)</t>
  </si>
  <si>
    <t>RAB0000000113736</t>
  </si>
  <si>
    <t>TRAORE KIKOUN IBRAHIM</t>
  </si>
  <si>
    <t>RAB0000000114082</t>
  </si>
  <si>
    <t>SEU OUEDE CLAUDE VALLERY</t>
  </si>
  <si>
    <t>RAB0000000114081</t>
  </si>
  <si>
    <t>KOUAME KOUAME KAN LAZARE</t>
  </si>
  <si>
    <t>RAB0000000114094</t>
  </si>
  <si>
    <t>TRAORE OUSMANE YAKRO</t>
  </si>
  <si>
    <t>RAB0000000114095</t>
  </si>
  <si>
    <t>RAIMI MARIAMA AMARI OYEBUNMI</t>
  </si>
  <si>
    <t>RAB0000000113850</t>
  </si>
  <si>
    <t>HICHAM NACHID</t>
  </si>
  <si>
    <t>RAB0000000111494</t>
  </si>
  <si>
    <t>CAMARA ABOU</t>
  </si>
  <si>
    <t>RAB0000000114151</t>
  </si>
  <si>
    <t>KOUASSI KOUADIO CHARLES</t>
  </si>
  <si>
    <t>RAB0000000114112</t>
  </si>
  <si>
    <t>RAMDE YAKOU</t>
  </si>
  <si>
    <t>RAB0000000113082</t>
  </si>
  <si>
    <t>DJRO MAKAMBOU ENOC ROGER</t>
  </si>
  <si>
    <t>RAB0000000113641</t>
  </si>
  <si>
    <t>AKPE CARELLE FLORINE</t>
  </si>
  <si>
    <t>RAB0000000114107</t>
  </si>
  <si>
    <t>TRAORE AMINATA</t>
  </si>
  <si>
    <t>RAB0000000114113</t>
  </si>
  <si>
    <t>PETEY LIONEL PATRICK STEPHEN DJECKET</t>
  </si>
  <si>
    <t>RAB0000000114118</t>
  </si>
  <si>
    <t>KONE DJAKARIDJA</t>
  </si>
  <si>
    <t>RAB0000000113904</t>
  </si>
  <si>
    <t>KONAN KOFFI URBAIN MAURICE</t>
  </si>
  <si>
    <t>RAB0000000114189</t>
  </si>
  <si>
    <t>SYLLA LEVOLI (BKE)</t>
  </si>
  <si>
    <t>RAB0000000114193</t>
  </si>
  <si>
    <t>FOFANA MAGBE (BKE)</t>
  </si>
  <si>
    <t>RAB0000000114078</t>
  </si>
  <si>
    <t>TIENE KADY GWLADYS (BKE)</t>
  </si>
  <si>
    <t>RAB0000000114176</t>
  </si>
  <si>
    <t>NGUESSAN KOUAME FIRMIN</t>
  </si>
  <si>
    <t>RAB0000000114182</t>
  </si>
  <si>
    <t>DOUMBIA MORY</t>
  </si>
  <si>
    <t>RAB0000000114183</t>
  </si>
  <si>
    <t>GUEI SYLVAIN</t>
  </si>
  <si>
    <t>RAB0000000113720</t>
  </si>
  <si>
    <t>FOUO LASSINA 1 YAKRO</t>
  </si>
  <si>
    <t>RAB0000000113721</t>
  </si>
  <si>
    <t>FOUO LASSINA 2 YAKRO</t>
  </si>
  <si>
    <t>RAB0000000113729</t>
  </si>
  <si>
    <t>FOUO LASSINA 3 YAKRO</t>
  </si>
  <si>
    <t>RAB0000000113723</t>
  </si>
  <si>
    <t xml:space="preserve">FOUO LASSINA 4 YAKRO </t>
  </si>
  <si>
    <t>RAB0000000114010</t>
  </si>
  <si>
    <t>KANGA ANGE FREDERIC</t>
  </si>
  <si>
    <t>RAB0000000114184</t>
  </si>
  <si>
    <t>AYOHINDE ABDOULAYE</t>
  </si>
  <si>
    <t>RAB0000000001785</t>
  </si>
  <si>
    <t>DIOMANDE FATOU</t>
  </si>
  <si>
    <t>RAB0000000114131</t>
  </si>
  <si>
    <t>ASSI MAMBO NANCY-STEPHANIE</t>
  </si>
  <si>
    <t>RAB0000000114002</t>
  </si>
  <si>
    <t>DIARRASSOUBA MASSITAN</t>
  </si>
  <si>
    <t>RAB0000000114163</t>
  </si>
  <si>
    <t>AGBEDJE GAEL DONALD</t>
  </si>
  <si>
    <t>RAB0000000114203</t>
  </si>
  <si>
    <t>ADEI API DIANE MIREILLE</t>
  </si>
  <si>
    <t>RAB0000000113636</t>
  </si>
  <si>
    <t>KOBENAN KARIM OUATTARA (BKE)</t>
  </si>
  <si>
    <t>RAB0000000114186</t>
  </si>
  <si>
    <t>KONATE ADAMA (BKE)</t>
  </si>
  <si>
    <t>RAB0000000113638</t>
  </si>
  <si>
    <t>HAIDARA MOUSSA (BKE)</t>
  </si>
  <si>
    <t>RAB0000000114030</t>
  </si>
  <si>
    <t>DIARRA ALI ABOUBAKAR (BKE)</t>
  </si>
  <si>
    <t>RAB0000000114261</t>
  </si>
  <si>
    <t>DIABATE FATOUMATA</t>
  </si>
  <si>
    <t>RAB0000000114034</t>
  </si>
  <si>
    <t>OUEDRAOGO DAOUDA (BKE)</t>
  </si>
  <si>
    <t>RAB0000000114032</t>
  </si>
  <si>
    <t>KOUYATE MAMADOU BEN (BKE)</t>
  </si>
  <si>
    <t>RAB0000000012481</t>
  </si>
  <si>
    <t>WONE BOKAK</t>
  </si>
  <si>
    <t>RAB0000000113684</t>
  </si>
  <si>
    <t>NGATTA KONAN ROGER CLAVER YAKRO</t>
  </si>
  <si>
    <t>RAB0000000114039</t>
  </si>
  <si>
    <t>HOTEL LE ROCHER (ROA)</t>
  </si>
  <si>
    <t>RAB0000000112245</t>
  </si>
  <si>
    <t>KONE KATI PASCALINE YAKRO 2 KKP</t>
  </si>
  <si>
    <t>RAB0000000113682</t>
  </si>
  <si>
    <t>CISSE SOULEMANE</t>
  </si>
  <si>
    <t>RAB0000000111276</t>
  </si>
  <si>
    <t>SAMAGUE MAKAN YAKRO</t>
  </si>
  <si>
    <t>RAB0000000111157</t>
  </si>
  <si>
    <t>NEGARO IBRAHIM</t>
  </si>
  <si>
    <t>RAB0000000114038</t>
  </si>
  <si>
    <t xml:space="preserve">BETIKRO BA </t>
  </si>
  <si>
    <t>RAB0000000114120</t>
  </si>
  <si>
    <t>KONATE DAOUDA</t>
  </si>
  <si>
    <t>RAB0000000114315</t>
  </si>
  <si>
    <t>N'DOUFFOU KAMELAN PATRICE</t>
  </si>
  <si>
    <t>RAB0000000114051</t>
  </si>
  <si>
    <t>AYIBE BOME JULES CESAR KEVIN</t>
  </si>
  <si>
    <t>RAB0000000114122</t>
  </si>
  <si>
    <t>KASSIA LOU JUSTE AMOUR</t>
  </si>
  <si>
    <t>RAB0000000113788</t>
  </si>
  <si>
    <t>KOFFI KOUAKOU JEAN FABRICE</t>
  </si>
  <si>
    <t>RAB0000000009689</t>
  </si>
  <si>
    <t>BAMBA YAMALOW SYLVIA EDITH EVE</t>
  </si>
  <si>
    <t>RAB0000000114076</t>
  </si>
  <si>
    <t>SANGARE MOUSSA (BKE)</t>
  </si>
  <si>
    <t>RAB0000000114260</t>
  </si>
  <si>
    <t>FON CLAHON OSCAR DESMOND</t>
  </si>
  <si>
    <t>RAB0000000114072</t>
  </si>
  <si>
    <t>DRIGBE GBAYORO NOEL (BKE)</t>
  </si>
  <si>
    <t>RAB0000000114258</t>
  </si>
  <si>
    <t>IBA KOUYAZIEU FABRICE</t>
  </si>
  <si>
    <t>RAB0000000114293</t>
  </si>
  <si>
    <t>PARE MOUMOUNI 2</t>
  </si>
  <si>
    <t>RAB0000000114304</t>
  </si>
  <si>
    <t>AMADOU BAH YAKRO</t>
  </si>
  <si>
    <t>RAB0000000114303</t>
  </si>
  <si>
    <t>DJE DJIKE ROBERT  VIVIEN YAKRO</t>
  </si>
  <si>
    <t>RAB0000000114253</t>
  </si>
  <si>
    <t>KOUNOU GBEDOMIDJI URBAIN</t>
  </si>
  <si>
    <t>RAB0000000114308</t>
  </si>
  <si>
    <t>YAO GUY HERMANN KOUAKOU YAKRO</t>
  </si>
  <si>
    <t>RAB0000000114265</t>
  </si>
  <si>
    <t>KOUDIO ANGE FABIOLA AKISSI</t>
  </si>
  <si>
    <t>RAB0000000114269</t>
  </si>
  <si>
    <t>BANDAOGO OUSMANE</t>
  </si>
  <si>
    <t>RAB0000000114040</t>
  </si>
  <si>
    <t>SAPASYF</t>
  </si>
  <si>
    <t>RAB0000000114263</t>
  </si>
  <si>
    <t>TRAORE MAMOUDOU 1 YAKRO</t>
  </si>
  <si>
    <t>RAB0000000114212</t>
  </si>
  <si>
    <t>TRAORE MAMOUDOU 2</t>
  </si>
  <si>
    <t>RAB0000000013552</t>
  </si>
  <si>
    <t>ZAGBO REGINA RUTH RENEE</t>
  </si>
  <si>
    <t>RAB0000000113797</t>
  </si>
  <si>
    <t>DIOMANDE MASSAMA EPSE TOURE</t>
  </si>
  <si>
    <t>RAB0000000114300</t>
  </si>
  <si>
    <t>MOHO KEHOUE SYLVANUS COMPTE N°6</t>
  </si>
  <si>
    <t>RAB0000000114307</t>
  </si>
  <si>
    <t>YOROGA ZON VALERIE</t>
  </si>
  <si>
    <t>RAB0000000113268</t>
  </si>
  <si>
    <t>BABA NEE GAUZE EDITH NICOLE</t>
  </si>
  <si>
    <t>RAB0000000114323</t>
  </si>
  <si>
    <t>ALLA KOUASSI ANICET</t>
  </si>
  <si>
    <t>RAB0000000113704</t>
  </si>
  <si>
    <t>N'GUESSAN ATHOSSA THIERRY (BKE)</t>
  </si>
  <si>
    <t>RAB0000000114417</t>
  </si>
  <si>
    <t>ASSIE KOUA MARCEL</t>
  </si>
  <si>
    <t>RAB0000000114375</t>
  </si>
  <si>
    <t>FOFANA LADJI 2</t>
  </si>
  <si>
    <t>RAB0000000114368</t>
  </si>
  <si>
    <t>TOGOLA ABOU YAKRO</t>
  </si>
  <si>
    <t>RAB0000000114302</t>
  </si>
  <si>
    <t>DONGO KOUAME JEAN PAUL</t>
  </si>
  <si>
    <t>RAB0000000114371</t>
  </si>
  <si>
    <t>NANEMA INOUSSA</t>
  </si>
  <si>
    <t>RAB0000000114346</t>
  </si>
  <si>
    <t>SECK ABDOULAYE TAPSIROU</t>
  </si>
  <si>
    <t>RAB0000000114305</t>
  </si>
  <si>
    <t>BANDE ABDOUL KARIM YAKRO</t>
  </si>
  <si>
    <t>RAB0000000114255</t>
  </si>
  <si>
    <t>KOFFI KOUASSI FREDDY MARCEL DESIRE</t>
  </si>
  <si>
    <t>RAB0000000114270</t>
  </si>
  <si>
    <t>BAKAYOKO MASSE YAKRO</t>
  </si>
  <si>
    <t>RAB0000000114369</t>
  </si>
  <si>
    <t>BAKAYOKO ALASANE ABDALLAH</t>
  </si>
  <si>
    <t>RAB0000000114344</t>
  </si>
  <si>
    <t>DOUMBIA LACINA YAKRO</t>
  </si>
  <si>
    <t>RAB0000000007281</t>
  </si>
  <si>
    <t>ASSIMADI KOKOU JULIE</t>
  </si>
  <si>
    <t>RAB0000000112119</t>
  </si>
  <si>
    <t>KONATE KAGNIENGO JULES</t>
  </si>
  <si>
    <t>RAB0000000114271</t>
  </si>
  <si>
    <t>RAB0000000112088</t>
  </si>
  <si>
    <t>TANDIA ABDRAHAMANE</t>
  </si>
  <si>
    <t>RAB0000000114268</t>
  </si>
  <si>
    <t>KEITA MAHAMADOU</t>
  </si>
  <si>
    <t>RAB0000000114250</t>
  </si>
  <si>
    <t>SENIN AKASSI CECILE</t>
  </si>
  <si>
    <t>RAB0000000114267</t>
  </si>
  <si>
    <t>KOUADIO KOFFI YVES PASCAL</t>
  </si>
  <si>
    <t>RAB0000000114348</t>
  </si>
  <si>
    <t>OUATTARA ZIE MAMADOU YAKRO</t>
  </si>
  <si>
    <t>RAB0000000114367</t>
  </si>
  <si>
    <t>TRAORE ABOU SAMBA DJOUSSORO YAKRO</t>
  </si>
  <si>
    <t>RAB0000000114343</t>
  </si>
  <si>
    <t>DIABATE KOULOUN YAKRO</t>
  </si>
  <si>
    <t>RAB0000000114349</t>
  </si>
  <si>
    <t>NOBOU JEAN CLAUDE YAKRO</t>
  </si>
  <si>
    <t>RAB0000000114342</t>
  </si>
  <si>
    <t>TCHIMOU AYI SAINT SYLVERE</t>
  </si>
  <si>
    <t>RAB0000000114377</t>
  </si>
  <si>
    <t>DICKO OUMAROU</t>
  </si>
  <si>
    <t>RAB0000000114370</t>
  </si>
  <si>
    <t>SIDIBE HAMED</t>
  </si>
  <si>
    <t>RAB0000000114350</t>
  </si>
  <si>
    <t>KONE AFFOU</t>
  </si>
  <si>
    <t>RAB0000000114414</t>
  </si>
  <si>
    <t>COULIBALY NOUHOUN BKE</t>
  </si>
  <si>
    <t>RAB0000000114259</t>
  </si>
  <si>
    <t>GNANOU SOULEYMANE</t>
  </si>
  <si>
    <t>RAB0000000114442</t>
  </si>
  <si>
    <t>DOUMBIA MAMADOU BKE</t>
  </si>
  <si>
    <t>RAB0000000114499</t>
  </si>
  <si>
    <t>KOUAKOU OKA JUNIOR 2  BKE</t>
  </si>
  <si>
    <t>RAB0000000114487</t>
  </si>
  <si>
    <t>KOUAKOU OKA JUNIOR BKE</t>
  </si>
  <si>
    <t>RAB0000000114468</t>
  </si>
  <si>
    <t>KOUAME LAUREL MESMER NIAMBESSOU BKE</t>
  </si>
  <si>
    <t>RAB0000000114424</t>
  </si>
  <si>
    <t>ADOUAKOUA KOUAME MOISE BKE</t>
  </si>
  <si>
    <t>RAB0000000114306</t>
  </si>
  <si>
    <t>KONE TENEDIA MARIAM</t>
  </si>
  <si>
    <t>RAB0000000114372</t>
  </si>
  <si>
    <t>KOUASSI KOFFI EDMOND YAKRO</t>
  </si>
  <si>
    <t>RAB0000000113005</t>
  </si>
  <si>
    <t>OULAI BELKISS NOELLE MANUELLA</t>
  </si>
  <si>
    <t>RAB0000000113245</t>
  </si>
  <si>
    <t>NGUESSAN LOPOA ANGE PATRICK</t>
  </si>
  <si>
    <t>RAB0000000114347</t>
  </si>
  <si>
    <t>OUFFOUE KONAN GUSTAVE YAKRO</t>
  </si>
  <si>
    <t>RAB0000000114264</t>
  </si>
  <si>
    <t>OLAYODE AYOOBA KAREEM</t>
  </si>
  <si>
    <t>RAB0000000114373</t>
  </si>
  <si>
    <t>KOUA EUGENE STEPHANE DORGELES YAKRO</t>
  </si>
  <si>
    <t>RAB0000000108925</t>
  </si>
  <si>
    <t>SOILE ISMAEL</t>
  </si>
  <si>
    <t>RAB0000000114314</t>
  </si>
  <si>
    <t>MACKA KADIE JEAN-BAPTISTE</t>
  </si>
  <si>
    <t>RAB0000000114246</t>
  </si>
  <si>
    <t>KANGA ATHA CHRISTIAN DELOND</t>
  </si>
  <si>
    <t>RAB0000000114194</t>
  </si>
  <si>
    <t>ADAYE EMMANUEL EDISON</t>
  </si>
  <si>
    <t>RAB0000000113780</t>
  </si>
  <si>
    <t>KOYA MAX ROLAND KAMEDO</t>
  </si>
  <si>
    <t>RAB0000000114313</t>
  </si>
  <si>
    <t>KOUAKOU BEHIBRO ANGE MARIUS</t>
  </si>
  <si>
    <t>RAB0000000114412</t>
  </si>
  <si>
    <t>DJEDJI YABI BEDJE DAVID-CHRISTIAN</t>
  </si>
  <si>
    <t>RAB0000000114416</t>
  </si>
  <si>
    <t>BA MOUHAMADOU</t>
  </si>
  <si>
    <t>RAB0000000113112</t>
  </si>
  <si>
    <t>KOUAME ADJOUA MARIE JEANNE</t>
  </si>
  <si>
    <t>RAB0000000009497</t>
  </si>
  <si>
    <t>N'GUESSAN STEPHEN KISSI</t>
  </si>
  <si>
    <t>RAB0000000110609</t>
  </si>
  <si>
    <t>KOUADIO KOFFI PAUL</t>
  </si>
  <si>
    <t>RAB0000000108695</t>
  </si>
  <si>
    <t>YAO ASSEMANKOA ISAAC</t>
  </si>
  <si>
    <t>RAB0000000114488</t>
  </si>
  <si>
    <t>KOUAME ZIAWLIKAN CYRILLE JUNIOR YAO</t>
  </si>
  <si>
    <t>RAB0000000114498</t>
  </si>
  <si>
    <t>KOUAME KOFFI MOREL BKE</t>
  </si>
  <si>
    <t>RAB0000000114486</t>
  </si>
  <si>
    <t>KOUACOU KOUASSI BKE</t>
  </si>
  <si>
    <t>RAB0000000114522</t>
  </si>
  <si>
    <t>SILUE NAVIGUE YAYA</t>
  </si>
  <si>
    <t>RAB0000000114519</t>
  </si>
  <si>
    <t>TRAORE MARIAM</t>
  </si>
  <si>
    <t>RAB0000000114525</t>
  </si>
  <si>
    <t>SACKO FATOUMATA</t>
  </si>
  <si>
    <t>RAB0000000114527</t>
  </si>
  <si>
    <t>MAIGA ALI</t>
  </si>
  <si>
    <t>RAB0000000114526</t>
  </si>
  <si>
    <t>OUATTARA MARIA</t>
  </si>
  <si>
    <t>RAB0000000114374</t>
  </si>
  <si>
    <t>KONATE KASSOUM YAKRO</t>
  </si>
  <si>
    <t>RAB0000000114432</t>
  </si>
  <si>
    <t>BINATE MARIAM PATRICIA 2</t>
  </si>
  <si>
    <t>RAB0000000114491</t>
  </si>
  <si>
    <t>COULIBALY DRISSA</t>
  </si>
  <si>
    <t>RAB0000000114445</t>
  </si>
  <si>
    <t>FOFANA ADAMA YAKRO</t>
  </si>
  <si>
    <t>RAB0000000114495</t>
  </si>
  <si>
    <t>ADJE OLLOU OLIVIER 2</t>
  </si>
  <si>
    <t>RAB0000000114434</t>
  </si>
  <si>
    <t>COULIBALY MARIAM</t>
  </si>
  <si>
    <t>RAB0000000114422</t>
  </si>
  <si>
    <t>ZAGADOU ANGE HERVE</t>
  </si>
  <si>
    <t>RAB0000000114354</t>
  </si>
  <si>
    <t>ZERBO DIEUDONNE</t>
  </si>
  <si>
    <t>RAB0000000114199</t>
  </si>
  <si>
    <t>NIANGORAN JEAN WILFRIED MARTIAL</t>
  </si>
  <si>
    <t>RAB0000000096337</t>
  </si>
  <si>
    <t>ODJE NADRAUD PRINCE ISMAEL</t>
  </si>
  <si>
    <t>RAB0000000112286</t>
  </si>
  <si>
    <t>KOUASSI ODIACHO RICHARD FLORENT</t>
  </si>
  <si>
    <t>RAB0000000114589</t>
  </si>
  <si>
    <t>FOUAD ALLABAN</t>
  </si>
  <si>
    <t>RAB0000000114599</t>
  </si>
  <si>
    <t>COULIBALY CHANTAL CARELLE CHARBELLE (BKE)</t>
  </si>
  <si>
    <t>RAB0000000114551</t>
  </si>
  <si>
    <t>PAGNY ERIC MARTIAL TANO STANISLAS (BOUAKE)</t>
  </si>
  <si>
    <t>RAB0000000114555</t>
  </si>
  <si>
    <t>SOW ADJA FATOU RACINE BKE</t>
  </si>
  <si>
    <t>RAB0000000114553</t>
  </si>
  <si>
    <t>YAO YAO KAN TIMOTHE (BKE)</t>
  </si>
  <si>
    <t>RAB0000000114569</t>
  </si>
  <si>
    <t>DIARRA MOUSSA BKE</t>
  </si>
  <si>
    <t>RAB0000000114548</t>
  </si>
  <si>
    <t>DIARRA ISMAEL DANIEL NAMBE (BKE)</t>
  </si>
  <si>
    <t>RAB0000000114547</t>
  </si>
  <si>
    <t>COULIBALY SOULEYMANE (BKE)</t>
  </si>
  <si>
    <t>RAB0000000114600</t>
  </si>
  <si>
    <t>KANGA KONAN KAN MODESTE (BKE)</t>
  </si>
  <si>
    <t>RAB0000000114622</t>
  </si>
  <si>
    <t>KARIM ZOU (BKE)</t>
  </si>
  <si>
    <t>RAB0000000114458</t>
  </si>
  <si>
    <t>SIDIBE YACOUBA YAKRO</t>
  </si>
  <si>
    <t>RAB0000000114496</t>
  </si>
  <si>
    <t>AHOUSSI KOUATOUA THIBAUT BRICE</t>
  </si>
  <si>
    <t>RAB0000000114543</t>
  </si>
  <si>
    <t>KOUADE GUY CYRILLE YAKRO</t>
  </si>
  <si>
    <t>RAB0000000114501</t>
  </si>
  <si>
    <t>MEITE FAROUK AHMED IBET</t>
  </si>
  <si>
    <t>RAB0000000114470</t>
  </si>
  <si>
    <t>THIANDOUM LOUIS THOMAS</t>
  </si>
  <si>
    <t>RAB0000000114485</t>
  </si>
  <si>
    <t>KOUADIO KOUAKOU FERNAND</t>
  </si>
  <si>
    <t>RAB0000000114376</t>
  </si>
  <si>
    <t>DIOP MOUSTAPHA</t>
  </si>
  <si>
    <t>RAB0000000113946</t>
  </si>
  <si>
    <t>GBANE MOUSSA</t>
  </si>
  <si>
    <t>RAB0000000006184</t>
  </si>
  <si>
    <t>KESSE TOUALI OLIVIER</t>
  </si>
  <si>
    <t>RAB0000000113858</t>
  </si>
  <si>
    <t>DJIRO DEHO NEANSO PRISCA</t>
  </si>
  <si>
    <t>RAB0000000114557</t>
  </si>
  <si>
    <t>TANOH ASSITA MADELEINE</t>
  </si>
  <si>
    <t>RAB0000000108495</t>
  </si>
  <si>
    <t>KONUDZE AFI EMELINE VICTOIRE</t>
  </si>
  <si>
    <t>RAB0000000110740</t>
  </si>
  <si>
    <t>NDEPO ANGUI MARC STEPHANE</t>
  </si>
  <si>
    <t>RAB0000000114597</t>
  </si>
  <si>
    <t>AYEHOUA SERGE (BKE)</t>
  </si>
  <si>
    <t>RAB0000000114624</t>
  </si>
  <si>
    <t>KOUASSI ZEHIA SERGE MARTIAL (BKE)</t>
  </si>
  <si>
    <t>RAB0000000114621</t>
  </si>
  <si>
    <t>KACOU SERGE ROMARICK (BKE)</t>
  </si>
  <si>
    <t>RAB0000000114552</t>
  </si>
  <si>
    <t>TOUNKARA MOHAMED LAMINE (BKE)</t>
  </si>
  <si>
    <t>RAB0000000114618</t>
  </si>
  <si>
    <t>BAKAYOKO OUMAR (BKE)</t>
  </si>
  <si>
    <t>RAB0000000114550</t>
  </si>
  <si>
    <t>GUEMBRE MAMOUDOU (BKE)</t>
  </si>
  <si>
    <t>RAB0000000114540</t>
  </si>
  <si>
    <t>KOFFI KONAN MAMADOU</t>
  </si>
  <si>
    <t>RAB0000000114512</t>
  </si>
  <si>
    <t>KOUASSI AKISSI MARINA</t>
  </si>
  <si>
    <t>RAB0000000114541</t>
  </si>
  <si>
    <t>KONE SAFIATOU YAKRO</t>
  </si>
  <si>
    <t>RAB0000000113989</t>
  </si>
  <si>
    <t>ATAFI KADJO JEAN YAKRO</t>
  </si>
  <si>
    <t>RAB0000000114484</t>
  </si>
  <si>
    <t>BEINDJE ABO JOCELINE YAKRO</t>
  </si>
  <si>
    <t>RAB0000000114428</t>
  </si>
  <si>
    <t>BA ADAMA SAIDOU YAKRO</t>
  </si>
  <si>
    <t>RAB0000000114202</t>
  </si>
  <si>
    <t>KOUAME ADJO VIRGINIE</t>
  </si>
  <si>
    <t>RAB0000000114456</t>
  </si>
  <si>
    <t>NDIAYE MAMADOU OUSMANE</t>
  </si>
  <si>
    <t>RAB0000000114345</t>
  </si>
  <si>
    <t>GONO DENON ARTHUR RICHMOND</t>
  </si>
  <si>
    <t>RAB0000000112928</t>
  </si>
  <si>
    <t>DEHO ARMEL WASSIE</t>
  </si>
  <si>
    <t>RAB0000000114524</t>
  </si>
  <si>
    <t>SAHIE EMELINE</t>
  </si>
  <si>
    <t>RAB0000000114630</t>
  </si>
  <si>
    <t>ASSO GRESAR  JAMILA ISABLLE</t>
  </si>
  <si>
    <t>RAB0000000111399</t>
  </si>
  <si>
    <t>NIANGORAN JEAN DAVID</t>
  </si>
  <si>
    <t>RAB0000000108384</t>
  </si>
  <si>
    <t>BLESSON GUY SERGE CHRISTIAN</t>
  </si>
  <si>
    <t>RAB0000000114585</t>
  </si>
  <si>
    <t>DION GONDO WILFRIED</t>
  </si>
  <si>
    <t>RAB0000000114598</t>
  </si>
  <si>
    <t>COULIBALY ABOUBACAR SIDIKI (BKE)</t>
  </si>
  <si>
    <t>RAB0000000114549</t>
  </si>
  <si>
    <t>DJAN HOUPHOUET ARNAUD (BKE)</t>
  </si>
  <si>
    <t>RAB0000000114625</t>
  </si>
  <si>
    <t>KOUROUMA SARAN (BKE)</t>
  </si>
  <si>
    <t>RAB0000000114336</t>
  </si>
  <si>
    <t>GNAKPOA ADELPHE (BKE)</t>
  </si>
  <si>
    <t>RAB0000000114465</t>
  </si>
  <si>
    <t>KONDA SAYOUBA YAKRO</t>
  </si>
  <si>
    <t>RAB0000000114450</t>
  </si>
  <si>
    <t>KOFFI KONAN RAYMOND</t>
  </si>
  <si>
    <t>RAB0000000114310</t>
  </si>
  <si>
    <t>BEYE MOUSSA</t>
  </si>
  <si>
    <t>RAB0000000114637</t>
  </si>
  <si>
    <t>BESSE FATIMA ALIDA YAKRO BFA</t>
  </si>
  <si>
    <t>RAB0000000114639</t>
  </si>
  <si>
    <t>DIOMANDE ABOUBAKAR SIDIKI YAKRO</t>
  </si>
  <si>
    <t>RAB0000000114539</t>
  </si>
  <si>
    <t>GUEGO DEZA ADIDO AMOS</t>
  </si>
  <si>
    <t>RAB0000000114492</t>
  </si>
  <si>
    <t>SYLLA ABOUBACAR YAKRO SA</t>
  </si>
  <si>
    <t>RAB0000000114542</t>
  </si>
  <si>
    <t>SYLLA HAMIDOU YAKRO</t>
  </si>
  <si>
    <t>RAB0000000114425</t>
  </si>
  <si>
    <t>ALLA NGORAN DJE ALEXANDRE YAKRO</t>
  </si>
  <si>
    <t>RAB0000000114644</t>
  </si>
  <si>
    <t>YAYE OUMAR</t>
  </si>
  <si>
    <t>RAB0000000109276</t>
  </si>
  <si>
    <t>LELOU CHRIS JEAN KEVIN AKRE</t>
  </si>
  <si>
    <t>RAB0000000114602</t>
  </si>
  <si>
    <t>SIKA ATSAIN</t>
  </si>
  <si>
    <t>RAB0000000113930</t>
  </si>
  <si>
    <t>ADJRABEY AUGUSTIN CLOVIS MATHURIN ELIE</t>
  </si>
  <si>
    <t>RAB0000000114617</t>
  </si>
  <si>
    <t>AFFIAN DE MAIXENT ARISTIDE ATTA</t>
  </si>
  <si>
    <t>RAB0000000114596</t>
  </si>
  <si>
    <t>KOUASSI KOUAKOU WILFRIED ANSELME</t>
  </si>
  <si>
    <t>RAB0000000111661</t>
  </si>
  <si>
    <t>ASSANVO AMOKON DYHIE</t>
  </si>
  <si>
    <t>RAB0000000111645</t>
  </si>
  <si>
    <t>ZOH SAIBO SERGE PACOME (ZOH SAIBA)</t>
  </si>
  <si>
    <t>RAB0000000114523</t>
  </si>
  <si>
    <t>SERY HUGUES NOEL</t>
  </si>
  <si>
    <t>RAB0000000114619</t>
  </si>
  <si>
    <t>DIABATE ABDOUL RAHMANE (BKE)</t>
  </si>
  <si>
    <t>RAB0000000114337</t>
  </si>
  <si>
    <t>KONAN AKISSI VICTOIRE (BKE)</t>
  </si>
  <si>
    <t>RAB0000000114266</t>
  </si>
  <si>
    <t>ASSOUMOU ETTIEN EBY ALAIN</t>
  </si>
  <si>
    <t>RAB0000000114647</t>
  </si>
  <si>
    <t>SILUE ADAMA</t>
  </si>
  <si>
    <t>RAB0000000114651</t>
  </si>
  <si>
    <t>SANOGO ADAMA</t>
  </si>
  <si>
    <t>RAB0000000114635</t>
  </si>
  <si>
    <t>BAMBA YVES</t>
  </si>
  <si>
    <t>RAB0000000114650</t>
  </si>
  <si>
    <t>SANOGO SOULEYMANE YAKRO</t>
  </si>
  <si>
    <t>RAB0000000114636</t>
  </si>
  <si>
    <t>ZIEHI LAUTIHY HANS EVRAD</t>
  </si>
  <si>
    <t>RAB0000000114653</t>
  </si>
  <si>
    <t>OUATTARA KIFINGUE ABDOULAYE</t>
  </si>
  <si>
    <t>RAB0000000114697</t>
  </si>
  <si>
    <t>ZADI CORNEILLE</t>
  </si>
  <si>
    <t>RAB0000000114577</t>
  </si>
  <si>
    <t>ALLIALI N'GUESSAN NOGUES</t>
  </si>
  <si>
    <t>RAB0000000113953</t>
  </si>
  <si>
    <t>TANO AKPAOU JEAN JACQUES</t>
  </si>
  <si>
    <t>RAB0000000113677</t>
  </si>
  <si>
    <t>BARO OUMAR</t>
  </si>
  <si>
    <t>RAB0000000114421</t>
  </si>
  <si>
    <t>KOUADIO YAO EVRARD AKA</t>
  </si>
  <si>
    <t>RAB0000000010651</t>
  </si>
  <si>
    <t>APPEA EKRA GUY FLORENT(Transfert de ligne)</t>
  </si>
  <si>
    <t>RAB0000000011014</t>
  </si>
  <si>
    <t>ADOU KOUASSI ALEX MARCEL (Transfert de ligne)</t>
  </si>
  <si>
    <t>RAB0000000111631</t>
  </si>
  <si>
    <t>OSNOU YOBOUET OSNOU ERIC-YVES C</t>
  </si>
  <si>
    <t>RAB0000000113204</t>
  </si>
  <si>
    <t>KISSI KOABENAN ANANI WILFRIED JOCELYN</t>
  </si>
  <si>
    <t>RAB0000000114648</t>
  </si>
  <si>
    <t>KOUAKOU NDRI SOSTHENE YAKRO</t>
  </si>
  <si>
    <t>RAB0000000114757</t>
  </si>
  <si>
    <t>KANOUTE  IBRAHIM  YAKRO</t>
  </si>
  <si>
    <t>RAB0000000114638</t>
  </si>
  <si>
    <t>DIARRA OUMOU YAKRO</t>
  </si>
  <si>
    <t>RAB0000000114292</t>
  </si>
  <si>
    <t>SANGARE DIE TCHINDJOU HAMED</t>
  </si>
  <si>
    <t>RAB0000000114645</t>
  </si>
  <si>
    <t>KOFFI KOFFI FRANCK YAKRO</t>
  </si>
  <si>
    <t>RAB0000000114745</t>
  </si>
  <si>
    <t>SOMFOUGDOU PIERRE CLAVER YAKRO</t>
  </si>
  <si>
    <t>RAB0000000114538</t>
  </si>
  <si>
    <t>TRAORE METIEKOURA</t>
  </si>
  <si>
    <t>RAB0000000114744</t>
  </si>
  <si>
    <t>SOUAHODE KOUAME EDJONA</t>
  </si>
  <si>
    <t>RAB0000000114643</t>
  </si>
  <si>
    <t>KOFFI  KOUADIO EDMOND YAKRO</t>
  </si>
  <si>
    <t>RAB0000000114642</t>
  </si>
  <si>
    <t>KOUASSI JEANNETTE YAKRO</t>
  </si>
  <si>
    <t>RAB0000000114781</t>
  </si>
  <si>
    <t>GOGNIN KLA ANNICET (BKE)</t>
  </si>
  <si>
    <t>RAB0000000114750</t>
  </si>
  <si>
    <t>N'GUESAN KOUAKOU GUILLAUME (BKE)</t>
  </si>
  <si>
    <t>RAB0000000114338</t>
  </si>
  <si>
    <t>KONAN KOUAME ARISTIDE (BKE)</t>
  </si>
  <si>
    <t>RAB0000000007107</t>
  </si>
  <si>
    <t>KOUAME ERIC AUDILON (BOUAKE)</t>
  </si>
  <si>
    <t>COULIBALY GNON AICHA</t>
  </si>
  <si>
    <t>RAB0000000114623</t>
  </si>
  <si>
    <t>KONAN KOFFI CEDRIC (BKE)</t>
  </si>
  <si>
    <t>RAB0000000114777</t>
  </si>
  <si>
    <t>COULIBALY MARIAM CLAIRE (BKE)</t>
  </si>
  <si>
    <t>RAB0000000114518</t>
  </si>
  <si>
    <t>VEH PATRICE</t>
  </si>
  <si>
    <t>RAB0000000114615</t>
  </si>
  <si>
    <t>COULIBALY MOUSSA KANIGUI</t>
  </si>
  <si>
    <t>RAB0000000112669</t>
  </si>
  <si>
    <t>BEDA ANGE RODRIGUE</t>
  </si>
  <si>
    <t>RAB0000000111532</t>
  </si>
  <si>
    <t>YEBOUA KOUAKOU YVES AIME</t>
  </si>
  <si>
    <t>RAB0000000114068</t>
  </si>
  <si>
    <t>DELY SADIA SILVERE</t>
  </si>
  <si>
    <t>RAB0000000114559</t>
  </si>
  <si>
    <t>POCKPA INEKA GUY ERWIN</t>
  </si>
  <si>
    <t>RAB0000000114793</t>
  </si>
  <si>
    <t>NOMEL ETEKOU AMARI AGNIMEL EDDIE</t>
  </si>
  <si>
    <t>RAB0000000112491</t>
  </si>
  <si>
    <t>NASSIE GNAHORE ANDRE DANIELLE</t>
  </si>
  <si>
    <t>RAB0000000114482</t>
  </si>
  <si>
    <t>N'DJA BOKA M'BOYA RITA CARINE</t>
  </si>
  <si>
    <t>RAB0000000005720</t>
  </si>
  <si>
    <t>BOCCA TANYA ALEXIS</t>
  </si>
  <si>
    <t>RAB0000000114799</t>
  </si>
  <si>
    <t>MEA KOUASSI ALFRED STEVEN</t>
  </si>
  <si>
    <t>RAB0000000114764</t>
  </si>
  <si>
    <t>BENTO GOLEON HERVE SIBIRI (BKE)</t>
  </si>
  <si>
    <t>RAB0000000114339</t>
  </si>
  <si>
    <t>SHOBO BOICAR (BKE)</t>
  </si>
  <si>
    <t>RAB0000000114340</t>
  </si>
  <si>
    <t>SILUE AWA (BKE)</t>
  </si>
  <si>
    <t>RAB0000000114765</t>
  </si>
  <si>
    <t>DIAKITE YAYA (BKE)</t>
  </si>
  <si>
    <t>RAB0000000113155</t>
  </si>
  <si>
    <t>KOUAME KOUADIO (BKE)</t>
  </si>
  <si>
    <t>RAB0000000114786</t>
  </si>
  <si>
    <t>BATHILY DJONCOUNDA (BOUAKE)</t>
  </si>
  <si>
    <t>RAB0000000114742</t>
  </si>
  <si>
    <t>SYLLA DIAGUINE (BKE)</t>
  </si>
  <si>
    <t>RAB0000000114544</t>
  </si>
  <si>
    <t>KROU KOUABENAN KOUMAN LUDOVIC</t>
  </si>
  <si>
    <t>RAB0000000114634</t>
  </si>
  <si>
    <t>ABI AHISSAN JEAN AIME YAKRO</t>
  </si>
  <si>
    <t>RAB0000000114782</t>
  </si>
  <si>
    <t>COULIBALY LOSSENI</t>
  </si>
  <si>
    <t>RAB0000000114737</t>
  </si>
  <si>
    <t>TRAZIE BI GOHORE OLIVIER FLORENT YAKRO</t>
  </si>
  <si>
    <t>RAB0000000114740</t>
  </si>
  <si>
    <t>TAPE  AUDE DANIELLE</t>
  </si>
  <si>
    <t>RAB0000000114447</t>
  </si>
  <si>
    <t>GODE KPEHONON FERNANDE</t>
  </si>
  <si>
    <t>RAB0000000114649</t>
  </si>
  <si>
    <t>N'GUETTIA DUA KOUAME CYRIAC</t>
  </si>
  <si>
    <t>RAB0000000114743</t>
  </si>
  <si>
    <t>SYLLA ABIBA</t>
  </si>
  <si>
    <t>RAB0000000114858</t>
  </si>
  <si>
    <t>DEDI KOUDOU MATHURIN</t>
  </si>
  <si>
    <t>RAB0000000111395</t>
  </si>
  <si>
    <t>SOGODOGO IBRAHIM</t>
  </si>
  <si>
    <t>RAB0000000114829</t>
  </si>
  <si>
    <t>KOUADIO YAO FRAZIER</t>
  </si>
  <si>
    <t>RAB0000000114828</t>
  </si>
  <si>
    <t>KOUADIO BRICE ALAIN DIDIER</t>
  </si>
  <si>
    <t>RAB0000000114335</t>
  </si>
  <si>
    <t>BAKAYOKO AWA (BKE)</t>
  </si>
  <si>
    <t>RAB0000000114682</t>
  </si>
  <si>
    <t>ZIONGLO DEBA FRANCK ABEL (BKE)</t>
  </si>
  <si>
    <t>RAB0000000114861</t>
  </si>
  <si>
    <t>KONE SOUMAILA</t>
  </si>
  <si>
    <t>RAB0000000114079</t>
  </si>
  <si>
    <t>SYLLA HAROUNA YAKRO</t>
  </si>
  <si>
    <t>RAB0000000114767</t>
  </si>
  <si>
    <t>BOHUI TIERO MICHEL YAKRO</t>
  </si>
  <si>
    <t>RAB0000000114652</t>
  </si>
  <si>
    <t>OUATTARA SIAMBOU OS YAKRO</t>
  </si>
  <si>
    <t>RAB0000000114500</t>
  </si>
  <si>
    <t>ADIMI KOLAWOLE JEAN MELAINE JUNIOR</t>
  </si>
  <si>
    <t>RAB0000000112306</t>
  </si>
  <si>
    <t>NIANGORAN EKPOBO RUTH EPSE TANOH</t>
  </si>
  <si>
    <t>RAB0000000111461</t>
  </si>
  <si>
    <t>DIARRASSOUBA NAGNINIMAITA TIDIANE SERGE</t>
  </si>
  <si>
    <t>RAB0000000114911</t>
  </si>
  <si>
    <t>DOSSAN ANSELME AUDERY</t>
  </si>
  <si>
    <t>RAB0000000114506</t>
  </si>
  <si>
    <t>ABOU KOULIBALI</t>
  </si>
  <si>
    <t>RAB0000000114575</t>
  </si>
  <si>
    <t>AFFOH KOUAME MICHEL KEVIN</t>
  </si>
  <si>
    <t>RAB0000000112475</t>
  </si>
  <si>
    <t>BLEMA JOSEPH ANGELO</t>
  </si>
  <si>
    <t>RAB0000000114916</t>
  </si>
  <si>
    <t>ASSIE KOYET EVRARD JOEL</t>
  </si>
  <si>
    <t>RAB0000000113963</t>
  </si>
  <si>
    <t>ACHI AIME ADOPO</t>
  </si>
  <si>
    <t>RAB0000000114780</t>
  </si>
  <si>
    <t>ASSI  AYAHE CLAUDE</t>
  </si>
  <si>
    <t>RAB0000000114899</t>
  </si>
  <si>
    <t>N'GOUAN EBY NOEL (BKE)</t>
  </si>
  <si>
    <t>RAB0000000114826</t>
  </si>
  <si>
    <t>KAHIRI LOTCHO KITCHOHINNI CAROLLE</t>
  </si>
  <si>
    <t>RAB0000000114681</t>
  </si>
  <si>
    <t>TOURE DJIBRIL (BKE)</t>
  </si>
  <si>
    <t>RAB0000000114795</t>
  </si>
  <si>
    <t>SANOH FATA (BOUAKE)</t>
  </si>
  <si>
    <t>RAB0000000114881</t>
  </si>
  <si>
    <t>ABATTI MADJIDI YAKRO</t>
  </si>
  <si>
    <t>RAB0000000114664</t>
  </si>
  <si>
    <t>N'DA KONAN DAMIEN</t>
  </si>
  <si>
    <t>RAB0000000114872</t>
  </si>
  <si>
    <t>N'GORAN N'GORAN CESAR</t>
  </si>
  <si>
    <t>RAB0000000114809</t>
  </si>
  <si>
    <t>KOUADIO KOUADIO FABRICE</t>
  </si>
  <si>
    <t>RAB0000000114672</t>
  </si>
  <si>
    <t>ZAHUI PIERRE CLAVER YAKRO</t>
  </si>
  <si>
    <t>RAB0000000114719</t>
  </si>
  <si>
    <t>NIANG BABACAR</t>
  </si>
  <si>
    <t>RAB0000000114508</t>
  </si>
  <si>
    <t>BIZIMANA AISHA</t>
  </si>
  <si>
    <t>RAB0000000114055</t>
  </si>
  <si>
    <t>TAY SEMENYO LAURENT EDOUARD</t>
  </si>
  <si>
    <t>RAB0000000004769</t>
  </si>
  <si>
    <t>AGUIEI COCOA GERVAIS</t>
  </si>
  <si>
    <t>RAB0000000110352</t>
  </si>
  <si>
    <t>BENIE ANDREA EMMANUELA</t>
  </si>
  <si>
    <t>RAB0000000114206</t>
  </si>
  <si>
    <t>SANOGO BINTOU MARCELLE</t>
  </si>
  <si>
    <t>RAB0000000114747</t>
  </si>
  <si>
    <t>OUATTARA KENIFOUGONI HABIB</t>
  </si>
  <si>
    <t>RAB0000000114792</t>
  </si>
  <si>
    <t>N DRI YAO AMBROISE</t>
  </si>
  <si>
    <t>RAB0000000113961</t>
  </si>
  <si>
    <t>KOFFI PATRICK DIDIER</t>
  </si>
  <si>
    <t>RAB0000000114940</t>
  </si>
  <si>
    <t>DOUMBIA YANNE MARIAM EVELYNE</t>
  </si>
  <si>
    <t>RAB0000000114958</t>
  </si>
  <si>
    <t>COULIBALY ADAMA GOPE (BOUAKE)</t>
  </si>
  <si>
    <t>RAB0000000114956</t>
  </si>
  <si>
    <t>BAH MOUSSA (BKE)</t>
  </si>
  <si>
    <t>RAB0000000114960</t>
  </si>
  <si>
    <t>HAIDARA AMINATA (BKE)</t>
  </si>
  <si>
    <t>RAB0000000114957</t>
  </si>
  <si>
    <t>CISSE MAIMOUNA EPSE AHOUA (BKE)</t>
  </si>
  <si>
    <t>RAB0000000013528</t>
  </si>
  <si>
    <t>COULIBALY BAKARY HAMZA YAKRO</t>
  </si>
  <si>
    <t>RAB0000000114900</t>
  </si>
  <si>
    <t>NGUESSAN AYEDJE NADIA STEPHANIE</t>
  </si>
  <si>
    <t>RAB0000000114871</t>
  </si>
  <si>
    <t>KONE SEYDOU YAKRO KS</t>
  </si>
  <si>
    <t>RAB0000000114666</t>
  </si>
  <si>
    <t>MEITE DOMEKE ALKARY BEN MOHAMED YAKRO</t>
  </si>
  <si>
    <t>RAB0000000114430</t>
  </si>
  <si>
    <t>BAMOUNI YOUSSOUF N'GUAHOUDIE</t>
  </si>
  <si>
    <t>RAB0000000114888</t>
  </si>
  <si>
    <t>DAWORO BANESSEM HARRIS YANNE YAKRO</t>
  </si>
  <si>
    <t>RAB0000000002541</t>
  </si>
  <si>
    <t>KARABOUE IBRAHIMA</t>
  </si>
  <si>
    <t>RAB0000000114438</t>
  </si>
  <si>
    <t>DJAMILA NUNY ROBALO CORREIA E SILVA</t>
  </si>
  <si>
    <t>RAB0000000114823</t>
  </si>
  <si>
    <t>EHOUMAN POLLEY</t>
  </si>
  <si>
    <t>RAB0000000114563</t>
  </si>
  <si>
    <t>KOUAKOU AHOU ALEXISE DESIREE</t>
  </si>
  <si>
    <t>RAB0000000114855</t>
  </si>
  <si>
    <t>KOUAKOU  DOLLOUNGLOUAN OSWALD  KEVIN</t>
  </si>
  <si>
    <t>RAB0000000114934</t>
  </si>
  <si>
    <t>BAHOUA OTOHON CARINE ELODIE</t>
  </si>
  <si>
    <t>RAB0000000110860</t>
  </si>
  <si>
    <t>GBEDJI FRANCK</t>
  </si>
  <si>
    <t>RAB0000000114943</t>
  </si>
  <si>
    <t>AFFIAN AKASSI LILIANNE ODILIA</t>
  </si>
  <si>
    <t>RAB0000000115008</t>
  </si>
  <si>
    <t>AMI TOURE EPSE DIALLO (BKE)</t>
  </si>
  <si>
    <t>RAB0000000115011</t>
  </si>
  <si>
    <t>COULIBALY MORY STEPHANE (BKE)</t>
  </si>
  <si>
    <t>RAB0000000115013</t>
  </si>
  <si>
    <t>DIALLO MOUCTAR (BKE)</t>
  </si>
  <si>
    <t>RAB0000000114668</t>
  </si>
  <si>
    <t>DIALLO CHEICK OUMAR YAKRO</t>
  </si>
  <si>
    <t>RAB0000000114870</t>
  </si>
  <si>
    <t>OUATTARA AGBA JEAN CLAUDE YAKRO</t>
  </si>
  <si>
    <t>RAB0000000114966</t>
  </si>
  <si>
    <t>COULIBALY MOUSSA YAKRO</t>
  </si>
  <si>
    <t>RAB0000000009013</t>
  </si>
  <si>
    <t>KOUDOU GNAWA ARNAUD</t>
  </si>
  <si>
    <t>RAB0000000114968</t>
  </si>
  <si>
    <t>DEMBA NIANE YAKRO</t>
  </si>
  <si>
    <t>RAB0000000114979</t>
  </si>
  <si>
    <t>FOFANA ABOU YAKRO</t>
  </si>
  <si>
    <t>RAB0000000114981</t>
  </si>
  <si>
    <t>KAMAGATE YOUSSOUF YAKRO</t>
  </si>
  <si>
    <t>RAB0000000114985</t>
  </si>
  <si>
    <t>SYLLA BEN BENGALY YAKRO</t>
  </si>
  <si>
    <t>RAB0000000114980</t>
  </si>
  <si>
    <t>GUE MAMADOU GM YAKRO</t>
  </si>
  <si>
    <t>RAB0000000114951</t>
  </si>
  <si>
    <t>ABY-SAY APLAT FRANCE DENISE ROXANE</t>
  </si>
  <si>
    <t>RAB0000000114129</t>
  </si>
  <si>
    <t>BARA FALL</t>
  </si>
  <si>
    <t>RAB0000000114802</t>
  </si>
  <si>
    <t>AMIEN BRUNO</t>
  </si>
  <si>
    <t>RAB0000000114528</t>
  </si>
  <si>
    <t>DIOP MARIE</t>
  </si>
  <si>
    <t>RAB0000000115032</t>
  </si>
  <si>
    <t>DOUKOUME NANGO CHRISTIAN</t>
  </si>
  <si>
    <t>RAB0000000114805</t>
  </si>
  <si>
    <t>BLEDOU DANIEL CHARLES ROLAND</t>
  </si>
  <si>
    <t>RAB0000000114866</t>
  </si>
  <si>
    <t>ATLANTIQUE ASSURANCE VIE</t>
  </si>
  <si>
    <t>RAB0000000114721</t>
  </si>
  <si>
    <t>DIOP MAMADOU YAKRO</t>
  </si>
  <si>
    <t>RAB0000000114810</t>
  </si>
  <si>
    <t>KOSSONOU KOFFI MATHIAS</t>
  </si>
  <si>
    <t>RAB0000000114971</t>
  </si>
  <si>
    <t>TOURE MASSANDJE</t>
  </si>
  <si>
    <t>RAB0000000114975</t>
  </si>
  <si>
    <t>DIKO MAHADI 3 YAKRO</t>
  </si>
  <si>
    <t>RAB0000000115014</t>
  </si>
  <si>
    <t>GNEPO MYRIAM CHRYSTELLE (BKE)</t>
  </si>
  <si>
    <t>RAB0000000115015</t>
  </si>
  <si>
    <t>KANE IBRAHIMA (BKE)</t>
  </si>
  <si>
    <t>RAB0000000115120</t>
  </si>
  <si>
    <t>MAMADOU DIARASSOUBA (BKE)</t>
  </si>
  <si>
    <t>RAB0000000115207</t>
  </si>
  <si>
    <t>CISSE INZA</t>
  </si>
  <si>
    <t>RAB0000000115203</t>
  </si>
  <si>
    <t>KOUASSI AKISSI CYNTHIA</t>
  </si>
  <si>
    <t>RAB0000000115128</t>
  </si>
  <si>
    <t>SANGARE BAKARY (BKE)</t>
  </si>
  <si>
    <t>RAB0000000109817</t>
  </si>
  <si>
    <t>ATTA AMANVON FERDINAND ABONNEMENT N2</t>
  </si>
  <si>
    <t>RAB0000000115090</t>
  </si>
  <si>
    <t>N'SAMIN BLAKOI PIERRE CLAVER</t>
  </si>
  <si>
    <t>RAB0000000115188</t>
  </si>
  <si>
    <t>ATSE N CHO JEAN NOEL</t>
  </si>
  <si>
    <t>RAB0000000115028</t>
  </si>
  <si>
    <t>GUEDOU VISSETOGBE BERANGER DECI-RODRIGUE</t>
  </si>
  <si>
    <t>RAB0000000115037</t>
  </si>
  <si>
    <t>ABLAGNO CLASNON MARIE CHANTALE</t>
  </si>
  <si>
    <t>RAB0000000114932</t>
  </si>
  <si>
    <t>BEUGRE AGNAWA JONAS</t>
  </si>
  <si>
    <t>RAB0000000115142</t>
  </si>
  <si>
    <t>TOURE AMIDOU</t>
  </si>
  <si>
    <t>RAB0000000114938</t>
  </si>
  <si>
    <t>YAO NOEL</t>
  </si>
  <si>
    <t>RAB0000000115114</t>
  </si>
  <si>
    <t>KOUASSI EPSE KOMENAN MATHILDE AKISSI</t>
  </si>
  <si>
    <t>RAB0000000115125</t>
  </si>
  <si>
    <t>N'GUESSAN ANGE ENOCK</t>
  </si>
  <si>
    <t>RAB0000000115115</t>
  </si>
  <si>
    <t>LAMINE SIDIBE (BKE)</t>
  </si>
  <si>
    <t>RAB0000000115132</t>
  </si>
  <si>
    <t>SYLLA SAKO DIT MAMADOU (BKE)</t>
  </si>
  <si>
    <t>RAB0000000115206</t>
  </si>
  <si>
    <t>KOUAKOU YAO CHRISTIAN-BERNARD</t>
  </si>
  <si>
    <t>RAB0000000115110</t>
  </si>
  <si>
    <t>KOUAKOU NANGOH ERIC (BKE)</t>
  </si>
  <si>
    <t>RAB0000000115127</t>
  </si>
  <si>
    <t>OUEDRAOGO DAOUDA (BOUAKE)</t>
  </si>
  <si>
    <t>RAB0000000115116</t>
  </si>
  <si>
    <t>LEVRY BEUGRE LAMBERT AURELIEN (BKE)</t>
  </si>
  <si>
    <t>RAB0000000114967</t>
  </si>
  <si>
    <t>DAH THO THOMAS</t>
  </si>
  <si>
    <t>RAB0000000115101</t>
  </si>
  <si>
    <t>SAWADOGO AROUNA</t>
  </si>
  <si>
    <t>RAB0000000114961</t>
  </si>
  <si>
    <t>ANITA ANNE REBECCA</t>
  </si>
  <si>
    <t>RAB0000000114976</t>
  </si>
  <si>
    <t>DJEDJE SOHKOLA MARC CHARLES WESLEY</t>
  </si>
  <si>
    <t>RAB0000000115069</t>
  </si>
  <si>
    <t>KOUAKOU KPANGNI YAKRO</t>
  </si>
  <si>
    <t>RAB0000000114441</t>
  </si>
  <si>
    <t>DOUMBIA BROULAYE</t>
  </si>
  <si>
    <t>RAB0000000114982</t>
  </si>
  <si>
    <t>KOFFI ANEKA YAKRO</t>
  </si>
  <si>
    <t>RAB0000000115096</t>
  </si>
  <si>
    <t>OUEDRAOGO ISSA</t>
  </si>
  <si>
    <t>RAB0000000115064</t>
  </si>
  <si>
    <t>KONE AHMED YAKRO</t>
  </si>
  <si>
    <t>RAB0000000115026</t>
  </si>
  <si>
    <t>KODJO KOFFI ERIC CONSTANT</t>
  </si>
  <si>
    <t>RAB0000000114714</t>
  </si>
  <si>
    <t>RADJI ISMAEL</t>
  </si>
  <si>
    <t>RAB0000000115119</t>
  </si>
  <si>
    <t>MALA SOUAMY LAURENT FABRICE</t>
  </si>
  <si>
    <t>RAB0000000114061</t>
  </si>
  <si>
    <t>DRAMERA HASSANA SEKOU</t>
  </si>
  <si>
    <t>RAB0000000113976</t>
  </si>
  <si>
    <t>KADJO TEKI EDWIGE</t>
  </si>
  <si>
    <t>RAB0000000114121</t>
  </si>
  <si>
    <t>KOKOU NAOMI DIAMAND LAUDE</t>
  </si>
  <si>
    <t>RAB0000000111305</t>
  </si>
  <si>
    <t>KOFFI OUPHOUET SERAPHIN</t>
  </si>
  <si>
    <t>RAB0000000114060</t>
  </si>
  <si>
    <t>COUROUMAH BOUNAH MOHAMED</t>
  </si>
  <si>
    <t>RAB0000000009081</t>
  </si>
  <si>
    <t>KOFFI N’GUESSAN JULIUS</t>
  </si>
  <si>
    <t>RAB0000000096252</t>
  </si>
  <si>
    <t>KOUAME EPSE N'DRAMAN AMOIN VALERIE</t>
  </si>
  <si>
    <t>RAB0000000112572</t>
  </si>
  <si>
    <t>DIABAGATE IBRAHIMA</t>
  </si>
  <si>
    <t>RAB0000000115308</t>
  </si>
  <si>
    <t>SORO KOLO (BKE)</t>
  </si>
  <si>
    <t>RAB0000000115204</t>
  </si>
  <si>
    <t>DIOMANDE TIAGBE PIERRE CEPHAS PARFAIT</t>
  </si>
  <si>
    <t>RAB0000000115350</t>
  </si>
  <si>
    <t>KOUADIO KOUASSI MICHAEL JETHEME</t>
  </si>
  <si>
    <t>RAB0000000115305</t>
  </si>
  <si>
    <t>INZA TRAORE (BKE)</t>
  </si>
  <si>
    <t>RAB0000000115208</t>
  </si>
  <si>
    <t>KONE PIE ABOUBACAR</t>
  </si>
  <si>
    <t>RAB0000000115300</t>
  </si>
  <si>
    <t>AHOUSSI AVIT KELLY CHRIST LORD (BKE)</t>
  </si>
  <si>
    <t>RAB0000000115302</t>
  </si>
  <si>
    <t>DOUA ARSENE FORTUNE (BKE)</t>
  </si>
  <si>
    <t>RAB0000000115307</t>
  </si>
  <si>
    <t>SORIF CHERIF MARIMA ALLOUI (BKE)</t>
  </si>
  <si>
    <t>RAB0000000115303</t>
  </si>
  <si>
    <t>FOFANA MOHAMED (BKE)</t>
  </si>
  <si>
    <t>RAB0000000012656</t>
  </si>
  <si>
    <t>KACOU ESSAN OLIVIER</t>
  </si>
  <si>
    <t>RAB0000000114177</t>
  </si>
  <si>
    <t>LOUKOU NGORAN FRANCK CLOTAIRE YAKRO</t>
  </si>
  <si>
    <t>RAB0000000114965</t>
  </si>
  <si>
    <t>BARRO BRAHIMA 2 YAKRO</t>
  </si>
  <si>
    <t>RAB0000000115068</t>
  </si>
  <si>
    <t>KOUAKOU KOFFI GISLAIN</t>
  </si>
  <si>
    <t>RAB0000000012836</t>
  </si>
  <si>
    <t>KOMI ATCHAKOU</t>
  </si>
  <si>
    <t>RAB0000000114873</t>
  </si>
  <si>
    <t>KONE SOULEYMANE YAKRO</t>
  </si>
  <si>
    <t>RAB0000000114811</t>
  </si>
  <si>
    <t>CISSE IRIE</t>
  </si>
  <si>
    <t>RAB0000000114977</t>
  </si>
  <si>
    <t>AHO SERGE PATRICK</t>
  </si>
  <si>
    <t>RAB0000000115085</t>
  </si>
  <si>
    <t>MIESSI WOULA CHARLOTTE ROSE EPOUSE YEO</t>
  </si>
  <si>
    <t>RAB0000000111688</t>
  </si>
  <si>
    <t>KOUAKOU BA EMMANUEL THIBAUT</t>
  </si>
  <si>
    <t>RAB0000000115318</t>
  </si>
  <si>
    <t>KEMAE OULOA ALEX STEPHANE</t>
  </si>
  <si>
    <t>RAB0000000115363</t>
  </si>
  <si>
    <t>BAMBA ABDOUL KADAIRE YAKOUBA</t>
  </si>
  <si>
    <t>RAB0000000115309</t>
  </si>
  <si>
    <t>OUATTARA MATHO</t>
  </si>
  <si>
    <t>RAB0000000115020</t>
  </si>
  <si>
    <t>SIRANSY KADJO CHARLES AUGUSTE</t>
  </si>
  <si>
    <t>RAB0000000114927</t>
  </si>
  <si>
    <t>COUMOIN ANGELIQUE EPSE SEMI</t>
  </si>
  <si>
    <t>RAB0000000115187</t>
  </si>
  <si>
    <t>KOUADIO KOKO N DA BRAYANNE</t>
  </si>
  <si>
    <t>RAB0000000115103</t>
  </si>
  <si>
    <t>ADO RODRIGUE</t>
  </si>
  <si>
    <t>RAB0000000115051</t>
  </si>
  <si>
    <t>KONAN KOUAKOU BERENGER (BKE)</t>
  </si>
  <si>
    <t>RAB0000000115362</t>
  </si>
  <si>
    <t>OUATTARA DONGUI CLEMENT (BKE)</t>
  </si>
  <si>
    <t>RAB0000000115374</t>
  </si>
  <si>
    <t>KOFFI AKMEL ANGE PATRICK NESITE (BKE)</t>
  </si>
  <si>
    <t>RAB0000000115361</t>
  </si>
  <si>
    <t>BOLOU LABAHI ARIANE MARIE EVLYNE (BKE)</t>
  </si>
  <si>
    <t>RAB0000000114520</t>
  </si>
  <si>
    <t>TOURE ZOUMANA</t>
  </si>
  <si>
    <t>RAB0000000115262</t>
  </si>
  <si>
    <t>DOUMBIA MINATA</t>
  </si>
  <si>
    <t>OUATTARA TAMIYO ANGELE (BKE)</t>
  </si>
  <si>
    <t>RAB0000000115375</t>
  </si>
  <si>
    <t>KONAN RECTOR N'GORAN (BKE)</t>
  </si>
  <si>
    <t>RAB0000000115075</t>
  </si>
  <si>
    <t>KOUASSI EGBAN JEAN MARIE YAKRO</t>
  </si>
  <si>
    <t>RAB0000000114862</t>
  </si>
  <si>
    <t>DOUA DIOMANDE YAKRO</t>
  </si>
  <si>
    <t>RAB0000000114964</t>
  </si>
  <si>
    <t>DIKO MAHADI YAKRO</t>
  </si>
  <si>
    <t>RAB0000000115317</t>
  </si>
  <si>
    <t>DAI BI SEYDOU MATHURIN</t>
  </si>
  <si>
    <t>RAB0000000115107</t>
  </si>
  <si>
    <t>SERY DALLY ANGE DIDIER VALERE YAKRO</t>
  </si>
  <si>
    <t>RAB0000000115063</t>
  </si>
  <si>
    <t>KONATE STEPHANE OUSMANE YAKRO</t>
  </si>
  <si>
    <t>RAB0000000115065</t>
  </si>
  <si>
    <t>KONE ALI YAKRO KA</t>
  </si>
  <si>
    <t>RAB0000000115097</t>
  </si>
  <si>
    <t>OUEDRAOGO SALIFOU</t>
  </si>
  <si>
    <t>RAB0000000114727</t>
  </si>
  <si>
    <t>AMONKOU ATSE JOEL LANDRY YAKRO</t>
  </si>
  <si>
    <t>RAB0000000115087</t>
  </si>
  <si>
    <t>MONSIA ANTOINE</t>
  </si>
  <si>
    <t>RAB0000000115415</t>
  </si>
  <si>
    <t>WAHI SEBASTIENNE ANGE CHRISTELLE</t>
  </si>
  <si>
    <t>RAB0000000114626</t>
  </si>
  <si>
    <t>SIDIBE AWA</t>
  </si>
  <si>
    <t>RAB0000000113830</t>
  </si>
  <si>
    <t>TANO KOUASSI CEDRIC-SERGE</t>
  </si>
  <si>
    <t>RAB0000000115378</t>
  </si>
  <si>
    <t>KOUAME EPOUSE DIAMANA EVELINE</t>
  </si>
  <si>
    <t>RAB0000000115133</t>
  </si>
  <si>
    <t>SORO NAHOUA ABOU</t>
  </si>
  <si>
    <t>RAB0000000115377</t>
  </si>
  <si>
    <t>DIBO GBANGBO NOEL</t>
  </si>
  <si>
    <t>RAB0000000114586</t>
  </si>
  <si>
    <t>DJE LOU DJENAN NOELLE</t>
  </si>
  <si>
    <t>RAB0000000115269</t>
  </si>
  <si>
    <t>KADJO ETHYLER PAUL-ERICE MICHEL</t>
  </si>
  <si>
    <t>RAB0000000115048</t>
  </si>
  <si>
    <t>ADEH SABINE JOSIANE AMANLAND</t>
  </si>
  <si>
    <t>RAB0000000115373</t>
  </si>
  <si>
    <t>YOBOU REGIS JEAN-JACQUES</t>
  </si>
  <si>
    <t>RAB0000000115388</t>
  </si>
  <si>
    <t>DIAKITE ADJARATOU EPSE DJARASSOUBA</t>
  </si>
  <si>
    <t>RAB0000000115301</t>
  </si>
  <si>
    <t>CISSE ZANA ISSA (BKE)</t>
  </si>
  <si>
    <t>RAB0000000115428</t>
  </si>
  <si>
    <t>KOUAKOU KOUASSI FRANCIS</t>
  </si>
  <si>
    <t>RAB0000000115052</t>
  </si>
  <si>
    <t>KONE ABOUBACAR SIDICK (BKE)</t>
  </si>
  <si>
    <t>RAB0000000115304</t>
  </si>
  <si>
    <t>FOFANA YACOU (BKE)</t>
  </si>
  <si>
    <t>RAB0000000115219</t>
  </si>
  <si>
    <t>KANTE ABDOUL KADIR</t>
  </si>
  <si>
    <t>RAB0000000115339</t>
  </si>
  <si>
    <t>KOUASSI KOUAME FRANCK YAKRO</t>
  </si>
  <si>
    <t>RAB0000000115220</t>
  </si>
  <si>
    <t>KONAN AMLAN ANGE MICHELE</t>
  </si>
  <si>
    <t>RAB0000000114494</t>
  </si>
  <si>
    <t>MARIKO MOUSSA YAKRO</t>
  </si>
  <si>
    <t>RAB0000000114214</t>
  </si>
  <si>
    <t>TOUMKARA ISSIMALI  YAKRO</t>
  </si>
  <si>
    <t>RAB0000000115338</t>
  </si>
  <si>
    <t>KOFFI KOUAKOU WILFRIED YAKRO</t>
  </si>
  <si>
    <t>RAB0000000115345</t>
  </si>
  <si>
    <t>KOUADIO KONAN AMANY AUGUSTIN</t>
  </si>
  <si>
    <t>RAB0000000115487</t>
  </si>
  <si>
    <t>PALE HERI ESTELLE YASSIMINE</t>
  </si>
  <si>
    <t>RAB0000000112610</t>
  </si>
  <si>
    <t>KOUAME KONAN CELESTIN</t>
  </si>
  <si>
    <t>RAB0000000114420</t>
  </si>
  <si>
    <t>ABANE LOUISE EMMANUELLE DE SUZANNE</t>
  </si>
  <si>
    <t>RAB0000000115268</t>
  </si>
  <si>
    <t>GUEYE FRANCK OLIVIER</t>
  </si>
  <si>
    <t>RAB0000000115234</t>
  </si>
  <si>
    <t>KONAN EPOUSE DEPE PAULE FRANCINE</t>
  </si>
  <si>
    <t>RAB0000000115178</t>
  </si>
  <si>
    <t>DIOLORI DARE SERGE ALEX</t>
  </si>
  <si>
    <t>RAB0000000115453</t>
  </si>
  <si>
    <t>TOURE YACOUBA (BOUAKE)</t>
  </si>
  <si>
    <t>RAB0000000115458</t>
  </si>
  <si>
    <t>HAIDARA AMINATA (BOUAKE)</t>
  </si>
  <si>
    <t>RAB0000000115459</t>
  </si>
  <si>
    <t>KONE YAHAYA (BKE)</t>
  </si>
  <si>
    <t>RAB0000000115461</t>
  </si>
  <si>
    <t>TOURE BEN KAMORI (BKE)</t>
  </si>
  <si>
    <t>RAB0000000115328</t>
  </si>
  <si>
    <t>GLORIA DAVIDELTHEL FARLEY</t>
  </si>
  <si>
    <t>RAB0000000115215</t>
  </si>
  <si>
    <t>OUATTARA OUOLEBO YACOUBA</t>
  </si>
  <si>
    <t>RAB0000000115528</t>
  </si>
  <si>
    <t>N'DOLI AKISSI PAULETTE (BKE)</t>
  </si>
  <si>
    <t>RAB0000000115548</t>
  </si>
  <si>
    <t>KOUADIO N'DRI (BKE)</t>
  </si>
  <si>
    <t>RAB0000000115655</t>
  </si>
  <si>
    <t>OUEDRAOGO AMADO (BOUAKE)</t>
  </si>
  <si>
    <t>RAB0000000115538</t>
  </si>
  <si>
    <t>LAKOUN ALAWELE PRINCE MARTIAL (BKE)</t>
  </si>
  <si>
    <t>RAB0000000115547</t>
  </si>
  <si>
    <t>KOUAME NIAMIEN RAOUL (BKE)</t>
  </si>
  <si>
    <t>RAB0000000115562</t>
  </si>
  <si>
    <t>BOGUI FELICIA CARINE 1</t>
  </si>
  <si>
    <t>RAB0000000115572</t>
  </si>
  <si>
    <t>BAMBA BAZOUMANA YAKRO</t>
  </si>
  <si>
    <t>ORIBAT 2</t>
  </si>
  <si>
    <t>Maroc D1</t>
  </si>
  <si>
    <t xml:space="preserve"> kennedy</t>
  </si>
  <si>
    <t>Broukro1</t>
  </si>
  <si>
    <t>LAURIER 7</t>
  </si>
  <si>
    <t xml:space="preserve">Broukro 1 </t>
  </si>
  <si>
    <t>Campus2</t>
  </si>
  <si>
    <t>YAS</t>
  </si>
  <si>
    <t>Air France 1</t>
  </si>
  <si>
    <t>DJOROGOBITE 2</t>
  </si>
  <si>
    <t xml:space="preserve"> kennedy Extension</t>
  </si>
  <si>
    <t xml:space="preserve"> kennedy </t>
  </si>
  <si>
    <t>N'dakro</t>
  </si>
  <si>
    <t>Air France 2</t>
  </si>
  <si>
    <t>SPL04</t>
  </si>
  <si>
    <t>ORIBAT 1</t>
  </si>
  <si>
    <t>7ème tranche</t>
  </si>
  <si>
    <t>BROUKRO1</t>
  </si>
  <si>
    <t>DJOROROBITE</t>
  </si>
  <si>
    <t>LAURIER  7</t>
  </si>
  <si>
    <t>Air France1</t>
  </si>
  <si>
    <t>N'DAKRO</t>
  </si>
  <si>
    <t>SAPEUR-POMPIER</t>
  </si>
  <si>
    <t>ANGRE CHATEAUX</t>
  </si>
  <si>
    <t>RIV 2</t>
  </si>
  <si>
    <t>Daresalam</t>
  </si>
  <si>
    <t>LAURIER</t>
  </si>
  <si>
    <t>PARIS VILLAGE 2</t>
  </si>
  <si>
    <t>BROUKRO3</t>
  </si>
  <si>
    <t>KENNEDY EXENSION</t>
  </si>
  <si>
    <t>FAYA 1</t>
  </si>
  <si>
    <t>DJOROBITE 2</t>
  </si>
  <si>
    <t>7 ème TRANCHE</t>
  </si>
  <si>
    <t>PARIS VILLAGE 4</t>
  </si>
  <si>
    <t>CATHEDRALE</t>
  </si>
  <si>
    <t>DJIBI 2</t>
  </si>
  <si>
    <t>AIR FRANCE</t>
  </si>
  <si>
    <t xml:space="preserve"> BROUKRO2</t>
  </si>
  <si>
    <t>CAMPUS</t>
  </si>
  <si>
    <t>KENNEDY EXTENSION2</t>
  </si>
  <si>
    <t>DJIBI 1</t>
  </si>
  <si>
    <t>LAURIER 2</t>
  </si>
  <si>
    <t>LAURIER 1</t>
  </si>
  <si>
    <t>YDG 01 / YKN 01</t>
  </si>
  <si>
    <t>AUTRES</t>
  </si>
  <si>
    <t>TOTAL GENERAL</t>
  </si>
  <si>
    <t>TOTAL ABIDJAN</t>
  </si>
  <si>
    <t>Étiquettes de lignes</t>
  </si>
  <si>
    <t>Total général</t>
  </si>
  <si>
    <t>(Tous)</t>
  </si>
  <si>
    <t>Nombre de CLIENT ID</t>
  </si>
  <si>
    <t>S/TOTAL</t>
  </si>
  <si>
    <t>YDG 02 /YKN 02</t>
  </si>
  <si>
    <t>YHA/YAS</t>
  </si>
  <si>
    <t>ARECAS 02</t>
  </si>
  <si>
    <t>ATTOBAN 02</t>
  </si>
  <si>
    <t xml:space="preserve">SRO </t>
  </si>
  <si>
    <t>Couverture</t>
  </si>
  <si>
    <t>En cours de deploiement</t>
  </si>
  <si>
    <t>RAB0000000005870</t>
  </si>
  <si>
    <t>KOUASSI N'DIAKA YANN CEDRIC</t>
  </si>
  <si>
    <t>RAB0000000005712</t>
  </si>
  <si>
    <t>KOUADIO KOUA JEAN YVES (BKE)</t>
  </si>
  <si>
    <t>RAB0000000007327</t>
  </si>
  <si>
    <t>COULIBALY PIAGNAN ZANA</t>
  </si>
  <si>
    <t>RAB0000000006556</t>
  </si>
  <si>
    <t>DOUMBIA ABOUBAKAR LASSINE (BOUAKE)</t>
  </si>
  <si>
    <t>FT0013512</t>
  </si>
  <si>
    <t>TRA BI YOUAN LUCIEN SMITH (BKE)</t>
  </si>
  <si>
    <t>RAB0000000007023</t>
  </si>
  <si>
    <t>KOUADIO KOUADIO FRANCK GERARD (BOUAKE)</t>
  </si>
  <si>
    <t>RAB0000000006639</t>
  </si>
  <si>
    <t>GUINDO SAMBA (BOUAKE)</t>
  </si>
  <si>
    <t>RAB0000000011608</t>
  </si>
  <si>
    <t>DOSSO IBRAHIMA (BOUAKE)</t>
  </si>
  <si>
    <t>RAB0000000009950</t>
  </si>
  <si>
    <t>N'GORAN KOUADIO JOE-EZEKIEL BROUKRO 2éme ARRET</t>
  </si>
  <si>
    <t>RAB0000000012395</t>
  </si>
  <si>
    <t>KOUMA KANDJOURA (BKE)</t>
  </si>
  <si>
    <t>RAB0000000012861</t>
  </si>
  <si>
    <t>FDFP</t>
  </si>
  <si>
    <t>RAB0000000013180</t>
  </si>
  <si>
    <t>BEIBRO ELEONORE MARIE SOLANGE (BKE)</t>
  </si>
  <si>
    <t>RAB0000000013516</t>
  </si>
  <si>
    <t>TIGUIRA BRAHIMA (BKE)</t>
  </si>
  <si>
    <t>RAB0000000108517</t>
  </si>
  <si>
    <t>TRAORE M'BE LAMINE (BKE)</t>
  </si>
  <si>
    <t>RAB0000000108539</t>
  </si>
  <si>
    <t>DRAMERA ABOUBACAR (BKE)</t>
  </si>
  <si>
    <t>RAB0000000109460</t>
  </si>
  <si>
    <t xml:space="preserve">FOFANA LACINA </t>
  </si>
  <si>
    <t>RAB0000000108604</t>
  </si>
  <si>
    <t>KOUAKOU BAH ABEL (BKE)</t>
  </si>
  <si>
    <t>RAB0000000109675</t>
  </si>
  <si>
    <t>TRAORE DRISSA (BKE)</t>
  </si>
  <si>
    <t>RAB0000000109708</t>
  </si>
  <si>
    <t xml:space="preserve">N'GUESSAN KOUADIO N'GBIN SERGE </t>
  </si>
  <si>
    <t>RAB0000000110335</t>
  </si>
  <si>
    <t>TRAORE LOSSENI (BOUAKE)</t>
  </si>
  <si>
    <t>RAB0000000110304</t>
  </si>
  <si>
    <t>YACOUBA DIARRASSOUBA (BKE)</t>
  </si>
  <si>
    <t>RAB0000000110384</t>
  </si>
  <si>
    <t>SANGARE ABDOULAYE (BKE)</t>
  </si>
  <si>
    <t>RAB0000000110757</t>
  </si>
  <si>
    <t>SEIF ZEIDANE (BKE)</t>
  </si>
  <si>
    <t>RAB0000000111666</t>
  </si>
  <si>
    <t>DOSSO ADAMA (BKE)</t>
  </si>
  <si>
    <t>RAB0000000111780</t>
  </si>
  <si>
    <t>DOUAYERE RUTH CHARLENE (BKE)</t>
  </si>
  <si>
    <t>RAB0000000112395</t>
  </si>
  <si>
    <t>CISSE AHAMADOU</t>
  </si>
  <si>
    <t>RAB0000000112396</t>
  </si>
  <si>
    <t>RAB0000000008476</t>
  </si>
  <si>
    <t>MELEDJE DJADJA CHRISTIAN MARC ELIE (BOUAKE)</t>
  </si>
  <si>
    <t>RAB0000000011627</t>
  </si>
  <si>
    <t>NGORAN KONAN GERARD</t>
  </si>
  <si>
    <t>RAB0000000002912</t>
  </si>
  <si>
    <t>YAO KONAN PARFAIT</t>
  </si>
  <si>
    <t>RAB0000000004074</t>
  </si>
  <si>
    <t>KOFFI MARCEL STEPHANE</t>
  </si>
  <si>
    <t>SANGARE MAMADOU (BKE)</t>
  </si>
  <si>
    <t>RAB0000000005930</t>
  </si>
  <si>
    <t>GOTTA OREOU MARIE JOSEE</t>
  </si>
  <si>
    <t>RAB0000000114817</t>
  </si>
  <si>
    <t>ADJOUMANI YAOUA BRIGITTE</t>
  </si>
  <si>
    <t>RAB0000000006732</t>
  </si>
  <si>
    <t>GNOMBLEI CYRILLE (BOUAKE)</t>
  </si>
  <si>
    <t>RAB0000000115012</t>
  </si>
  <si>
    <t>DEGOGA ABDOULAYE (BKE)</t>
  </si>
  <si>
    <t>RAB0000000113495</t>
  </si>
  <si>
    <t>DJOMAN ALAIN</t>
  </si>
  <si>
    <t>RAB0000000005860</t>
  </si>
  <si>
    <t>TRAORE KASSOUM (BOUAKE)</t>
  </si>
  <si>
    <t>RAB0000000112436</t>
  </si>
  <si>
    <t>N'GUESSAN YAO CLAUDE</t>
  </si>
  <si>
    <t>RAB0000000115376</t>
  </si>
  <si>
    <t>RAB0000000116033</t>
  </si>
  <si>
    <t xml:space="preserve">CAMARA VADAMA </t>
  </si>
  <si>
    <t>RAB0000000115427</t>
  </si>
  <si>
    <t>DEMBELE CHAKA (BKE)</t>
  </si>
  <si>
    <t>RAB0000000116191</t>
  </si>
  <si>
    <t>CISSE ABDOUL KADER (BKE)</t>
  </si>
  <si>
    <t>RAB0000000116327</t>
  </si>
  <si>
    <t>SADIKOU ASSIMIOU (BKE)</t>
  </si>
  <si>
    <t>RAB0000000115460</t>
  </si>
  <si>
    <t>RAB0000000116186</t>
  </si>
  <si>
    <t>FOFANA MAMADOU (BKE)</t>
  </si>
  <si>
    <t>RAB0000000116312</t>
  </si>
  <si>
    <t>KONAN HERMANN KOUAME (Bke)</t>
  </si>
  <si>
    <t>RAB0000000117345</t>
  </si>
  <si>
    <t>SANGARE FOUSSENI</t>
  </si>
  <si>
    <t>RAB0000000116355</t>
  </si>
  <si>
    <t>DAKOI KOUDRE SERGE ARMEL (BKE)</t>
  </si>
  <si>
    <t>RAB0000000116697</t>
  </si>
  <si>
    <t>SANGARE ABDOUL KARIM (BKE)</t>
  </si>
  <si>
    <t>RAB0000000117040</t>
  </si>
  <si>
    <t>COULIBALY ALI (BKE)</t>
  </si>
  <si>
    <t>Broukro</t>
  </si>
  <si>
    <t>Refus installation</t>
  </si>
  <si>
    <t>TOTAL YAKRO</t>
  </si>
  <si>
    <t>TOTAL BOUAKE</t>
  </si>
  <si>
    <t>S/TOTAL ABIDJAN</t>
  </si>
  <si>
    <t>S/TOTAL  BOUAKE</t>
  </si>
  <si>
    <t>S/TOTAL YAKRO</t>
  </si>
  <si>
    <t>A définir</t>
  </si>
  <si>
    <t>ARCADE 011</t>
  </si>
  <si>
    <t>ARCADE 012</t>
  </si>
  <si>
    <t>ARCADE 013</t>
  </si>
  <si>
    <t>ARCADE 014</t>
  </si>
  <si>
    <t>ARCADE 015</t>
  </si>
  <si>
    <t>ARCADE 04</t>
  </si>
  <si>
    <t>ARCADE 07</t>
  </si>
  <si>
    <t>ARECAS 03</t>
  </si>
  <si>
    <t>DJIBI 02</t>
  </si>
  <si>
    <t>LAURIER 03</t>
  </si>
  <si>
    <t>PARIS VILLAGE 02</t>
  </si>
  <si>
    <t>PARIS VILLAGE 04</t>
  </si>
  <si>
    <t>PARIS VILLAGE 05</t>
  </si>
  <si>
    <t>RAB0000000110211</t>
  </si>
  <si>
    <t>ABE ABOLE APIE SYNTHIA MARIETTE</t>
  </si>
  <si>
    <t>RAB0000000096254</t>
  </si>
  <si>
    <t>ABOUBAKAR MUBARAK A TANDA</t>
  </si>
  <si>
    <t>RAB0000000114576</t>
  </si>
  <si>
    <t>ACKAH SERGE YANNICK</t>
  </si>
  <si>
    <t>RAB0000000115660</t>
  </si>
  <si>
    <t>ADAMOU SAYFWAUD PEGGY-ELVIRE</t>
  </si>
  <si>
    <t>RAB0000000003422</t>
  </si>
  <si>
    <t>ADAYE KOUASSI YVES JOEL</t>
  </si>
  <si>
    <t>RAB0000000008740</t>
  </si>
  <si>
    <t>ADIKO VANGAH YVES-JOEL</t>
  </si>
  <si>
    <t>RAB0000000112863</t>
  </si>
  <si>
    <t>ADJE YEDIANE LARISSA</t>
  </si>
  <si>
    <t>RAB0000000004319</t>
  </si>
  <si>
    <t>ADOUCONOU WILLIAM FABRICE</t>
  </si>
  <si>
    <t>RAB0000000007579</t>
  </si>
  <si>
    <t>ADOUKO ASSE CLARISSE MARINA</t>
  </si>
  <si>
    <t>RAB0000000007609</t>
  </si>
  <si>
    <t>AGAIN JEAN LUC KAYODE</t>
  </si>
  <si>
    <t>RAB0000000116853</t>
  </si>
  <si>
    <t>AGBEHONOU JESUS</t>
  </si>
  <si>
    <t>RAB0000000003234</t>
  </si>
  <si>
    <t>AGWU IKEMSINACHI ORU</t>
  </si>
  <si>
    <t>RAB0000000013499</t>
  </si>
  <si>
    <t>AHIPO HORI OLIVIER</t>
  </si>
  <si>
    <t>RAB0000000010409</t>
  </si>
  <si>
    <t>AKA EULOGE N'GADI</t>
  </si>
  <si>
    <t>RAB0000000002229</t>
  </si>
  <si>
    <t>AKANDE MANDE JOSHUA</t>
  </si>
  <si>
    <t>RAB0000000114004</t>
  </si>
  <si>
    <t>AKANVOU EMMANUEL</t>
  </si>
  <si>
    <t>RAB0000000115790</t>
  </si>
  <si>
    <t>AKHIGBE EMMANUEL ESEOISE</t>
  </si>
  <si>
    <t>RAB0000000116357</t>
  </si>
  <si>
    <t>AKOUEKOU MOBIO SIDJE ASSI MANASSEE</t>
  </si>
  <si>
    <t>RAB0000000115942</t>
  </si>
  <si>
    <t>ALLIALI DONALD DECLAIR</t>
  </si>
  <si>
    <t>RAB0000000110772</t>
  </si>
  <si>
    <t>AMAN STEPHANE DIMITRI AFFALI</t>
  </si>
  <si>
    <t>RAB0000000006331</t>
  </si>
  <si>
    <t>AMAND PATRICIA VALERIE AIMEE</t>
  </si>
  <si>
    <t>RAB0000000013493</t>
  </si>
  <si>
    <t>AMANI AMENAN VIVIANE</t>
  </si>
  <si>
    <t>RAB0000000111892</t>
  </si>
  <si>
    <t>AMANI MOISE GERVAIS</t>
  </si>
  <si>
    <t>RAB0000000008048</t>
  </si>
  <si>
    <t>AMIAN KOFFI SOPIE LYNDA MARLENE</t>
  </si>
  <si>
    <t>RAB0000000116678</t>
  </si>
  <si>
    <t>AMOIN KEMEY KODJI BLANDINE</t>
  </si>
  <si>
    <t>RAB0000000115209</t>
  </si>
  <si>
    <t>ANGBONOU EHOUMAN JEAN-ARNAUD</t>
  </si>
  <si>
    <t>RAB0000000007621</t>
  </si>
  <si>
    <t>ANGUI KOUASSI TEHUA PASCAL</t>
  </si>
  <si>
    <t>RAB0000000109945</t>
  </si>
  <si>
    <t>ANO EPSE AKA YA TATIANA</t>
  </si>
  <si>
    <t>RAB0000000116448</t>
  </si>
  <si>
    <t>APATA VINCENT PAUL</t>
  </si>
  <si>
    <t>RAB0000000110962</t>
  </si>
  <si>
    <t>APPIAH WOUADJAN LEA EPOUSE BINDE</t>
  </si>
  <si>
    <t>RAB0000000116048</t>
  </si>
  <si>
    <t>ASSOUMOU EBROTCHE ARSENE</t>
  </si>
  <si>
    <t>RAB0000000109144</t>
  </si>
  <si>
    <t>AYE EMMANUELLE DELPHIE</t>
  </si>
  <si>
    <t>RAB0000000001818</t>
  </si>
  <si>
    <t>AYEMOU INNOCENT KOUATY</t>
  </si>
  <si>
    <t>RAB0000000114384</t>
  </si>
  <si>
    <t>BADJO DON MARIE THERESEMANDAH</t>
  </si>
  <si>
    <t>RAB0000000114763</t>
  </si>
  <si>
    <t>BAH BLEGNON JEAN PIERRE</t>
  </si>
  <si>
    <t>RAB0000000011849</t>
  </si>
  <si>
    <t>BAKAYOKO CHEICK SIDIKI</t>
  </si>
  <si>
    <t>RAB0000000002313</t>
  </si>
  <si>
    <t>BAKAYOKO KELETIGUI</t>
  </si>
  <si>
    <t>RAB0000000115784</t>
  </si>
  <si>
    <t>BAKAYOKO MANONGON DESIRE</t>
  </si>
  <si>
    <t>RAB0000000117244</t>
  </si>
  <si>
    <t>BAKAYOKO VASSIRIKI</t>
  </si>
  <si>
    <t>RAB0000000002277</t>
  </si>
  <si>
    <t>BAMA FERDINAND</t>
  </si>
  <si>
    <t>RAB0000000116670</t>
  </si>
  <si>
    <t>BAMBA ADAMA</t>
  </si>
  <si>
    <t>RAB0000000006133</t>
  </si>
  <si>
    <t>BAMBA AWA</t>
  </si>
  <si>
    <t>RAB0000000001892</t>
  </si>
  <si>
    <t>BAMBA CHEICK YSSOUF</t>
  </si>
  <si>
    <t>RAB0000000006472</t>
  </si>
  <si>
    <t>BANDAMA KOUAME JEAN CYRILLE</t>
  </si>
  <si>
    <t>RAB0000000108310</t>
  </si>
  <si>
    <t>BARRY ALI KEVIN</t>
  </si>
  <si>
    <t>RAB0000000114359</t>
  </si>
  <si>
    <t>BARRY AZIZ</t>
  </si>
  <si>
    <t>RAB0000000112044</t>
  </si>
  <si>
    <t>BATIONO SERGE OLIVIER</t>
  </si>
  <si>
    <t>RAB0000000112716</t>
  </si>
  <si>
    <t>BESSIN EFFI MARCEL</t>
  </si>
  <si>
    <t>RAB0000000003257</t>
  </si>
  <si>
    <t>BETAKO CLAUDE ELVIS.C</t>
  </si>
  <si>
    <t>RAB0000000116973</t>
  </si>
  <si>
    <t>BILE NDA AKA GUY JOSEPH</t>
  </si>
  <si>
    <t>RAB0000000005577</t>
  </si>
  <si>
    <t>BLEY PACOME</t>
  </si>
  <si>
    <t>RAB0000000006603</t>
  </si>
  <si>
    <t>BLY SIHY ERIC</t>
  </si>
  <si>
    <t>RAB0000000115563</t>
  </si>
  <si>
    <t>BOGUI FELICIA CARINE</t>
  </si>
  <si>
    <t>RAB0000000002501</t>
  </si>
  <si>
    <t>BOHOUSSOU PACOME KOUASSIKHAN</t>
  </si>
  <si>
    <t>RAB0000000001496</t>
  </si>
  <si>
    <t>BOKA YAO AHOU MARIE THERESE</t>
  </si>
  <si>
    <t>RAB0000000010648</t>
  </si>
  <si>
    <t>BOKENESSE AHUITCHE JEAN JAURES</t>
  </si>
  <si>
    <t>RAB0000000116488</t>
  </si>
  <si>
    <t>BONI PAUL</t>
  </si>
  <si>
    <t>RAB0000000004870</t>
  </si>
  <si>
    <t>BOSSO FLORA MARIE MICHELINE</t>
  </si>
  <si>
    <t>RAB0000000009911</t>
  </si>
  <si>
    <t>BOUABRE PATRICK ERIC</t>
  </si>
  <si>
    <t>RAB0000000004465</t>
  </si>
  <si>
    <t>CAHIE CAHIN ANNE SIRINA BINOU</t>
  </si>
  <si>
    <t>RAB0000000111081</t>
  </si>
  <si>
    <t>CHIEDI NEE BROU ALICE</t>
  </si>
  <si>
    <t>RAB0000000108389</t>
  </si>
  <si>
    <t>COULIBALY AWA</t>
  </si>
  <si>
    <t>RAB0000000008878</t>
  </si>
  <si>
    <t>COULIBALY BEN ABOUBACAR SIDICK</t>
  </si>
  <si>
    <t>RAB0000000009914</t>
  </si>
  <si>
    <t>COULIBALY EPSE DIANE FATIM</t>
  </si>
  <si>
    <t>RAB0000000112013</t>
  </si>
  <si>
    <t>COULIBALY SIE SEYDOU</t>
  </si>
  <si>
    <t>RAB0000000003120</t>
  </si>
  <si>
    <t>DAGBA GNAGNE AGNIMEL</t>
  </si>
  <si>
    <t>RAB0000000005704</t>
  </si>
  <si>
    <t>DAGUI EUGENIE MARIETTE ANAPOH</t>
  </si>
  <si>
    <t>RAB0000000111075</t>
  </si>
  <si>
    <t>DAVIES ARMELLUS MAXIME</t>
  </si>
  <si>
    <t>RAB0000000108468</t>
  </si>
  <si>
    <t>DAYORO ZAKPA ROLAND FABRICE</t>
  </si>
  <si>
    <t>RAB0000000004052</t>
  </si>
  <si>
    <t>DEBGOU BOLY YVES</t>
  </si>
  <si>
    <t>RAB0000000005150</t>
  </si>
  <si>
    <t>DEDE ZOUSA HYPOLYTE</t>
  </si>
  <si>
    <t>RAB0000000002051</t>
  </si>
  <si>
    <t>DEGNI NANGBAN MARIE GISELE</t>
  </si>
  <si>
    <t>RAB0000000112926</t>
  </si>
  <si>
    <t>DEPLETH LISE CHRISTIANE WESSE COMPTE N°2</t>
  </si>
  <si>
    <t>RAB0000000112925</t>
  </si>
  <si>
    <t>DEPLETH LISE CHRISTIANE WESSE COMPTE N°3</t>
  </si>
  <si>
    <t>FT0011153</t>
  </si>
  <si>
    <t>DIAKITE MARIAM</t>
  </si>
  <si>
    <t>RAB0000000002169</t>
  </si>
  <si>
    <t>DIALLO HAWA</t>
  </si>
  <si>
    <t>RAB0000000002094</t>
  </si>
  <si>
    <t>DIARRA MOHAMED LAMINE</t>
  </si>
  <si>
    <t>RAB0000000002095</t>
  </si>
  <si>
    <t>DIARRA THIERNO MOUNTAGA</t>
  </si>
  <si>
    <t>RAB0000000110356</t>
  </si>
  <si>
    <t>DIARRA TRAORE</t>
  </si>
  <si>
    <t>RAB0000000006552</t>
  </si>
  <si>
    <t>DIBI HERMANN KOUADIO</t>
  </si>
  <si>
    <t>RAB0000000115402</t>
  </si>
  <si>
    <t>DIEKET GILLES DANIEL</t>
  </si>
  <si>
    <t>RAB0000000003672</t>
  </si>
  <si>
    <t>DIOMANDE BOUBAKAR YANNICK</t>
  </si>
  <si>
    <t>RAB0000000002042</t>
  </si>
  <si>
    <t>DIOMANDE CLAUDE BERNARD</t>
  </si>
  <si>
    <t>RAB0000000116387</t>
  </si>
  <si>
    <t>DIOP ABRAHAM</t>
  </si>
  <si>
    <t>RAB0000000114696</t>
  </si>
  <si>
    <t>DJAHA AMENAN LILIANE</t>
  </si>
  <si>
    <t>RAB0000000110988</t>
  </si>
  <si>
    <t>DJIE YORO THIBEAUT</t>
  </si>
  <si>
    <t>RAB0000000109552</t>
  </si>
  <si>
    <t>DJOHORE GBALOU OUAGA ABOU-BAKR</t>
  </si>
  <si>
    <t>RAB0000000001539</t>
  </si>
  <si>
    <t>DJRO NEE TOUBOUI LOU DRI EMILIE</t>
  </si>
  <si>
    <t>RAB0000000003439</t>
  </si>
  <si>
    <t>DOBO LANDRY WENCESLAS AUBIN</t>
  </si>
  <si>
    <t>RAB0000000110989</t>
  </si>
  <si>
    <t>DOBO LOU GHON CELESTINE</t>
  </si>
  <si>
    <t>RAB0000000115346</t>
  </si>
  <si>
    <t>DOLLY EPOUSE DOGOUI MONEA JOSIANE-AIMEE</t>
  </si>
  <si>
    <t>RAB0000000110859</t>
  </si>
  <si>
    <t>DOMINGO JOEL</t>
  </si>
  <si>
    <t>RAB0000000013252</t>
  </si>
  <si>
    <t>DONGO MIMPA ROMUALD</t>
  </si>
  <si>
    <t>RAB0000000013253</t>
  </si>
  <si>
    <t>DOSSO EPSE MAH-SONNAN</t>
  </si>
  <si>
    <t>RAB0000000005843</t>
  </si>
  <si>
    <t>DOUKOURE MOHAMED</t>
  </si>
  <si>
    <t>RAB0000000113142</t>
  </si>
  <si>
    <t>DOUMBIA MARIAME EPSE OUATTARA</t>
  </si>
  <si>
    <t>RAB0000000004471</t>
  </si>
  <si>
    <t>EBROTTIE KOUAKOU ODILON</t>
  </si>
  <si>
    <t>RAB0000000006128</t>
  </si>
  <si>
    <t>EHORODOU ABEL</t>
  </si>
  <si>
    <t>RAB0000000003720</t>
  </si>
  <si>
    <t>EL MOURTADI MOHAMED</t>
  </si>
  <si>
    <t>RAB0000000006250</t>
  </si>
  <si>
    <t>ELLEINGAND FATTOH ERIC</t>
  </si>
  <si>
    <t>RAB0000000096289</t>
  </si>
  <si>
    <t>ELLO NOGBOU SIMEON</t>
  </si>
  <si>
    <t>RAB0000000116479</t>
  </si>
  <si>
    <t>ENOH AKA ESSIEL</t>
  </si>
  <si>
    <t>RAB0000000002724</t>
  </si>
  <si>
    <t>ESSE NATHANAEL MAUREL</t>
  </si>
  <si>
    <t>RAB0000000112083</t>
  </si>
  <si>
    <t>FLE NANCY MARIA</t>
  </si>
  <si>
    <t>RAB0000000116131</t>
  </si>
  <si>
    <t>FOFANA AHMED</t>
  </si>
  <si>
    <t>RAB0000000007850</t>
  </si>
  <si>
    <t>FOFANA KRA ANNICK BERNADINE NADEGE LARAGNON</t>
  </si>
  <si>
    <t>RAB0000000006553</t>
  </si>
  <si>
    <t>FOFANA MAHMAN GAOUSSOU</t>
  </si>
  <si>
    <t>RAB0000000005314</t>
  </si>
  <si>
    <t>FOFANA MOUSSA</t>
  </si>
  <si>
    <t>RAB0000000011851</t>
  </si>
  <si>
    <t>FOFANA YOUSSOUF</t>
  </si>
  <si>
    <t>RAB0000000012603</t>
  </si>
  <si>
    <t>GAMYS CE GUINTO</t>
  </si>
  <si>
    <t>RAB0000000003446</t>
  </si>
  <si>
    <t>GARA GAHIE CHRIS</t>
  </si>
  <si>
    <t>RAB0000000110572</t>
  </si>
  <si>
    <t>GBEBO SEMIAN CANISIUS</t>
  </si>
  <si>
    <t>RAB0000000114205</t>
  </si>
  <si>
    <t>GNAGBO BAHOUA DIEUDONNE INNOCENT</t>
  </si>
  <si>
    <t>RAB0000000116069</t>
  </si>
  <si>
    <t>GNAGORE BESSOU JULIEN</t>
  </si>
  <si>
    <t>RAB0000000113497</t>
  </si>
  <si>
    <t>GNAORE ANNA JOSEE CHANTAL</t>
  </si>
  <si>
    <t>FT0012645</t>
  </si>
  <si>
    <t>GOHOU JEAN MARTIAL CYR</t>
  </si>
  <si>
    <t>RAB0000000002622</t>
  </si>
  <si>
    <t>GRO BI TRAZIE JONATHAN</t>
  </si>
  <si>
    <t>RAB0000000112406</t>
  </si>
  <si>
    <t>GROGA BRICE LUCIEN</t>
  </si>
  <si>
    <t>RAB0000000112005</t>
  </si>
  <si>
    <t>GROUPE ICARE</t>
  </si>
  <si>
    <t>RAB0000000115029</t>
  </si>
  <si>
    <t>GUEBO EMMANUELLE</t>
  </si>
  <si>
    <t>RAB0000000011602</t>
  </si>
  <si>
    <t>GUO RENQIANG</t>
  </si>
  <si>
    <t>RAB0000000110278</t>
  </si>
  <si>
    <t>HAIDAR ZAKARIA</t>
  </si>
  <si>
    <t>RAB0000000113083</t>
  </si>
  <si>
    <t>HIEN HOHO PAULINE</t>
  </si>
  <si>
    <t>RAB0000000011394</t>
  </si>
  <si>
    <t>HOIMIAN BOMO JOSEPHINE</t>
  </si>
  <si>
    <t>RAB0000000001422</t>
  </si>
  <si>
    <t>HORO GNINLYO SAINT-CHRIST</t>
  </si>
  <si>
    <t>RAB0000000116346</t>
  </si>
  <si>
    <t>HOUEMENOU AIME HERODE</t>
  </si>
  <si>
    <t>RAB0000000006014</t>
  </si>
  <si>
    <t>ILBOUDO ASSAMY</t>
  </si>
  <si>
    <t>RAB0000000008125</t>
  </si>
  <si>
    <t>IRIE BI KOUAMI MARTIAL</t>
  </si>
  <si>
    <t>RAB0000000001838</t>
  </si>
  <si>
    <t>JOACHIM MOUNIRATH LAURA ELEONORE</t>
  </si>
  <si>
    <t>RAB0000000003231</t>
  </si>
  <si>
    <t>KABA MYRHIAM</t>
  </si>
  <si>
    <t>RAB0000000006475</t>
  </si>
  <si>
    <t>KABRAN JOELLE SANDRINE BENIEH</t>
  </si>
  <si>
    <t>RAB0000000116429</t>
  </si>
  <si>
    <t>KADJO MIREILLE MATHIEU AKASSI</t>
  </si>
  <si>
    <t>RAB0000000011832</t>
  </si>
  <si>
    <t>KAIN LOUH DORIAN</t>
  </si>
  <si>
    <t>RAB0000000007776</t>
  </si>
  <si>
    <t>KAKOU EBOUKORE ARMAND STEPHANE</t>
  </si>
  <si>
    <t>RAB0000000003674</t>
  </si>
  <si>
    <t>KALOU PATRICIA CLAUDE NADINE</t>
  </si>
  <si>
    <t>RAB0000000116563</t>
  </si>
  <si>
    <t>KAMAGATE IBRAHIMA</t>
  </si>
  <si>
    <t>RAB0000000004390</t>
  </si>
  <si>
    <t>KAMAGATE ROKIATOU</t>
  </si>
  <si>
    <t>RAB0000000108785</t>
  </si>
  <si>
    <t>KANGA CEDRIC WILFRIED3</t>
  </si>
  <si>
    <t>RAB0000000003614</t>
  </si>
  <si>
    <t>KANO TIDJANE</t>
  </si>
  <si>
    <t>RAB0000000003356</t>
  </si>
  <si>
    <t>KANTE MARC OLIVIER KADER ( transfert de ligne )</t>
  </si>
  <si>
    <t>RAB0000000007971</t>
  </si>
  <si>
    <t>KARAMOKO MAMAN NOGODJOUAN</t>
  </si>
  <si>
    <t>RAB0000000001505</t>
  </si>
  <si>
    <t>KASSI JEAN BAPTISTE CHRISTIAN</t>
  </si>
  <si>
    <t>RAB0000000111727</t>
  </si>
  <si>
    <t>KEBE IBRAHIMA</t>
  </si>
  <si>
    <t>RAB0000000004337</t>
  </si>
  <si>
    <t>KEBE MARIAME</t>
  </si>
  <si>
    <t>RAB0000000004067</t>
  </si>
  <si>
    <t>KINHOUN ERNESTE DESIRE</t>
  </si>
  <si>
    <t>RAB0000000013303</t>
  </si>
  <si>
    <t>KIPRE SAHOUA DOMINIQUE</t>
  </si>
  <si>
    <t>RAB0000000004963</t>
  </si>
  <si>
    <t>KOBINA KOUABENAN ARSENE</t>
  </si>
  <si>
    <t>RAB0000000113896</t>
  </si>
  <si>
    <t>KOBON CEDRIC LIONEL ULRICH</t>
  </si>
  <si>
    <t>RAB0000000109587</t>
  </si>
  <si>
    <t>KODJANE ELVIS DONATIEN</t>
  </si>
  <si>
    <t>RAB0000000114287</t>
  </si>
  <si>
    <t>KOFFI DJEDJOU N ZORE HANANI</t>
  </si>
  <si>
    <t>RAB0000000012627</t>
  </si>
  <si>
    <t>KOFFI ERIC-GERVAIS</t>
  </si>
  <si>
    <t>RAB0000000008235</t>
  </si>
  <si>
    <t>KOFFI KOUADIO AIME</t>
  </si>
  <si>
    <t>RAB0000000004763</t>
  </si>
  <si>
    <t>KOFFI KOUAME FABRICE</t>
  </si>
  <si>
    <t>RAB0000000006751</t>
  </si>
  <si>
    <t>KOFFI N'DRI ROSALL</t>
  </si>
  <si>
    <t>RAB0000000113903</t>
  </si>
  <si>
    <t>KOFFI N'GUESSAN PASCAL</t>
  </si>
  <si>
    <t>RAB0000000109905</t>
  </si>
  <si>
    <t>KOFFI N'GUETTIA SERGES SEBASTIEN</t>
  </si>
  <si>
    <t>RAB0000000003932</t>
  </si>
  <si>
    <t>KOFFI SIMONE FELICITE</t>
  </si>
  <si>
    <t>RAB0000000012132</t>
  </si>
  <si>
    <t>KOFFI SOUROU ANDRE</t>
  </si>
  <si>
    <t>RAB0000000002582</t>
  </si>
  <si>
    <t>KOISSI CINDY MICHELLE</t>
  </si>
  <si>
    <t>RAB0000000001995</t>
  </si>
  <si>
    <t>KOKO KOUA STEPHANE</t>
  </si>
  <si>
    <t>RAB0000000002424</t>
  </si>
  <si>
    <t>KONAN N’DA FRANCIS KOUAME</t>
  </si>
  <si>
    <t>RAB0000000115235</t>
  </si>
  <si>
    <t>KONAN NATHANAEL PIERRE JOEL</t>
  </si>
  <si>
    <t>RAB0000000003706</t>
  </si>
  <si>
    <t>KONAN N'ZUE JEAN CHRISTOPHE</t>
  </si>
  <si>
    <t>RAB0000000108394</t>
  </si>
  <si>
    <t>KONAN THIBAUT JOEL</t>
  </si>
  <si>
    <t>RAB0000000002319</t>
  </si>
  <si>
    <t>KONANDRI AFFOUE VIRGINIE</t>
  </si>
  <si>
    <t>RAB0000000114717</t>
  </si>
  <si>
    <t>KONATE ABOU</t>
  </si>
  <si>
    <t>RAB0000000108213</t>
  </si>
  <si>
    <t>KONATE CASSOUM HARDINAN</t>
  </si>
  <si>
    <t>RAB0000000116927</t>
  </si>
  <si>
    <t>KONATE OUSMANE</t>
  </si>
  <si>
    <t>RAB0000000111302</t>
  </si>
  <si>
    <t>KONE AMINATA</t>
  </si>
  <si>
    <t>RAB0000000109234</t>
  </si>
  <si>
    <t>KONE DONATIEN JEAN</t>
  </si>
  <si>
    <t>RAB0000000008485</t>
  </si>
  <si>
    <t>KONE KINIDENIN AUDE DANIELLE</t>
  </si>
  <si>
    <t>RAB0000000113847</t>
  </si>
  <si>
    <t>KONE MAIMOUNA</t>
  </si>
  <si>
    <t>RAB0000000108224</t>
  </si>
  <si>
    <t>KONE NIOGOMA</t>
  </si>
  <si>
    <t>RAB0000000011333</t>
  </si>
  <si>
    <t>KONIN HELENE</t>
  </si>
  <si>
    <t>RAB0000000008532</t>
  </si>
  <si>
    <t>KONTE ADAMA (pose de pco dans le batiment)</t>
  </si>
  <si>
    <t>RAB0000000008553</t>
  </si>
  <si>
    <t>KORE KPAI ALAIN JOEL</t>
  </si>
  <si>
    <t>RAB0000000002432</t>
  </si>
  <si>
    <t>KOSSIA SERGE ROLAND</t>
  </si>
  <si>
    <t>RAB0000000008654</t>
  </si>
  <si>
    <t>KOSSONOU BEN JEAN-ROMUALD</t>
  </si>
  <si>
    <t>KOUADIO CHRISTIAN ROME</t>
  </si>
  <si>
    <t>RAB0000000012788</t>
  </si>
  <si>
    <t>KOUADIO GRAH MIREILLE</t>
  </si>
  <si>
    <t>RAB0000000005095</t>
  </si>
  <si>
    <t>KOUADIO KOUADIO DABIE HERMANNN</t>
  </si>
  <si>
    <t>RAB0000000008080</t>
  </si>
  <si>
    <t>KOUADIO KOUAKOU NICODEME</t>
  </si>
  <si>
    <t>RAB0000000002194</t>
  </si>
  <si>
    <t>KOUADIO KOUAME JUDICAEL</t>
  </si>
  <si>
    <t>RAB0000000116568</t>
  </si>
  <si>
    <t>KOUADIO MENAO NATACHA FELICIENNE</t>
  </si>
  <si>
    <t>RAB0000000004991</t>
  </si>
  <si>
    <t>KOUADIO MICKY KONAN</t>
  </si>
  <si>
    <t>RAB0000000113973</t>
  </si>
  <si>
    <t>KOUADIO TIACOH CHRIST EMMANUEL</t>
  </si>
  <si>
    <t>RAB0000000110864</t>
  </si>
  <si>
    <t>KOUAKOU GNAMIEN CLAUDE CENDRINE</t>
  </si>
  <si>
    <t>RAB0000000108129</t>
  </si>
  <si>
    <t>KOUAKOU RUTH DORCAS</t>
  </si>
  <si>
    <t>RAB0000000004676</t>
  </si>
  <si>
    <t>KOUAME ABO CLEMENT JEAN-MARC</t>
  </si>
  <si>
    <t>RAB0000000002318</t>
  </si>
  <si>
    <t>KOUAME KOUAME CHARLES</t>
  </si>
  <si>
    <t>RAB0000000004648</t>
  </si>
  <si>
    <t>KOUAME KOUAME KESSI DENIS</t>
  </si>
  <si>
    <t>RAB0000000001557</t>
  </si>
  <si>
    <t>KOUAME N'GORAN ALEX ROGER</t>
  </si>
  <si>
    <t>RAB0000000002588</t>
  </si>
  <si>
    <t>KOUAME N'GUESSAN LANDRY</t>
  </si>
  <si>
    <t>RAB0000000116306</t>
  </si>
  <si>
    <t>KOUAME WOSSI HORTENSE</t>
  </si>
  <si>
    <t>RAB0000000108476</t>
  </si>
  <si>
    <t>KOUAME YAO ANGE</t>
  </si>
  <si>
    <t>RAB0000000007725</t>
  </si>
  <si>
    <t>KOUAME YAO ANGE DONALD WALTER( transfert de ligne)</t>
  </si>
  <si>
    <t>RAB0000000114658</t>
  </si>
  <si>
    <t>KOUAME YEDE THOMAS</t>
  </si>
  <si>
    <t>RAB0000000003663</t>
  </si>
  <si>
    <t>KOUAMELAN COLETTE JULIENNE EPSE MAGNE</t>
  </si>
  <si>
    <t>RAB0000000009935</t>
  </si>
  <si>
    <t>KOUASSI KOFFI GERARD</t>
  </si>
  <si>
    <t>KOUASSI KOFFI WENCESLAS (transfert de ligne)</t>
  </si>
  <si>
    <t>RAB0000000113577</t>
  </si>
  <si>
    <t>KOUDIO KOUAKOU JAN MARC WILFRIED</t>
  </si>
  <si>
    <t>RAB0000000110555</t>
  </si>
  <si>
    <t>KOUMAN MARION GRACE AXELLE</t>
  </si>
  <si>
    <t>RAB0000000113842</t>
  </si>
  <si>
    <t>KOUTOUAN MANDJI AURELIE CAROL</t>
  </si>
  <si>
    <t>RAB0000000112004</t>
  </si>
  <si>
    <t>KRIOUA SETONNE ARNAUD</t>
  </si>
  <si>
    <t>RAB0000000114513</t>
  </si>
  <si>
    <t>RAB0000000012784</t>
  </si>
  <si>
    <t>LEGRE BRICE AUBAIN</t>
  </si>
  <si>
    <t>RAB0000000114724</t>
  </si>
  <si>
    <t>LEHI BLE ANDERSON BODO</t>
  </si>
  <si>
    <t>RAB0000000012950</t>
  </si>
  <si>
    <t>LOBA BADJO MARIE CHRISTELLE DOMINIQUE</t>
  </si>
  <si>
    <t>RAB0000000011020</t>
  </si>
  <si>
    <t>LORENZO BONCOMPAGNI</t>
  </si>
  <si>
    <t>RAB0000000005167</t>
  </si>
  <si>
    <t>LOUMA JESSICA ANDREA</t>
  </si>
  <si>
    <t>RAB0000000113569</t>
  </si>
  <si>
    <t>MAHAN LAURENT</t>
  </si>
  <si>
    <t>RAB0000000004636</t>
  </si>
  <si>
    <t>MAMBEY STEPHEN</t>
  </si>
  <si>
    <t>RAB0000000007415</t>
  </si>
  <si>
    <t>MASSENGO LAURIE EMMANUELLE</t>
  </si>
  <si>
    <t>RAB0000000005581</t>
  </si>
  <si>
    <t>MELEDJE BARBARA AUGUSTINE</t>
  </si>
  <si>
    <t>RAB0000000113840</t>
  </si>
  <si>
    <t>MELETCHI AMANGOUA GHISLAIN</t>
  </si>
  <si>
    <t>RAB0000000117394</t>
  </si>
  <si>
    <t>MENDY WALY</t>
  </si>
  <si>
    <t>RAB0000000005085</t>
  </si>
  <si>
    <t>MISSINOU DJIWOUANOU JULES</t>
  </si>
  <si>
    <t>MORO EDSON ALAIN SERGE (transfert de ligne)</t>
  </si>
  <si>
    <t>RAB0000000013559</t>
  </si>
  <si>
    <t>MOUSSA DOUMBIA MARIAM</t>
  </si>
  <si>
    <t>RAB0000000003483</t>
  </si>
  <si>
    <t>MOUTO KIEN FULGENCE</t>
  </si>
  <si>
    <t>RAB0000000001275</t>
  </si>
  <si>
    <t>MOUTOUHO GEORGES</t>
  </si>
  <si>
    <t>RAB0000000114408</t>
  </si>
  <si>
    <t>MRADAA FEHMI</t>
  </si>
  <si>
    <t>RAB0000000005441</t>
  </si>
  <si>
    <t>MROUE MOHAMAD</t>
  </si>
  <si>
    <t>RAB0000000108036</t>
  </si>
  <si>
    <t>NANDJI NDJIGBA JOSEPH KEVIN</t>
  </si>
  <si>
    <t>RAB0000000003552</t>
  </si>
  <si>
    <t>NANGUY PHILBERT</t>
  </si>
  <si>
    <t>RAB0000000012027</t>
  </si>
  <si>
    <t>NASSOURI NAFISSATOU ARIELLE</t>
  </si>
  <si>
    <t>RAB0000000010491</t>
  </si>
  <si>
    <t>N'CHO API YVONNE ANASTASIE</t>
  </si>
  <si>
    <t>RAB0000000005429</t>
  </si>
  <si>
    <t>N'DIAYE CHEICK</t>
  </si>
  <si>
    <t>RAB0000000001996</t>
  </si>
  <si>
    <t>NDOUBA BORIS FABIS</t>
  </si>
  <si>
    <t>RAB0000000008838</t>
  </si>
  <si>
    <t>N'GORAN ADJOUA MOKRO</t>
  </si>
  <si>
    <t>RAB0000000002201</t>
  </si>
  <si>
    <t>N'GORAN EHUA GRACE ASTRIDE</t>
  </si>
  <si>
    <t>RAB0000000001546</t>
  </si>
  <si>
    <t>N'GORAN KOUADIO DESIRE</t>
  </si>
  <si>
    <t>RAB0000000009462</t>
  </si>
  <si>
    <t>N'GORAN SEM RAHSOU HERVE</t>
  </si>
  <si>
    <t>RAB0000000116090</t>
  </si>
  <si>
    <t>N'GUESSAN AHOU GRACE DESIREE</t>
  </si>
  <si>
    <t>RAB0000000001707</t>
  </si>
  <si>
    <t>N'GUESSAN AKISSI ORNELLA</t>
  </si>
  <si>
    <t>RAB0000000111070</t>
  </si>
  <si>
    <t>NGUESSAN CHARLES OLIVIER</t>
  </si>
  <si>
    <t>RAB0000000009944</t>
  </si>
  <si>
    <t>N'GUESSAN DODO OLIVIER</t>
  </si>
  <si>
    <t>RAB0000000001966</t>
  </si>
  <si>
    <t>N'GUESSAN KOUASSI JEREMI</t>
  </si>
  <si>
    <t>RAB0000000009000</t>
  </si>
  <si>
    <t>NGUESSAN KOUASSI SALOMON</t>
  </si>
  <si>
    <t>RAB0000000002866</t>
  </si>
  <si>
    <t>N'GUESSAN M'BOI LAVRY JOSIANE</t>
  </si>
  <si>
    <t>RAB0000000113238</t>
  </si>
  <si>
    <t>NGUESSAN MICHAEL MARDOCHEE BLODOU</t>
  </si>
  <si>
    <t>RAB0000000002306</t>
  </si>
  <si>
    <t>N'GUETTIA KOFFI SOSTHENE</t>
  </si>
  <si>
    <t>RAB0000000008677</t>
  </si>
  <si>
    <t>NIAMIEN YVES OLIVIER N'ZI</t>
  </si>
  <si>
    <t>RAB0000000116034</t>
  </si>
  <si>
    <t>NOMBRE ISSAC</t>
  </si>
  <si>
    <t>RAB0000000010007</t>
  </si>
  <si>
    <t>ODO KACOU FORTUNE HERMANN</t>
  </si>
  <si>
    <t>RAB0000000005042</t>
  </si>
  <si>
    <t>ODOU SOUKOU GUY SERGE</t>
  </si>
  <si>
    <t>RAB0000000109662</t>
  </si>
  <si>
    <t>OKINGNI STEPHANE KOUASSI</t>
  </si>
  <si>
    <t>RAB0000000004056</t>
  </si>
  <si>
    <t>OKOSSI GOUGOU DORIS</t>
  </si>
  <si>
    <t>RAB0000000004549</t>
  </si>
  <si>
    <t>ONOYO NADEGE VAGBA</t>
  </si>
  <si>
    <t>RAB0000000013439</t>
  </si>
  <si>
    <t>OUANGA ATTOUBO BLAISE</t>
  </si>
  <si>
    <t>RAB0000000117094</t>
  </si>
  <si>
    <t>OUATTARA ABDOULAYE CISSE</t>
  </si>
  <si>
    <t>RAB0000000008367</t>
  </si>
  <si>
    <t>OUATTARA GNIENNE MANKIYE NABINTOU</t>
  </si>
  <si>
    <t>RAB0000000005897</t>
  </si>
  <si>
    <t>OUATTARA LACINA</t>
  </si>
  <si>
    <t>RAB0000000002451</t>
  </si>
  <si>
    <t>OUEDRAOGO ADAMA</t>
  </si>
  <si>
    <t>RAB0000000113179</t>
  </si>
  <si>
    <t>OUFFOUE ATCHIEN AHOU MARCELLE CORINNE</t>
  </si>
  <si>
    <t>RAB0000000108552</t>
  </si>
  <si>
    <t>OURA NGUESSAN OLIVIER</t>
  </si>
  <si>
    <t>RAB0000000116054</t>
  </si>
  <si>
    <t>OURAGA NARCISSE</t>
  </si>
  <si>
    <t>RAB0000000003781</t>
  </si>
  <si>
    <t>PE KOBENAN ABRAHAM</t>
  </si>
  <si>
    <t>RAB0000000109117</t>
  </si>
  <si>
    <t>QUENUM WILLIAM NOUNANGNON MASSAER AZIZ</t>
  </si>
  <si>
    <t>RAB0000000009148</t>
  </si>
  <si>
    <t>RANDRIANINDRINA HENRI</t>
  </si>
  <si>
    <t>RAB0000000114556</t>
  </si>
  <si>
    <t>RATURI PAWAN</t>
  </si>
  <si>
    <t>RAB0000000110937</t>
  </si>
  <si>
    <t>ROSY CHRISTELLE DJUISSIE K.</t>
  </si>
  <si>
    <t>RAB0000000004003</t>
  </si>
  <si>
    <t>SACANOUD KOUAME BENOIT</t>
  </si>
  <si>
    <t>RAB0000000004301</t>
  </si>
  <si>
    <t>SALL MARIETOU</t>
  </si>
  <si>
    <t>RAB0000000116638</t>
  </si>
  <si>
    <t>SANGARE SINDOU</t>
  </si>
  <si>
    <t>RAB0000000115130</t>
  </si>
  <si>
    <t>SAWADOGO OUSMANE</t>
  </si>
  <si>
    <t>RAB0000000109469</t>
  </si>
  <si>
    <t>SAWADOGO ZALIHA</t>
  </si>
  <si>
    <t>RAB0000000112678</t>
  </si>
  <si>
    <t>SEDENE FREDERIC CHARLES SIENGA</t>
  </si>
  <si>
    <t>RAB0000000011867</t>
  </si>
  <si>
    <t>SEHOUE LEONTINE</t>
  </si>
  <si>
    <t>RAB0000000001644</t>
  </si>
  <si>
    <t>SERY NEKPA FIDELE</t>
  </si>
  <si>
    <t>RAB0000000005485</t>
  </si>
  <si>
    <t>SEYDOU TRAORE</t>
  </si>
  <si>
    <t>RAB0000000111536</t>
  </si>
  <si>
    <t>SIBAILLY EPSE KOPOIN ESTHER DANIELLE</t>
  </si>
  <si>
    <t>RAB0000000114012</t>
  </si>
  <si>
    <t>SOHOU DJINSIAN ROUALET</t>
  </si>
  <si>
    <t>RAB0000000115599</t>
  </si>
  <si>
    <t>SOMPLEI ISSAAC BOXTEL</t>
  </si>
  <si>
    <t>RAB0000000108964</t>
  </si>
  <si>
    <t>SONNY AZIALO SYMPHORA CARMELIA SUZY</t>
  </si>
  <si>
    <t>RAB0000000116293</t>
  </si>
  <si>
    <t>SORO DJENEBA YOLANDE</t>
  </si>
  <si>
    <t>RAB0000000009187</t>
  </si>
  <si>
    <t>SORO GBAMBALA JEREMIE</t>
  </si>
  <si>
    <t>RAB0000000002181</t>
  </si>
  <si>
    <t>SORO GBOMBELE</t>
  </si>
  <si>
    <t>RAB0000000003795</t>
  </si>
  <si>
    <t>SORO N'BE HAMADOU</t>
  </si>
  <si>
    <t>RAB0000000117397</t>
  </si>
  <si>
    <t>SOUDOUEM JEANNE</t>
  </si>
  <si>
    <t>RAB0000000008545</t>
  </si>
  <si>
    <t>SOUMAHORO ISMAHILA ANZOUMANA</t>
  </si>
  <si>
    <t>RAB0000000113240</t>
  </si>
  <si>
    <t>SOUMAHORO LAMINE</t>
  </si>
  <si>
    <t>RAB0000000113243</t>
  </si>
  <si>
    <t>RAB0000000008194</t>
  </si>
  <si>
    <t>SOUSSOUBIE PATRICK ELIE</t>
  </si>
  <si>
    <t>RAB0000000108583</t>
  </si>
  <si>
    <t>SYLLA ABOUBAKAR SIDICK PCO Sature</t>
  </si>
  <si>
    <t>RAB0000000116504</t>
  </si>
  <si>
    <t>SYLLA IBRAHIM</t>
  </si>
  <si>
    <t>RAB0000000114713</t>
  </si>
  <si>
    <t>TA BI TRA ROMEO</t>
  </si>
  <si>
    <t>RAB0000000113662</t>
  </si>
  <si>
    <t>TAMDJA ALBERT</t>
  </si>
  <si>
    <t>RAB0000000112214</t>
  </si>
  <si>
    <t>TANO EBAH EUGENIE ANDREE</t>
  </si>
  <si>
    <t>RAB0000000012517</t>
  </si>
  <si>
    <t>TANO OUAOUA LOUIS ARISTIDE</t>
  </si>
  <si>
    <t>RAB0000000112695</t>
  </si>
  <si>
    <t>TANOH AHOUA RAYMONDE</t>
  </si>
  <si>
    <t>RAB0000000010337</t>
  </si>
  <si>
    <t>TANOH KONAN ANGE ROMARIC</t>
  </si>
  <si>
    <t>RAB0000000001766</t>
  </si>
  <si>
    <t>TEBI YANNICK ARMAND</t>
  </si>
  <si>
    <t>RAB0000000114064</t>
  </si>
  <si>
    <t>TEDJE AKABLA CLEMENT</t>
  </si>
  <si>
    <t>RAB0000000005885</t>
  </si>
  <si>
    <t>TIA GOUEU FULCI ABDOUL PEGRAN</t>
  </si>
  <si>
    <t>RAB0000000116310</t>
  </si>
  <si>
    <t>TIOMAN APPIA FRANCK ALAIN</t>
  </si>
  <si>
    <t>RAB0000000010226</t>
  </si>
  <si>
    <t>TOKPA LUCIE</t>
  </si>
  <si>
    <t>RAB0000000002202</t>
  </si>
  <si>
    <t>TOU KONE ALPHA MOHAMED</t>
  </si>
  <si>
    <t>RAB0000000012339</t>
  </si>
  <si>
    <t>TOUA TOBO MICHAEL ULRICH</t>
  </si>
  <si>
    <t>RAB0000000004339</t>
  </si>
  <si>
    <t>TOURE DAM SARR</t>
  </si>
  <si>
    <t>RAB0000000108029</t>
  </si>
  <si>
    <t>TOURE NANKAN BA-ALI BRICE</t>
  </si>
  <si>
    <t>RAB0000000004534</t>
  </si>
  <si>
    <t>TRAORE ISMAEL JUNIOR</t>
  </si>
  <si>
    <t>RAB0000000109248</t>
  </si>
  <si>
    <t>TRAORE MADIARA</t>
  </si>
  <si>
    <t>RAB0000000003481</t>
  </si>
  <si>
    <t>TRAORE MARIAM MASSENI</t>
  </si>
  <si>
    <t>RAB0000000013080</t>
  </si>
  <si>
    <t>TRAORE MOUSSA</t>
  </si>
  <si>
    <t>RAB0000000004696</t>
  </si>
  <si>
    <t>TRAORE SAIBA PAUL</t>
  </si>
  <si>
    <t>RAB0000000117445</t>
  </si>
  <si>
    <t>TRAORE YOUSSOUF ISMAEL</t>
  </si>
  <si>
    <t>RAB0000000003782</t>
  </si>
  <si>
    <t>TUE BI BALO</t>
  </si>
  <si>
    <t>RAB0000000112322</t>
  </si>
  <si>
    <t>WADJA EPSE IRIE VALERIE ESTHER</t>
  </si>
  <si>
    <t>RAB0000000012338</t>
  </si>
  <si>
    <t>WELBECK UNCLE FREDDY</t>
  </si>
  <si>
    <t>RAB0000000114461</t>
  </si>
  <si>
    <t>YAO KOFFI JAURES</t>
  </si>
  <si>
    <t>RAB0000000006667</t>
  </si>
  <si>
    <t>YAO KONAN ALAIN DESIRE</t>
  </si>
  <si>
    <t>RAB0000000011856</t>
  </si>
  <si>
    <t>YAO KOUAKOU ALAIN</t>
  </si>
  <si>
    <t>RAB0000000011095</t>
  </si>
  <si>
    <t>YAPI APO VERONIQUE</t>
  </si>
  <si>
    <t>RAB0000000001960</t>
  </si>
  <si>
    <t>YAPI HOUPHOUET FELIX</t>
  </si>
  <si>
    <t>RAB0000000108555</t>
  </si>
  <si>
    <t>YAPO SHARM ARSENE</t>
  </si>
  <si>
    <t>RAB0000000002272</t>
  </si>
  <si>
    <t>YODA KASSOUM</t>
  </si>
  <si>
    <t>RAB0000000002917</t>
  </si>
  <si>
    <t>YOUKOU ELIE MARC</t>
  </si>
  <si>
    <t>RAB0000000002274</t>
  </si>
  <si>
    <t>YOUNG THOMAS DUVERNET JUNIOR</t>
  </si>
  <si>
    <t>RAB0000000109900</t>
  </si>
  <si>
    <t>YOUOBELE JOEL</t>
  </si>
  <si>
    <t>RAB0000000005532</t>
  </si>
  <si>
    <t>YOUSSOUF KANE</t>
  </si>
  <si>
    <t>RAB0000000001548</t>
  </si>
  <si>
    <t>YRA SATY CLARISSE</t>
  </si>
  <si>
    <t>RAB0000000108080</t>
  </si>
  <si>
    <t>ZADI ANGE ALEX ABONNEMENT 2</t>
  </si>
  <si>
    <t>RAB0000000108214</t>
  </si>
  <si>
    <t>ZADI ANGE ALEX ABONNEMENT 3</t>
  </si>
  <si>
    <t>RAB0000000005189</t>
  </si>
  <si>
    <t>ZADI DEPO EUGENE</t>
  </si>
  <si>
    <t>RAB0000000114610</t>
  </si>
  <si>
    <t>ZORKOT HADI</t>
  </si>
  <si>
    <t>RAB0000000117523</t>
  </si>
  <si>
    <t>TOHOURI AHIPOH BOB STEPHEN WILLIAM</t>
  </si>
  <si>
    <t>RAB0000000117516</t>
  </si>
  <si>
    <t>RABE MIREILLE POPAUD</t>
  </si>
  <si>
    <t>ORIBAT 02</t>
  </si>
  <si>
    <t>11//09/2023</t>
  </si>
  <si>
    <t>Probleme client</t>
  </si>
  <si>
    <t>Déploiement PCO</t>
  </si>
  <si>
    <t>Probleme syndic</t>
  </si>
  <si>
    <t>Probleme rivierain</t>
  </si>
  <si>
    <t>Implantation de PM</t>
  </si>
  <si>
    <t xml:space="preserve"> 01-25/04/2024  </t>
  </si>
  <si>
    <t xml:space="preserve">DJIBI </t>
  </si>
  <si>
    <t xml:space="preserve">02-24/04/2024 </t>
  </si>
  <si>
    <t>RAB0000000117359</t>
  </si>
  <si>
    <t>NOUMA PATRICK WILLIAM</t>
  </si>
  <si>
    <t>RAB0000000117713</t>
  </si>
  <si>
    <t>ATTOUBOU PRISCA EPSE YAO</t>
  </si>
  <si>
    <t>RAB0000000117697</t>
  </si>
  <si>
    <t>KONAN AYA  ESTELLE MARIE PASCALE</t>
  </si>
  <si>
    <t>RAB0000000117763</t>
  </si>
  <si>
    <t>KANTE  ISMAEL</t>
  </si>
  <si>
    <t>RAB0000000117737</t>
  </si>
  <si>
    <t>ANGROTCHI AFFALA ANGE MITCH-LINE</t>
  </si>
  <si>
    <t>RAB0000000117745</t>
  </si>
  <si>
    <t>TEHE DJINDEHA YANN AXEL</t>
  </si>
  <si>
    <t>RAB0000000117599</t>
  </si>
  <si>
    <t>ZOUAN SEDE ELVIRE CAROLE SAHI</t>
  </si>
  <si>
    <t>ARCADE 01</t>
  </si>
  <si>
    <t>Manque de puissance</t>
  </si>
  <si>
    <t>RAB0000000109686</t>
  </si>
  <si>
    <t>COULIBALY KORONA YAKRO</t>
  </si>
  <si>
    <t>RAB0000000111350</t>
  </si>
  <si>
    <t>KOUASSI KOFFI LAURENT FABRICE</t>
  </si>
  <si>
    <t>RAB0000000008864</t>
  </si>
  <si>
    <t>EKUE FOLLY ALEXIS (YAKRO)</t>
  </si>
  <si>
    <t>RAB0000000096279</t>
  </si>
  <si>
    <t>BEMSILI ANGELE YAKRO</t>
  </si>
  <si>
    <t>RAB0000000110928</t>
  </si>
  <si>
    <t>OULA KOUAKOU SIMON YAKRO</t>
  </si>
  <si>
    <t>RAB0000000113093</t>
  </si>
  <si>
    <t>FOSSOU BOSSOMA STEPHANIE MARYLENE 1</t>
  </si>
  <si>
    <t>RAB0000000113108</t>
  </si>
  <si>
    <t>FOSSOU BOSSOMA STEPHANIE MARYLENE 2</t>
  </si>
  <si>
    <t>RAB0000000112907</t>
  </si>
  <si>
    <t>DIABATE MOUHAMED YAKRO</t>
  </si>
  <si>
    <t>RAB0000000111383</t>
  </si>
  <si>
    <t>KANTE ALIOU</t>
  </si>
  <si>
    <t>RAB0000000111830</t>
  </si>
  <si>
    <t>DIARRASSOUBA FATOUMATA YAKRO</t>
  </si>
  <si>
    <t>RAB0000000111564</t>
  </si>
  <si>
    <t>FOFANA MOUSSA KOUNOUMBA</t>
  </si>
  <si>
    <t>RAB0000000114080</t>
  </si>
  <si>
    <t>KOUAME KOFFI GUILLAUME</t>
  </si>
  <si>
    <t>RAB0000000116577</t>
  </si>
  <si>
    <t>KONE MAMAN YAKRO</t>
  </si>
  <si>
    <t>RAB0000000115708</t>
  </si>
  <si>
    <t>KONE CHINRLOGO HAMIDOU YAKRO</t>
  </si>
  <si>
    <t>RAB0000000110775</t>
  </si>
  <si>
    <t>BAHI GUY ROLAND YAKRO</t>
  </si>
  <si>
    <t>RAB0000000115329</t>
  </si>
  <si>
    <t>ILBOUDO JACQUES YAKRO</t>
  </si>
  <si>
    <t>RAB0000000115814</t>
  </si>
  <si>
    <t>TINTO SOMAILA YAKRO</t>
  </si>
  <si>
    <t>RAB0000000115810</t>
  </si>
  <si>
    <t>KOUIHE NESSENOU PRINCE YANNICK YAKRO</t>
  </si>
  <si>
    <t>RAB0000000116992</t>
  </si>
  <si>
    <t>DEMBELE  ABOUBACAR COULIBALY</t>
  </si>
  <si>
    <t>RAB0000000117349</t>
  </si>
  <si>
    <t>GLEANOU SERGES ANDERSON YAKRO</t>
  </si>
  <si>
    <t>RAB0000000115507</t>
  </si>
  <si>
    <t>DEMBELE ISSIAKA</t>
  </si>
  <si>
    <t>RAB0000000117029</t>
  </si>
  <si>
    <t>KOUASSI YAO JOSTHENE KOUADIO BAH</t>
  </si>
  <si>
    <t>RAB0000000116326</t>
  </si>
  <si>
    <t>DOUMBIA ROKIA YAKRO</t>
  </si>
  <si>
    <t>RAB0000000117195</t>
  </si>
  <si>
    <t>OUATTARA FOUSSENI YAKRO</t>
  </si>
  <si>
    <t>RAB0000000115045</t>
  </si>
  <si>
    <t>KOUASSI AMENAN ELISE EPOUSE OKA YAKRO</t>
  </si>
  <si>
    <t>RAB0000000116330</t>
  </si>
  <si>
    <t>NCHO ABOUA AARON CRISTIAN YAKRO</t>
  </si>
  <si>
    <t>RAB0000000117377</t>
  </si>
  <si>
    <t>KONATE SEKOU</t>
  </si>
  <si>
    <t>RAB0000000117096</t>
  </si>
  <si>
    <t>DRAME MARIAM</t>
  </si>
  <si>
    <t>RAB0000000115912</t>
  </si>
  <si>
    <t>KINDA ABDOUL DRAMANE YAKRO</t>
  </si>
  <si>
    <t>RAB0000000117675</t>
  </si>
  <si>
    <t>TOURE SALAMANE</t>
  </si>
  <si>
    <t>RAB0000000116160</t>
  </si>
  <si>
    <t>BROU KOUADIO YVES ROLAND</t>
  </si>
  <si>
    <t>RAB0000000112148</t>
  </si>
  <si>
    <t>KARAMBIRI SEIDOU</t>
  </si>
  <si>
    <t>RAB0000000114663</t>
  </si>
  <si>
    <t>AIDARA ALASSANE</t>
  </si>
  <si>
    <t>RAB0000000115382</t>
  </si>
  <si>
    <t>KOUASSI KOFFI</t>
  </si>
  <si>
    <t>RAB0000000116229</t>
  </si>
  <si>
    <t>KOUASSI NGUESSAN JULIEN YAKRO</t>
  </si>
  <si>
    <t>RAB0000000115958</t>
  </si>
  <si>
    <t>SONDO AZIZ YAKRO</t>
  </si>
  <si>
    <t>RAB0000000115571</t>
  </si>
  <si>
    <t>ALLA KOFFI KAN GUILLAUME YAKRO</t>
  </si>
  <si>
    <t>RAB0000000116709</t>
  </si>
  <si>
    <t>OUEDRAOGO AISSIATA YAKRO</t>
  </si>
  <si>
    <t>RAB0000000117028</t>
  </si>
  <si>
    <t>SOUMAHORO MOUSSA</t>
  </si>
  <si>
    <t>RAB0000000117023</t>
  </si>
  <si>
    <t>TOURE OUSMANE MATIE YAKRO</t>
  </si>
  <si>
    <t>Nbre de PCO</t>
  </si>
  <si>
    <t>Nbre de port</t>
  </si>
  <si>
    <t>OLT de Rattachement</t>
  </si>
  <si>
    <t>DON MELO</t>
  </si>
  <si>
    <t>ET 411</t>
  </si>
  <si>
    <t>Déjà Disponible</t>
  </si>
  <si>
    <t>MSC BINGERVILLE</t>
  </si>
  <si>
    <t>ET 319</t>
  </si>
  <si>
    <t xml:space="preserve">OLT DT           </t>
  </si>
  <si>
    <t>OLT DT                    ET 411</t>
  </si>
  <si>
    <t>MSC BINGERVILLE  OLT PARIS VILLAGE</t>
  </si>
  <si>
    <t xml:space="preserve">03 A prevoir </t>
  </si>
  <si>
    <t xml:space="preserve">01 A prevoir </t>
  </si>
  <si>
    <t xml:space="preserve">17 A prevoir </t>
  </si>
  <si>
    <t xml:space="preserve">02 A prevoir </t>
  </si>
  <si>
    <t>Statut des Ports</t>
  </si>
  <si>
    <t xml:space="preserve">  01-30/04/2024</t>
  </si>
  <si>
    <t>RAB0000000117230</t>
  </si>
  <si>
    <t>ABOA ABOA JACQUES</t>
  </si>
  <si>
    <t>RAB0000000117876</t>
  </si>
  <si>
    <t>ADIKPETO YELOYINSE KEVIN IGOR</t>
  </si>
  <si>
    <t>RAB0000000117806</t>
  </si>
  <si>
    <t>ASSOUA ATTIEN MARTHE</t>
  </si>
  <si>
    <t>RAB0000000117953</t>
  </si>
  <si>
    <t>BANGASSARO SANATA AYA COULIBALY</t>
  </si>
  <si>
    <t>RAB0000000117816</t>
  </si>
  <si>
    <t>DIALLO YVES ABOU</t>
  </si>
  <si>
    <t>RAB0000000118041</t>
  </si>
  <si>
    <t>ETTAWA DADIE JEAN-YVES CEDRIC</t>
  </si>
  <si>
    <t>RAB0000000118054</t>
  </si>
  <si>
    <t>FOFANA INZA</t>
  </si>
  <si>
    <t>RAB0000000117817</t>
  </si>
  <si>
    <t>GOLI DJORO YVES HERMANN</t>
  </si>
  <si>
    <t>RAB0000000118053</t>
  </si>
  <si>
    <t>KAH BELEH MARIE FRANCISCA</t>
  </si>
  <si>
    <t>RAB0000000117818</t>
  </si>
  <si>
    <t>KEBE YACOUBA</t>
  </si>
  <si>
    <t>RAB0000000117826</t>
  </si>
  <si>
    <t>KONATE ABOUBAKAR</t>
  </si>
  <si>
    <t>RAB0000000117265</t>
  </si>
  <si>
    <t>KONE EL HADJ VASSIRIKI</t>
  </si>
  <si>
    <t>RAB0000000117945</t>
  </si>
  <si>
    <t>KOUAKOU LORRAIN BERENGER</t>
  </si>
  <si>
    <t>RAB0000000118052</t>
  </si>
  <si>
    <t>KOUASSI KODOSSOU PIERRE MARIE KENNETH</t>
  </si>
  <si>
    <t>RAB0000000117809</t>
  </si>
  <si>
    <t>NANGUY APIE  LINE MARCELLE</t>
  </si>
  <si>
    <t>RAB0000000118034</t>
  </si>
  <si>
    <t>TOKPA ABEHONON PAMELA</t>
  </si>
  <si>
    <t>RAB0000000117977</t>
  </si>
  <si>
    <t>TROH MIYAGUI</t>
  </si>
  <si>
    <t>RAB0000000118079</t>
  </si>
  <si>
    <t>DINDANE ABDOU WAHAB</t>
  </si>
  <si>
    <t>RAB0000000118090</t>
  </si>
  <si>
    <t>TRE GAHOU SERGE PATRICK</t>
  </si>
  <si>
    <t>RAB0000000118089</t>
  </si>
  <si>
    <t>TOURE DJENEBA EPOUSE KONE</t>
  </si>
  <si>
    <t>RAB0000000118095</t>
  </si>
  <si>
    <t>KOFFI N DA DESIRE</t>
  </si>
  <si>
    <t>RAB0000000118124</t>
  </si>
  <si>
    <t>DJE LOU NAYE SANDY MELISSA MICHELLE</t>
  </si>
  <si>
    <t>RAB0000000117884</t>
  </si>
  <si>
    <t>DAO ABDOULAYE YAKRO</t>
  </si>
  <si>
    <t>RAB0000000114880</t>
  </si>
  <si>
    <t>ABDOUL AZIZE JALLOH</t>
  </si>
  <si>
    <t>RAB0000000117881</t>
  </si>
  <si>
    <t>ZAHID JABRAYILOV YAKRO</t>
  </si>
  <si>
    <t>RAB0000000118083</t>
  </si>
  <si>
    <t>BAMBA MOUSSA (BKE)</t>
  </si>
  <si>
    <t>RAB0000000118063</t>
  </si>
  <si>
    <t>N'GUESSAN ACHY CHO MARIE CHRISTELLE</t>
  </si>
  <si>
    <t>RAB0000000118087</t>
  </si>
  <si>
    <t>SEKONGO KATIENINFOWA</t>
  </si>
  <si>
    <t>ANADER 02</t>
  </si>
  <si>
    <t>resilier</t>
  </si>
  <si>
    <t>PCO, 019, BRIN 2 ( orange -14), Long 100m, 1 ANCIEN PB, 1 NOUVEAU PM .</t>
  </si>
  <si>
    <t>Coordonnées GPS PCO-040-350m, brin 1, 4 nvx PM (En attente du deploiement de zone)</t>
  </si>
  <si>
    <t>Le client est a 800m du PCO 077, Deploiement de nouveau PCO en cours</t>
  </si>
  <si>
    <t>Coordonnées GPS PCO-086-300m, N: 5.4055, W: -3.9616, brin 2, (Voir BE)</t>
  </si>
  <si>
    <t>Pas de pco dans la cité ,probléme syndic</t>
  </si>
  <si>
    <t>Client en deplacement, nous contactera a son arrivee</t>
  </si>
  <si>
    <t>PCO 003, 100m, brin 1</t>
  </si>
  <si>
    <t>PCO036 brin 7, 8 News Ptx et 9 anciens ptx ( 1 PB et 8 PM ) long câble 560m</t>
  </si>
  <si>
    <t>Resilier</t>
  </si>
  <si>
    <t>Coordonnées GPS PCO-004-250m, brin 1</t>
  </si>
  <si>
    <t>Coordonnées GPS PCO-001-200m, brin 1</t>
  </si>
  <si>
    <t>Coordonnées GPS PCO-047-250m, brin 2</t>
  </si>
  <si>
    <t>Bloqué par le syndic ,en attendant la reprise de refection de surface goudronnée</t>
  </si>
  <si>
    <t>PCO038 brin 2 » 5 new PM et 8 anciens PM long câble 450m (Le proprietaire de l'immeuble refuse l'implantation du PM pour raccorder la cliente)</t>
  </si>
  <si>
    <t>Injoignable pour effectuer son etude</t>
  </si>
  <si>
    <t>PCO 043, brin 1, 100m</t>
  </si>
  <si>
    <t>PCO 011, BRIN 1, LONG 100m, 2 ANCIENS PB.</t>
  </si>
  <si>
    <t>JDV 07 PCO 032(5.372929; -3,971817) long cable 250m (Blocage syndic)</t>
  </si>
  <si>
    <t>Coordonnées GPS PCO-060 -350m, brin 3 (Le client demande que le cable passe en souterain)</t>
  </si>
  <si>
    <t>SPL012 PCO 047(5.3624,-3.9720), brin 1, 100m, Implantation de 02 PM à faire</t>
  </si>
  <si>
    <t>,PCO025,BRIN8,5 ANCIENS PB,LONG CÂBLE :300m (En attente de son amenagement domicile)</t>
  </si>
  <si>
    <t>PCO076, BRIN 3 , 4 nouveaux PM , 7 anciens Poteaux, long câble : 500m</t>
  </si>
  <si>
    <t>numero incorrect</t>
  </si>
  <si>
    <t>Coordonnées GPS PCO-067-320m (Blocage voirie Travaux Public)</t>
  </si>
  <si>
    <t>JDV07 PCO 032 ( 5,3767 ;-3,9716) brin 3 ;1ancien PB et 2 nouveaux PM long cable 150 m ( Le syndic refuse les poteaux )</t>
  </si>
  <si>
    <t>Le client est a 300m du PCO 057, Deploiement de nouveau PCO en cours</t>
  </si>
  <si>
    <t>JDV 6 PCO 25(5,399710,3,960058), brin 4, 150m1 2 anciens PM (Le client a demenage, il nous contactera pour un nouveau survey)</t>
  </si>
  <si>
    <t>PCO 130, En attente d'activation HUB 05, Zone non deploiyer</t>
  </si>
  <si>
    <t>PCO 059 SATURÉ, desat a faire</t>
  </si>
  <si>
    <t>PCO 393, 100m, brin 1 (Plaque non deploieyer)</t>
  </si>
  <si>
    <t>Client a 700m du PCO le plus proche (PCO-079)</t>
  </si>
  <si>
    <t>PCO 070 En cours, SPL007 , 150m , brin 1</t>
  </si>
  <si>
    <t xml:space="preserve">Coordonnées GPS PCO-058-100m, N: 5.4207, W: -3.9683, </t>
  </si>
  <si>
    <t>PCO 089, 150m, 1 nvx PM, brin 1</t>
  </si>
  <si>
    <t>Contact éroné</t>
  </si>
  <si>
    <t>Le proprietaire demande a se que son batiment soit fibre, Deploiement de nouveau PCO en cours</t>
  </si>
  <si>
    <t>PCO 091, 1 NVX PM, 150m, brin 1</t>
  </si>
  <si>
    <t>Indisponible pour effectuer l'etude</t>
  </si>
  <si>
    <t>Coordonnées GPS PCO-062-150m, N: 5.4005, W: -3.9656, 1 nvx PM (Blocage syndic)</t>
  </si>
  <si>
    <t>Coordonnées GPS PCO-062-250m, 2 nvx PM</t>
  </si>
  <si>
    <t xml:space="preserve">Coordonnées GPS PCO-034-80m, N: 5.364132, W: -3.906728, </t>
  </si>
  <si>
    <t>Coordonnées GPS PCO-072-300m, 5 nvx PM (Demande OT)</t>
  </si>
  <si>
    <t>PCO 067 , BRIN 2 , LONG 600M , du client  desat a faire</t>
  </si>
  <si>
    <t>PCO 025( 5.3696,-3.9106) Cable 2FO 500m BLOQUAGE STATION EN ATTENTE DU COURIER MOOV</t>
  </si>
  <si>
    <t>Client ne décroche pas</t>
  </si>
  <si>
    <t>En attente retour syndic cité Eve, Ils disent qu'ils vont nous revenir</t>
  </si>
  <si>
    <t>Client en demenagement, nous conctactera</t>
  </si>
  <si>
    <t>PCO-014(N: 5.3747,W:-3.9330) -200m brin 2, Contact éroné</t>
  </si>
  <si>
    <t>Coordonnées GPS PCO-240- 280m (GPS HUB-BOX008
EN COURS) ABSENCE OLT, plalque non deployee</t>
  </si>
  <si>
    <t>PCO 085, 260m, 2 nvx PM, brin 1</t>
  </si>
  <si>
    <t>PCO 055, 250m, brin 1, 4 nvx PM</t>
  </si>
  <si>
    <t>Coordonnées GPS PCO-086-150m, 5.4055, W: -3.9616, brin 1,  (Voir BE)</t>
  </si>
  <si>
    <t>PCO 081, 370m, 4 nvx PM, brin 1</t>
  </si>
  <si>
    <t>PCO 074, BRIN 6 , long 500m, 10 NOUVEAUX PM, 7 ANCIENS PB (Le refuse l'implantation des poteaux dans la cite)</t>
  </si>
  <si>
    <t>Coordonnées GPS PCO-068-250m, brin 1, 2 nvx PM, 2 anciens PM, (L client est injoignable sur ses numero)</t>
  </si>
  <si>
    <t>PCO037,BRIN3,8NEW PB,2 ANCIENS POTEAUX, LONG CÂBLE :400m (Probleme de passage de cable dans les tuyaux orange, nous contactera lorsque son electricien reglera le probleme)</t>
  </si>
  <si>
    <t>PCO 072 En cours, SPL007, brin 1, 200m , 2 new poteaux</t>
  </si>
  <si>
    <t>Coordonnées GPS PCO-059-100m, 5.3640, -3.9029,TRAVAUX NON ENCORE REALISES</t>
  </si>
  <si>
    <t>Zone non fibre</t>
  </si>
  <si>
    <t>Coordonnées GPS PCO-002-150m, brin 1</t>
  </si>
  <si>
    <t>ACA04, PCO 046, brin 1, 1 new PM, 100m (Nouveau deploiement en attente de validation par MOOV)</t>
  </si>
  <si>
    <t>JDV 010 PCO 037 ( 5.3899,-3.9301), Long cable 230m, 5 nvx PM, brin 1</t>
  </si>
  <si>
    <t>Le syndic refuse l'installation de la fibre de la moov dans la cité voir AYMARD</t>
  </si>
  <si>
    <t>Blocage syndic</t>
  </si>
  <si>
    <t>Coordonnées GPS PCO-126-100m, brin 1, (Client est injoignable)</t>
  </si>
  <si>
    <t>PCO 106, 300m, 2 nvx PM, brin 1, TRAVAUX NON ENCORE REALISES</t>
  </si>
  <si>
    <t>PCO 0130 , 100m, brin 1, Zone non encore deploieyer</t>
  </si>
  <si>
    <t>PCO 092, 5 nvx PM, 400m, brin 2</t>
  </si>
  <si>
    <t>Le PCO le plus proche du client est a 800m, Deploiement de nouveau PCO en cours</t>
  </si>
  <si>
    <t>PCO-334, 100m, Brin 1 (Plaque en attentte de validation pour deploiement)</t>
  </si>
  <si>
    <t>numéro erroné</t>
  </si>
  <si>
    <t>PCO 016, 350m, 7 nvx PM, brin 5</t>
  </si>
  <si>
    <t>Coordonnées GPS PCO-068-250m, 4 nvx PM, brin 1</t>
  </si>
  <si>
    <t>PCO 049, 250m, brin 1</t>
  </si>
  <si>
    <t>Client dit avoir déménagé mais toujours interessé par la fibre ,voir BE</t>
  </si>
  <si>
    <t>PCO 012, 300m, 4 nvx PM, 1 ancien PM, brin 1</t>
  </si>
  <si>
    <t>PCO050,BRIN4,5 NEW PM,2 ANCIEN POTEAUX, LONG CÂBLE :450m</t>
  </si>
  <si>
    <t>Coordonnées GPS PCO-020-300m, brin 2, 2 nvx PM, 4 anciens PB, (Le magazin du client est ferme)</t>
  </si>
  <si>
    <t>Pas de PCO dans la cité Magnain , courier à deposer au syndic de la cité Magnain</t>
  </si>
  <si>
    <t>Coordonnées GPS PCO-052-150m, brin 1</t>
  </si>
  <si>
    <t>En attente d'implantation des poteaux beton par SIM GROUP pour la pose de pco, le syndic refuse que l'on implante les poteaux</t>
  </si>
  <si>
    <t>PCO 004, BRIN 1 ( Bleu), Long 150m, 1 ANCIEN PB, 2 NOUVEAUX PM .</t>
  </si>
  <si>
    <t>Nouveau deploiement Paris village CITé immobiliare 5/ LE SYNDIC NOUS DEMANDE D'UTILISER LES PM EXISTANT D'UN AUTRE OPERATEUR VOIR AYMARD</t>
  </si>
  <si>
    <t>Client à 900m du PCO le plus proche (PCO-016 sature) client en desat</t>
  </si>
  <si>
    <t>PCO 60, 7 anciens PB,long câble :600m,5 new PM (refuse les implantations de PM)</t>
  </si>
  <si>
    <t>Coordonnées GPS PCO084-250m, 1 nvx PM</t>
  </si>
  <si>
    <t>Coordonnées GPS PCO-097-100m , N: 5.3769, W: -3.9601, brin 1, (Le client dit qu'il demenage)</t>
  </si>
  <si>
    <t>PCO à poser dans la cité Magnan,problème de Syndic de la cité</t>
  </si>
  <si>
    <t>PCO 026 , 1 nvx PM, brin 1, 380m, 9 nvsx PM</t>
  </si>
  <si>
    <t>CLIENT TOUJOURS INJOIGNABLE SUR SES NUMEROS CONTACT ERONNE</t>
  </si>
  <si>
    <t>PCO 043, BRIN 3, Long 450m, 10 ANCIENS PB, 1 NOUVEAU PM. CLIENTE au RDC porte 3.</t>
  </si>
  <si>
    <t>TirageCâble 2FO 250 m; 1 Nvx PB a implanter/ PROBLEME SYNDIC</t>
  </si>
  <si>
    <t>Le client est injoignable</t>
  </si>
  <si>
    <t>PCO-334, 100m, Brin 2 (Plaque en attentte de validation pour deploiement)</t>
  </si>
  <si>
    <t>Coordonnées GPS PCO-068-210m, 3 nvx PM (Blocage syndic)</t>
  </si>
  <si>
    <t>Le PCO-099 est a 1km du client, desat a faire</t>
  </si>
  <si>
    <t>Coordonnées GPS PCO-345-100m, ABSENCE OLT, Zone non deploiyer</t>
  </si>
  <si>
    <t>PCO 009, BRIN 1 ( Bleu, - 15), Long 350m, 6 ANCIENS PB, 3 NEW PM</t>
  </si>
  <si>
    <t>PCO 093, 370m, brin 1</t>
  </si>
  <si>
    <t>HUB-014 PCO 429 ( 5,405337 ; -3,954317) brin 1 ;3anciens PM long cable 150m (Le client demande de poser un PCO dans son batiment mais le batiment est toujours en construction)</t>
  </si>
  <si>
    <t>JDV014 PCO60 (5,375101 ; -3,919504) brin 4 ; 6anciens PB et 4 nouveaux PM long cable 600m (Le syndic refuse l'implantation des PM dans la cite)</t>
  </si>
  <si>
    <t>Coordonnées GPS PCO-020-190m, brin 1, 4 nvx PM (Le syndic refuse l'implantation des PM)</t>
  </si>
  <si>
    <t>Coordonnées GPS PCO-068-80m, brin 1</t>
  </si>
  <si>
    <t>PCO 047, BRIN 2( Orange, - 18), Long 250m, 3 ANCIENS PM, 1 NOUVEAU PM. CLIENT au 2 ème Bloc 3eme étage au fond à droite.</t>
  </si>
  <si>
    <t>Coordonnées GPS PCO-078-150m (En voyage)</t>
  </si>
  <si>
    <t>PCO 130, 3 nvs PM, 150m, brin 1</t>
  </si>
  <si>
    <t>JDV006,PCO024(5.3662,-3.8784),brin4,6anciens poteaux,6nouveaux PB,long cable:450m BLOQUAGE SYNDIC( il nous exige d'utiliser les poteaux electriques existant )</t>
  </si>
  <si>
    <t>PCO 097, 400m, 2 nvx PM, brin 1</t>
  </si>
  <si>
    <t>Coordonnées GPS PCO-080-220m, brin 1</t>
  </si>
  <si>
    <t>Coordonnées GPS PCO-051-100m, brin 1</t>
  </si>
  <si>
    <t>Coordonnées GPS PCO-079-60m</t>
  </si>
  <si>
    <t>Coordonnées GPS PCO-044-150m (ATTENTE DU DEPLOIMENT HUB-BOX002)</t>
  </si>
  <si>
    <t>Coordonnées GPS PCO-010-90m, brin 1</t>
  </si>
  <si>
    <t>PCO 097 EN COURS DE SORTIR, BRIN 1, LONG 150M, 2 ANCIENS PB ET 1 NOUVEAU PM.</t>
  </si>
  <si>
    <t>JDV 10 PCO??? Brin 3, 4 anciens ptx ( 2 PB et 2 PM ) 4 new PM long câble 340m (Le syndic refuse l'implantations des PM)</t>
  </si>
  <si>
    <t>Coordonnées GPS PCO-031-450m, brin 1, 8 anciens PB (Le syndic refuse l'implantation des PM)</t>
  </si>
  <si>
    <t>Le PCO 054 est a 600m du client, Deploiement de nouveau PCO en cours</t>
  </si>
  <si>
    <t>Coordonnées GPS PCO-025-200m, brin 1, 3 nvx PM</t>
  </si>
  <si>
    <t>Coordonnées GPS PCO-064-80m, brin 1</t>
  </si>
  <si>
    <t>PCO 072, BRIN 8,  2 Nouveau PM, 1 Ancien PM</t>
  </si>
  <si>
    <t>Coordonnées GPS PCO-050-200m, N: 5.3586, W: -3.9706, EN ATTENTE IMPLANTATION PB</t>
  </si>
  <si>
    <t>PCO61, BRIN 6, 2 anciens PB, 150m (En voyage)</t>
  </si>
  <si>
    <t>CLIENT EN VOYAGE HORS DU PAYS ( Client ne décroche pas)</t>
  </si>
  <si>
    <t>PCO018 brin 1 , 1 ancien PB et 1 new PM long cable 150m (Le syndic refuse l'implantation du PM)</t>
  </si>
  <si>
    <t>PCO 010, BRIN 1 ( Bleu - 20), Long 100m, 1 ANCIEN PM, 1 NOUVEAU PM. Villa 147 où PaDa 95.</t>
  </si>
  <si>
    <t>En attente du retour du Syndic ,travaux de Genie civile à faire ,120m et 2 chambres L2T à construire</t>
  </si>
  <si>
    <t>HUB 9 PCO 260(5.4084, -3.9583), 5nvx PB, brin 2, 350m,</t>
  </si>
  <si>
    <t>Survey poteau beton à faire courier à deposer au Syndic de la cité</t>
  </si>
  <si>
    <t>Implantation 3 poteau béton, tirage 2FO sur 230m(PCO en cours) CITé immobiliare 5/ LE SYNDIC NOUS DEMANDE D'UTILISER LES PM EXISTANT D'UN AUTRE OPERATEUR voir AYMARD</t>
  </si>
  <si>
    <t>Le proprietaire exige le cablage de son batiment en FO, etude en cours</t>
  </si>
  <si>
    <t>Client indisponible</t>
  </si>
  <si>
    <t>CLIENT TOUJOURS INJOIGNABLE SUR SES NUMEROS</t>
  </si>
  <si>
    <t>Coordonnées GPS PCO-049-100m, brin 1</t>
  </si>
  <si>
    <t>Blocage par la voirie Y4</t>
  </si>
  <si>
    <t>1er numéro incorrect , 2 ème numéro injoignable</t>
  </si>
  <si>
    <t>Genie civile de 80m bloqué , travaux bloqué par les riverains ,en cours de negociation,nouveau courrier deposè le 22-02-2023, en attente du retour du syndic</t>
  </si>
  <si>
    <t>Nouveau courrier deposé au Syndic le 22-02-2023 ,en cours de negociation ,en attente du retour du Syndic</t>
  </si>
  <si>
    <t>PCO006 brin 2, 2 anciens PM et 5 new PM long cable 300m</t>
  </si>
  <si>
    <t>PCO 072 En cours, SPL007, brin 2, 250m , 3 new poteaux</t>
  </si>
  <si>
    <t>Coordonnées GPS PCO-073-500m, 10 nvx PB</t>
  </si>
  <si>
    <t>Coordonnées GPS PCO-001-200m, BRIN 1</t>
  </si>
  <si>
    <t>Coordonnées GPS PCO-87-300m, brin 1, 3 nvx PM,</t>
  </si>
  <si>
    <t>Client à 700m du PCO le plus proche (PCO-057), client en desat</t>
  </si>
  <si>
    <t>Coordonnées GPS PCO-050-80m, brin 1</t>
  </si>
  <si>
    <t>Coordonnées GPS PCO-008-100m, brin 1</t>
  </si>
  <si>
    <t>Coordonnées GPS PCO-061-80m, brin 1</t>
  </si>
  <si>
    <t>PCO 027, 100m, brin 1</t>
  </si>
  <si>
    <t>Client à 400m du PCO le plus proche (PCO-037 Saturé), client en desat</t>
  </si>
  <si>
    <t>Coordonnées GPS PCO-003-150m, brin 1, 2 nvx PM</t>
  </si>
  <si>
    <t>SPL007 PCO 079 (5.3734,-3.9550), brin 1, Long cable 150m, 2 nvx PM (Indisponible pour implanter ses PM pour installation)</t>
  </si>
  <si>
    <t>PCO 034, BRIN 4 ( Puissance Ok ✅ -16,75) 3 Ancien PTX( 2 PB, 1 PM ) 6 Nouveaux PM, 370m</t>
  </si>
  <si>
    <t>SPL003 PCO 054 ( 5.3540,-3.9545), Long cable 400, 9 nvx PB, brin 2 (BLOCAGE SYNDIC FAIRE UN COURRIER POUR LE DEPLOIEMENT D'UN RESEAU SOUTERAIN DANS LA CITE)</t>
  </si>
  <si>
    <t>PCO 048, 300m, 5 nvx PM, brin 1 (Voir BE)</t>
  </si>
  <si>
    <t>PCO 048, 300m, brin 2 (Voir BE)</t>
  </si>
  <si>
    <t>JDV 008 PCO 029 (5.3641,-3.9057) Long cable 200m, brin 2</t>
  </si>
  <si>
    <t>pco-013, brin 1, 150m, 2 new PM</t>
  </si>
  <si>
    <t>Coordonnées GPS PCO-067-300m, brin 1, 5 nvx PM</t>
  </si>
  <si>
    <t>Coordonnées GPS PCO-006-80m, brin 1</t>
  </si>
  <si>
    <t>Cite immobilar 5, impossible d'implanter des PM dans la cite</t>
  </si>
  <si>
    <t>Coordonnées GPS PCO-045-200m, brin 1</t>
  </si>
  <si>
    <t>Coordonnées GPS PCO-240- 280m (en attente du deploiement hub-box008)</t>
  </si>
  <si>
    <t>Coordonnées GPS PCO-001-80m, brin 1</t>
  </si>
  <si>
    <t>Tirage 24fo 450m, 7 poteaux bétons, 1 poteau métallique, 1fo 150m, syndic ne veut pas de nouveaux poteaux dans la cité, demande qu'on utilise les infrastructures orange voir avec AYMARD</t>
  </si>
  <si>
    <t>PCO 006 ,480m, 3 nvx PM, brin 6 (Le proprietaire de l'immeuble refuse toutes installations dans son immeuble)</t>
  </si>
  <si>
    <t>Le client est en demenagement, nous conctactera plus tars pour effectuer son etude</t>
  </si>
  <si>
    <t>PCO 105, 350m, 6 nvx PM, brin 1</t>
  </si>
  <si>
    <t>Nouvelle zone en deploiement</t>
  </si>
  <si>
    <t>Le client se trouve a 1100m du PCO 038 de FAYA</t>
  </si>
  <si>
    <t>, desat a faire</t>
  </si>
  <si>
    <t>PCO 053, 200m, brin 1</t>
  </si>
  <si>
    <t>PCO 30, 600m. 12 nvx PM, desat a faire</t>
  </si>
  <si>
    <t>PCO 20 SATURÉ, desat a faire</t>
  </si>
  <si>
    <t>PCO 099,brin 3, 1 new PM, 150m cable</t>
  </si>
  <si>
    <t>Coordonnées GPS PCO-001-250m, brin 1, 2 nvx PM</t>
  </si>
  <si>
    <t>Le client se trouve a 800m du PCO 08 de AKANDJE</t>
  </si>
  <si>
    <t>HUB 03 PCO 91(5.399554,-3.955766), brin 1, 150m1 2 anciens PB (En attente de l'autorisation du proprietaire pour faire le cablage de l'immeuble)</t>
  </si>
  <si>
    <t>JDV 10 PCO 37( 5.390056,-3.930105), brin 3, 5 nvx PM, 300m (Le syndict refuse les implantations des PM dans la cite)</t>
  </si>
  <si>
    <t>PCO026(5.3783 , -3.9656) ,Long cable 2FO :350 brin 2, (Le syndic refuse l'implantation des PM et PB dans la cite)</t>
  </si>
  <si>
    <t>PCO 093, BRIN 3 ((Vert), LONG 370m, 9 ANCIENS PTX ( 8 PB 1 PM). CLIENT à la 9eme porte à gauche.</t>
  </si>
  <si>
    <t>JDV3;PCO5(7.678633 /-5.05783),client eloigné du pco 5 ahougnanssou ,son installation neccessite 8 poteaux et 700 m de cable ( Ahg pco5),intéressé</t>
  </si>
  <si>
    <t>JDV3;PCO5(7.678633 /-5.05783);client eloigné du pco 5 ahougnanssou ,son installation neccessite 5 poteaux PJet 800 m de cable ( Ahg pco5),injoignable</t>
  </si>
  <si>
    <t xml:space="preserve"> OLT2/PON4 AC602 AHOUGNANSOU D01 ,Port10 ;JDV1;PC010(7.673-5.06347) ,implantation poteaux PJ2 et 800 m de cable preca,poteaux beton existant 12,poteaux pj existant0</t>
  </si>
  <si>
    <t>JDV3;PCO7( 7.662184 / -5.021378),client eloigné du pco 7 air France hotel éléphant 500m et 8 poteaux metalliques ( air France pco7),injoignable (Permision Moov)</t>
  </si>
  <si>
    <t>Client eloigné du pco OLT1 / PON1 / AC 601 Air France ,JDV1;PCO3(7.743251 /-5.037645) ,implantation poteaux PJ5 et 500 m de cable preca,poteaux beton existant3,poteaux pj existant0</t>
  </si>
  <si>
    <t>Client eloigné du pco OLT1 / PON1 / AC 601 Air France ,JDV3;PCO6(7.663885 / -5.020606) ,implantation poteaux PJ10 et 500 m de cable preca,poteaux beton existant3,poteaux pj existant0</t>
  </si>
  <si>
    <t>JVD1;PCO4( 7,68831:-05,05317) cable precab 300m,1FO 800m ,manchon 1,anciens poteaux12,Nouveaux poteaux a implanter 6,il est dans le besoin,interessé par la fibre optique</t>
  </si>
  <si>
    <t>OLT2/PON0 AC602 BROUKRO D1,port1,JDV1;PCO2(7.667467 /-5.044968) ,implantation poteaux PJ5 et 550 m de cable preca,poteaux beton existant3,pj existant 1</t>
  </si>
  <si>
    <t>OLT2/PON0 AC602 BROUKRO D1,JDV1;PCO18(7.74386 /-5.03518) ,implantation poteaux PJ8 et 900 m de cable preca,poteaux beton existant3,pj existant 0</t>
  </si>
  <si>
    <t>OLT2/PON9 AC602 BROUKRO1  D01, port1, JDV1 ;PC020(7.6735-5.04876),implantation poteaux PJ7 et 850m de cable preca,poteaux beton existant4 ,poteaux pj existant0</t>
  </si>
  <si>
    <t>OLT5/PON1 AC606 BROUKRO2  D01 ,Port ;JDV1 ;PC011(7.663312-5.044991) ,implantation poteaux PJ5 et 650 m de cable preca,poteaux beton existant4 ,poteaux pj existant0</t>
  </si>
  <si>
    <t>Le client est éloigné du PCO  OLT5/PON12 AC606 BROUKRO2  D04, port6 , JDV4 ;PC099(7.66497 -5.05669) ,implantation poteaux PJ12 et 1000 m de cable preca,poteaux beton existant8 ,poteaux pj existant0</t>
  </si>
  <si>
    <t>ZONE NON FIBREE OLT5/PON8 AC606 BROUKRO2  D03, port5 , JDV3 ;PC070(7.66409 -5.07434) ,implantation poteaux PJ5 et 500m de cable preca,poteaux beton existant3 ,poteaux pj existant0</t>
  </si>
  <si>
    <t>ZONE NON FIBREE OLT5/PON1 AC606 BROUKRO2  D01, port4 , JDV1 ;PC014(7.6546 -5.04443) ,implantation poteaux PJ6 et 500m de cable preca,poteaux beton existant4 ,poteaux pj existant0</t>
  </si>
  <si>
    <t>ZONE NON FIBREE OLT5/PON11 AC606 BROUKRO2  D03, port2, JDV3 ;PC094(7.67318 -5.06145),implantation poteaux PJ1 et 750m de cable preca,poteaux beton existant11 ,poteaux pj existant0</t>
  </si>
  <si>
    <t>JDV1;PCO3( 7.685336 /-5.058473);Campus pco3hors zone son installation nécessite 1100 m de cable ,10 poteaux , et un manchon T0 ( campus pco3), intéressé par la fibre optique</t>
  </si>
  <si>
    <t>OLT2 / PON0 / AC 602 BSC Bouake,JDV1;PCO14(7.665225 /-5.049133) ,implantation poteaux PJ4 et 500 m de cable preca,poteaux beton existant2,pj existant 0</t>
  </si>
  <si>
    <t>ZONE NON FIBREE OLT3/PON1 AC603 CATHEDRALE D01 ,Port4 ;JDV1;PC011(7.68914-5.02676),implantation poteaux PJ3 et 600m de cable preca,poteaux beton existant5 ,poteaux pj existant0</t>
  </si>
  <si>
    <t>JDV1;PCO2(7.67612 / -4.99761),Cable 1 FO 950 mClient eloigné du pco commerce pco2</t>
  </si>
  <si>
    <t>OLT2 / PON0 / AC 601 BSC Bouake,JDV1;PCO2(7.674476 /-5.027785) ,implantation poteaux PJ12 et 1500 m de cable preca,poteaux beton existant1,pj existant 0</t>
  </si>
  <si>
    <t>OLT2 / PON0 / AC 601 BSC Bouake,JDV1;PCO1(7.674476 /-5.027785) ,implantation poteaux PJ5 et 900 m de cable preca,poteaux beton existant6,pj existant 0</t>
  </si>
  <si>
    <t>OLT2/PON0 AC603 DARESALAM D2,JDV2;PCO30(7.736398 /-5.058401) ,implantation poteaux PJ8 et 1100 m de cable preca,poteaux beton existant3,pj existant 0</t>
  </si>
  <si>
    <t>OLT3/PON0 AC603 DARESALAM D1,JDV1;PCO6(7.729805 /-5.038813) ,implantation poteaux PJ5 et 1000 m de cable preca,poteaux beton existant8,pj existant 0</t>
  </si>
  <si>
    <t>OLT2/PON8 AC603 DARESALAM D2, port ,JDV2;PCO62(7.735397 /-5.054888) ,implantation poteaux PJ13 et 1200 m de cable preca,poteaux beton exixtant2,pj existant 0</t>
  </si>
  <si>
    <t>OLT3/PON8 AC603 DARESALAM D2, port ,JDV2;PCO62(7.735352/-5.054995) ,implantation poteaux PJ10 et 1000 m de cable preca,poteaux beton existant2,pj existant 0</t>
  </si>
  <si>
    <t>OLT3/PON8 AC603 DARESALAM D02,JDV2, port4 ;PCO62(7.73/-5.04498) ,implantation poteaux PJ6 et 800 m de cable preca,poteaux beton existant2,pj existant 0</t>
  </si>
  <si>
    <t>ZONE NON FIBREE OLT3/PON8 AC603 DARESALAM D02,JDV2, port5 ;PCO62(7.73178/-5.05215) ,implantation poteaux PJ4 et 850m de cable preca,poteaux beton existant14,pj existant0</t>
  </si>
  <si>
    <t>ZONE NON FIBREE OLT3/PON1 AC603 DARESALAM D01,JDV1, port8 ;PCO6(7.72964/-5.04665),implantation poteaux PJ1 et 850m de cable preca,poteaux beton existant12,pj existant0</t>
  </si>
  <si>
    <t>OLT1 / PON0 / AC 601 Air France ,JDV3;PCO8(7.67536 /-5.00002) ,implantation poteaux PJ5 et 650 m de cable preca,poteaux beton existant5,pj existant0</t>
  </si>
  <si>
    <t>OLT1 / PON0 / AC 601 Air France ,JDV3;PCO8(7.67536 /-5.00002) ,implantation poteaux PJ6 et 750 m de cable preca,poteaux beton existant5,pj existant0</t>
  </si>
  <si>
    <t>LE CLIENT COMPTE DEMENAGER DONC ILS NOUS CONTACTERA</t>
  </si>
  <si>
    <t>OLT4/PON0 AC610 Maroc D2,JDV1;PC022(7.745565 -5.039542) ,implantation poteaux PJ5 et 800 m de cable preca,poteaux beton existant5,poteaux pj existant1</t>
  </si>
  <si>
    <t>LE client est éloigné du PCO OLT4/PON6 AC610 Maroc D02, port5, JDV2 ;PC023(7.735894 -5.032412) ,implantation poteaux PJ10 et 1000 m de cable preca,poteaux beton existant1 ,poteaux pj existant0</t>
  </si>
  <si>
    <t>LE client est éloigné du PCO OLT4/PON6 AC610 Maroc D02, port8, JDV2 ;PC022(7.73482 -5.03765),implantation poteaux PJ7 et 800m de cable preca,poteaux beton existant8 ,poteaux pj existant0</t>
  </si>
  <si>
    <t>LE PCO8 EN COURS DE DESATURATION OLT5/PON0 AC606 BROUKRO2  D01, port saturé , JDV1 ;PC08(7.67775 -4.99828) ,implantation poteaux PJ1 et 750m de cable preca,poteaux beton existant8 ,poteaux pj existant0</t>
  </si>
  <si>
    <t>LE client est éloigné du PCO OLT4/PON4 AC610 Maroc D02, port1, JDV2 ;PC04(7.74065 -5.03382),implantation poteaux PJ12 et 1700m de cable preca,poteaux beton existant6 ,poteaux pj existant0</t>
  </si>
  <si>
    <t>ZONE NON FIBREE OLT4/PON4 AC610 Maroc D02, port2, JDV2 ;PCO4(7.73787 -5.03279),implantation poteaux PJ8 et 850m de cable preca,poteaux beton existant6 ,poteaux pj existant0</t>
  </si>
  <si>
    <t>LE CLIENT NOUS FAIT SAVOIR QU IL N A PAS FAIT UNE DEMANDE DE DEUXIEME LIGNE MAIS PLUTÔT UNE DEMANDE OLT4/PON10 AC610 Maroc D02, port7, JDV2 ;PC020(7.73964 -5.04223),implantation poteaux PJ0 et 300m de cable preca,poteaux beton existant4 ,poteaux pj existant0</t>
  </si>
  <si>
    <t>ZONE NON FIBREE OLT4/PON12 AC610 Maroc D04, port3, JDV4 ;PC05(7.74255 -5.05005),implantation poteaux PJ8 et 850m de cable preca,poteaux beton existant7 ,poteaux pj existant0</t>
  </si>
  <si>
    <t>Client eloigné du pco OLT4/PON13 AC610 Maroc D04, port, JDV4 ;PC012(7.74655 -5.05142) ,implantation poteaux PJ8 et 670 m de cable preca,poteaux beton existant4 ,poteaux pj existant0</t>
  </si>
  <si>
    <t>Client eloigné du pco OLT4/PON13 AC610 Maroc D04, port, JDV4 ;PC012(7.74678 -5.05134) ,implantation poteaux PJ7 et 500 m de cable preca,poteaux beton existant4 ,poteaux pj existant0</t>
  </si>
  <si>
    <t>OLT1/PON AC124 DOULABOUGOU ,D1;Port7,JDV1;PCO15( 6.81066/'-5.27677)1FO preca 950m,poteaux beton existant2 ; Implantation de PJ10 et PJ existant0</t>
  </si>
  <si>
    <t>ZONE NON FIBRE EOLT1/PON15 AC124 DOULABOUGOU ; Port ;D01 ,JDV1 ;PCO16( 6.80982/-5.26604)1FO preca 450m,poteaux beton existant4 ; Implantation de PJ0 et PJ existant0</t>
  </si>
  <si>
    <t>OLT1/PON AC121 HABITAT ;Port2 ,D02 ,JDV2 ;PC042( 6.82273/'-5.27697)1FO preca 200m,poteaux beton existant1 ;Implantation de PJ3 et PJ existant0</t>
  </si>
  <si>
    <t>OLT1/PON0 AC124 KOKRENOU ;Port,D02,JDV2;PC054(  6.7896/' -5.26093)1FO preca 950m,poteaux beton existant5;Implantation de PJ12</t>
  </si>
  <si>
    <t>ZONE NON FIBREE OLT1/PON AC124 KOKRENOU D03, JDV3, port6, PCO82(6.77414/' -5.26392) 1FO preca 600m,poteaux beton existant4,Implantation de PJ0 et PJ existant0;Implantation PB7</t>
  </si>
  <si>
    <t>ZONE NON FIBREE OLT1/PON10 AC124 KOKRNOU ; Port2;D02 ,JDV2 ;PCO39(6.81991/-5.26465)1FO preca 600m,poteaux beton existant5 ; Implantation de PJ2 et PJ existant0 ;Implantation 5 PB</t>
  </si>
  <si>
    <t>ZONE NON FIBREE OLT1/PON4 AC124 KOKRENOU ;Port8,D02,JDV2;PC038(  6.78414/' -5.2597)1FO preca 650m,poteaux beton existant5;Implantation de PJ0 et PJ existant0; POSE DE TO1</t>
  </si>
  <si>
    <t xml:space="preserve"> OLT1/PON4 AC124 KOKRENOU ;Portsaturé,D02,JDV2;PC037(  6.78723/' -5.25901)1FO preca 600m,poteaux beton existant5 ;Implantation de PJ0 et PJ existant0</t>
  </si>
  <si>
    <t>ZONE NON FIBREE OLT1/PON4 AC125 KOKRENOU2 ;Port,D02,JDV2;PC038(  6.76959/' -5.27999)1FO preca 650m,poteaux beton existant8;Implantation de PJ2 et PJ existant0</t>
  </si>
  <si>
    <t>OLT1/PON5 AC129 220logements ;Port2,D02,JDV2; PC041( 6.82227/'-5.25675)1FO preca 200m,poteaux beton existant3,Implantation de PJ0 et PJ existant0</t>
  </si>
  <si>
    <t>DESATURATION DU PCO9 EN COUROLT1/PON13 AC124 DOULABOUGOU ,DO1 ;Port saturé ,JDV1 ;PCO9( 6.80725/'-5.27476)1FO preca 250m,poteaux beton existant3 ; Implantation de PJ1 et PJ existant1</t>
  </si>
  <si>
    <t>DESATURATION DU PCO2 EN COUR OLT1/PON12 AC124 DOULABOUGOU ,DO1 ;Port saturé ,JDV1 ;PCO2(6.8048/'-5.2688)1FO preca 250m,poteaux beton existant0 ; Implantation de PJ0 et PJ existant0</t>
  </si>
  <si>
    <t>DESATURATION DU PCO2 EN COUR OLT1/PON12 AC124 DOULABOUGOU ,DO1 ;Port saturé ,JDV1 ;PCO2(6.8055/'-5.2702)1FO preca 200m,poteaux beton existant0 ; Implantation de PJ0 et PJ existant0</t>
  </si>
  <si>
    <t>DESATURATION DU PCO3 EN COUR OLT1/PON0 AC124 DOULABOUGOU ;Port Saturé,D01,JDV1;PC03(6.80488/'-5.26741)1FO preca 150m,poteaux beton existant1;Implantation de PJ1 et PJ existant0</t>
  </si>
  <si>
    <t>OLT1/PON5 AC129 220logements ;Port3,D02,JDV2; PC041( 6.82227/'-5.25675)1FO preca 210m,poteaux beton existant3,Implantation de PJ0 et PJ existant0</t>
  </si>
  <si>
    <t>ZONE NON FIBREE OLT1/PON2 AC129 220logements ;Port4,D02,JDV2; PC022( 6.82227/'-5.25675)1FO preca 1500m,poteaux beton existant3,Implantation de PJ0 et PJ existant0; ;Implantation 25 PB ;POSE DE TO3</t>
  </si>
  <si>
    <t>OLT1/PON0 AC129 220logements ;Port1,D03,JDV3; PC082(6.82078/'-5.26125)1FO preca 200m,poteaux beton existant2,Implantation de PJ1 et PJ existant0</t>
  </si>
  <si>
    <t>OLT1/PON AC120 MOROFE ,D04;Port1,JDV4;PCO10( 6.85247/'-5.28791)1FO preca 100m,poteaux beton existant0;Implantation de PJ0 et PJ existant0</t>
  </si>
  <si>
    <t>OLT3/PON8 AC603 DARESALAM ,Port, JDV1;PC062(7.72532-5.04062) ,implantation poteaux PJ8 et 1800 m de cable preca,poteaux beton existant10,poteaux pj existant0</t>
  </si>
  <si>
    <t xml:space="preserve">le client signal qu'il n'a pas fait cette deuxieme demande de ligne </t>
  </si>
  <si>
    <t>Le clien dit qu'il n'a pas fait de demande de transfert de ligne</t>
  </si>
  <si>
    <t>LE CLIENT NOUS FAIT SAVOIR QU IL  A RESIGNE SON CONTRAT D ABONNEMENT</t>
  </si>
  <si>
    <t>DESATURATION DU PCO2 EN COUR OLT1/PON12 AC124 DOULABOUGOU ; Port saturé;D01 ,JDV1 ;PCO2( 6.80554/-5.26911)1FO preca 250m,poteaux beton existant3 ; Implantation de PJ1 et PJ existant0</t>
  </si>
  <si>
    <t>DESATURATION DU PCO18 EN COUR OLT1/PON14 AC124 DOULABOUGOU ; Port saturé;D01 ,JDV1 ;PCO18( 6.8052/-5.26546)1FO preca 200m,poteaux beton existant2 ; Implantation de PJ2 et PJ existant2</t>
  </si>
  <si>
    <t xml:space="preserve"> OLT1/PON12 AC124 DOULABOUGOU ; Port saturé;D01 ,JDV1 ;PCO12( 6.80535/-5.2729)1FO preca 250m,poteaux beton existant4 ; Implantation de PJ0 et PJ existant0</t>
  </si>
  <si>
    <t>OLT1/PON13 AC125 DOULABOUGOU2 ; Portsaturé;D01 ,JDV1 ;PCO9(6.8077/-5.27544)1FO preca 300m,poteaux beton existant5 ; Implantation de PJ0 et PJ existant0</t>
  </si>
  <si>
    <t>LE CLIENT RESIDE A SAN-PEDRO</t>
  </si>
  <si>
    <t>OLT1/PON13 AC124 DIOULABOUGOU ;Port8,D01,JDV1;PC013(6.81155/'-5.2725)1FO preca 500m,poteaux beton existant6;Implantation de PJ2 et PJ existant1 ; POSE DE TO1</t>
  </si>
  <si>
    <t>LE CLIENT EST HORS ZONE</t>
  </si>
  <si>
    <t>LE CLIENT NOUS FAIT SAVOIR QU IL  A DEDJA UNE LIGNE</t>
  </si>
  <si>
    <t>OLT1/PON12 AC125 DOULABOUGOU2 ;PortSaturé,D01,JDV1;PCO2(6.80392/'-5.26911)1FO preca 500m,poteaux beton existant4;Implantation de PJ1, et PJ existant4;Implantation 1 PB ; POSE DE TO1</t>
  </si>
  <si>
    <t>LE CLIENT EST INJOIGNABLE</t>
  </si>
  <si>
    <t>Le client en deplacement demande de patienter jusqu’à son retour pour son etude</t>
  </si>
  <si>
    <t>LE CLIENT NOUS DEMANDE DE PATIENTER PARCEQUE SON LOCAL N'EST PAS ENCORE PRÊT</t>
  </si>
  <si>
    <t>LE CLIENT RESIDE A ABIDJAN COCODY DERRIERE LA FONDATION PATHEO</t>
  </si>
  <si>
    <t>LE CLIENT NOUS FAIT SAVOIR QU IL  A DEJA UNE LIGNE</t>
  </si>
  <si>
    <t>OLT1/PON12 AC125 DOULABOUGOU2 ; Port3;D01 ,JDV1 ;PCO6(6.79651/-5.27662)1FO preca 450m,poteaux beton existant4 ; Implantation de PJ3 et PJ existant3 ; POSE DE TO1</t>
  </si>
  <si>
    <t>OLT1/PON13 AC125 DOULABOUGOU2 ; Port2;D01 ,JDV1 ;PCO12(6.82248/-5.28689)1FO preca 550m,poteaux beton existant8 ; Implantation de PJ2 et PJ existant0; POSE DE TO1</t>
  </si>
  <si>
    <t>DESATURATION DU PCO2 EN COUR  OLT1/PON1 AC124 KOKRENOU ;Port saturé,D01,JDV1;PCO2(6.788280/' -5.262490)1FO preca 200m,poteaux beton existant2 ;Implantation de PJ2.PJ existant 0</t>
  </si>
  <si>
    <t>OLT1/PON4 AC124 KOKRENOU ;PortSaturé,D02,JDV2;PC040(6.7866/'-5.25886)1FO preca 250m,poteaux beton existant2;Implantation de PJ2 et PJ existant0</t>
  </si>
  <si>
    <t>OLT1/PON4 AC124 KOKRENOU ;PortSaturé,D02,JDV2;PC040(6.7866/'-5.25886)1FO preca 100m,poteaux beton existant1;Implantation de PJ0 et PJ existant0</t>
  </si>
  <si>
    <t xml:space="preserve">OLT1/PON7 AC124 KOKRNOU ; Port4;D02 ,JDV2 ;PCO64(6.78425/-5.2692)1FO preca 200m,poteaux beton existant2 ; Implantation de PJ0 et PJ existant0 </t>
  </si>
  <si>
    <t>OLT1/PON10 AC124 KOKRENOU ;Port2,D03,JDV3;PC086(6.77261/'-5.26898)1FO preca 550m,poteaux beton existant5;Implantation de PJ2 et PJ existant4; POSE DE TO1</t>
  </si>
  <si>
    <t>OLT1/PON10 AC124 KOKRNOU ; Port5;D03 ,JDV3 ;PCO81(6.78832/-5.26925)1FO preca 300m,poteaux beton existant2 ; Implantation de PJ4 et PJ existant0 ;Implantation 1 PB</t>
  </si>
  <si>
    <t>OLT1/PON7 AC125 KOKRENOU2 ;Port2,D02,JDV2;PC063(6.76641/'-5.27303)1FO preca 350m,poteaux beton existant4;Implantation de PJ3 et PJ existant0</t>
  </si>
  <si>
    <t>OLT1/PON3 AC125 KOKRENOU2 ;Port1,D01,JDV1;PC030(6.79694/'-5.27349)1FO preca 400m,poteaux beton existant7;Implantation de PJ1 et PJ existant0; POSE DE TO1</t>
  </si>
  <si>
    <t>OLT1/PON0 AC120 MOROFE ,D04;Port7,JDV4;PCO6(6.83898/'-5.2895)1FO preca 500m,poteaux beton existant8 ;Implantation de PJ0 et PJ existant0</t>
  </si>
  <si>
    <t>OLT1/PON0 AC120 MOROFE ,D04;Port4,JDV4;PCO8(6.83438/'-5.29735)1FO preca 400m,poteaux beton existant2 ;Implantation de PJ1 et PJ existant0 ;Implantation 4 PB</t>
  </si>
  <si>
    <t>BOLY LANDRY</t>
  </si>
  <si>
    <t>PARAISO OLIVIER</t>
  </si>
  <si>
    <t>BOLY</t>
  </si>
  <si>
    <t>ORE FULGENCE</t>
  </si>
  <si>
    <t>Etude à réaliser LE 30/04/2024</t>
  </si>
  <si>
    <t xml:space="preserve"> 01-30/04/2024   01-02/05/2024</t>
  </si>
  <si>
    <t xml:space="preserve"> 01-30/04/2024  </t>
  </si>
  <si>
    <t xml:space="preserve"> 09-30/04/2024  </t>
  </si>
  <si>
    <t xml:space="preserve"> 10-30/04/2024   </t>
  </si>
  <si>
    <t xml:space="preserve"> 04-30/04/2024   02-02/05/2024</t>
  </si>
  <si>
    <t xml:space="preserve">   01-02/05/2024 </t>
  </si>
  <si>
    <t xml:space="preserve"> 05 Déjà Disponible</t>
  </si>
  <si>
    <t>10 Déjà Disponible</t>
  </si>
  <si>
    <t>RAB0000000118262</t>
  </si>
  <si>
    <t>ADOU KOUACOU STEPHANE</t>
  </si>
  <si>
    <t>RAB0000000118276</t>
  </si>
  <si>
    <t>KOUDOU DADIET ALAIN ROGER</t>
  </si>
  <si>
    <t>RAB0000000118249</t>
  </si>
  <si>
    <t>OUATTARA ADAMA</t>
  </si>
  <si>
    <t>RAB0000000118198</t>
  </si>
  <si>
    <t>ADJE GOA EMMANUEL</t>
  </si>
  <si>
    <t>RAB0000000118186</t>
  </si>
  <si>
    <t>DOUMBIA BRAHIMA</t>
  </si>
  <si>
    <t>RAB0000000118187</t>
  </si>
  <si>
    <t>FOFANA BRAHIMA</t>
  </si>
  <si>
    <t>RAB0000000118168</t>
  </si>
  <si>
    <t>GBAHI KOUDOU EUGENE NASSER</t>
  </si>
  <si>
    <t>RAB0000000118192</t>
  </si>
  <si>
    <t>GUINA BOA ALEXANDRE</t>
  </si>
  <si>
    <t>RAB0000000118197</t>
  </si>
  <si>
    <t>ILAKO HAN-MYO DAVID</t>
  </si>
  <si>
    <t>RAB0000000118200</t>
  </si>
  <si>
    <t>KOUASSI KOUAKOU MODESTE</t>
  </si>
  <si>
    <t>RAB0000000118273</t>
  </si>
  <si>
    <t>AHOURE YOLANDE</t>
  </si>
  <si>
    <t>RAB0000000118270</t>
  </si>
  <si>
    <t>LE BI NAGONE</t>
  </si>
  <si>
    <t>RAB0000000118269</t>
  </si>
  <si>
    <t>MONHON ANGE MARIE CHRISTELLE</t>
  </si>
  <si>
    <t>RAB0000000118158</t>
  </si>
  <si>
    <t>DESIREE ESTELLE KOUAKOU EPOUSE KOUADIO</t>
  </si>
  <si>
    <t>RAB0000000118264</t>
  </si>
  <si>
    <t>BEM ABIDJAN</t>
  </si>
  <si>
    <t>RAB0000000118205</t>
  </si>
  <si>
    <t>AMOIKON FRANCK ANDRE</t>
  </si>
  <si>
    <t>RAB0000000118148</t>
  </si>
  <si>
    <t>SANAGO SYNALI YAKRO</t>
  </si>
  <si>
    <t>RAB0000000118160</t>
  </si>
  <si>
    <t>EBY OI EBY EMMANUEL</t>
  </si>
  <si>
    <t>RAB0000000118157</t>
  </si>
  <si>
    <t>KONAN ADJOUA CATHERINE YAKRO</t>
  </si>
  <si>
    <t>RAB0000000118150</t>
  </si>
  <si>
    <t>FOFANA ALASSANE YAKRO</t>
  </si>
  <si>
    <t>RAB0000000118151</t>
  </si>
  <si>
    <t>NGUESSAN LEON MARTIN YAKRO</t>
  </si>
  <si>
    <t>ARCADES</t>
  </si>
  <si>
    <t>A definir</t>
  </si>
  <si>
    <t>Batiment a fibre</t>
  </si>
  <si>
    <t>EN attente de l'autorisatisation du bailleur</t>
  </si>
  <si>
    <t>PCO 038, BRIN 8( noir), Long 300m, 6 ANCIENS PTX ( 5 PM et 1 PM) . CLIENTE au 1er étage au milieu.</t>
  </si>
  <si>
    <t>PCO 058, 400m, brin 8, Sature, desat a faire</t>
  </si>
  <si>
    <t>Client a 550m du PC0-052</t>
  </si>
  <si>
    <t>cLient a 600m du PCO-038</t>
  </si>
  <si>
    <t>PCO-025, brin 1, 100m</t>
  </si>
  <si>
    <t>PCO 076, Sature, desat a faire</t>
  </si>
  <si>
    <t>PCO 052, BRIN 3 ( vert), Long 300m, 8 ANCIENS PM, 1 NOUVEAU PM.</t>
  </si>
  <si>
    <t>PCO 075, BRIN 4,( Marron), Long 280m, 6 ANCIENS PTX ( 3 PM ET 3 PB) , 1 NOUVEAU PM.</t>
  </si>
  <si>
    <t>OLT2/PON AC602 AHOUGNANSSOU D01, portsatué, JDV1 ;PC0(7.67733-5.0548),implantation poteaux PJ et m de cable preca,poteaux beton existant ,poteaux pj existant</t>
  </si>
  <si>
    <t>Etude à réaliser LE 05/05/2024</t>
  </si>
  <si>
    <t xml:space="preserve"> 02-06/05/2024 </t>
  </si>
  <si>
    <t xml:space="preserve"> 04-06/05/2024   01-07/05/2024</t>
  </si>
  <si>
    <t xml:space="preserve"> 02-06/05/2024   02-07/05/2024    01-08/05/2024</t>
  </si>
  <si>
    <t xml:space="preserve">  01-06/05/2024</t>
  </si>
  <si>
    <t xml:space="preserve"> 01-06/05/2024     06-07/05/2024  </t>
  </si>
  <si>
    <t xml:space="preserve">  02-07/05/2024</t>
  </si>
  <si>
    <t xml:space="preserve"> 02-06/05/2024   04-07/05/2024</t>
  </si>
  <si>
    <t xml:space="preserve"> 02-07/05/2024     03-08/05/2024  </t>
  </si>
  <si>
    <t xml:space="preserve"> 01-06/05/2024     01-07/05/2024  </t>
  </si>
  <si>
    <t xml:space="preserve"> 02-06/05/2024   01-07/05/2024</t>
  </si>
  <si>
    <t xml:space="preserve"> 06-06/05/2024  </t>
  </si>
  <si>
    <t xml:space="preserve"> 02-06/05/2024  </t>
  </si>
  <si>
    <t xml:space="preserve"> 03-06/05/2024  </t>
  </si>
  <si>
    <t>48 06/05/2024   28- 07/05/2024   09- 08/05/2024</t>
  </si>
  <si>
    <t xml:space="preserve">01-07/05/2024      02-08/05/2024          01-10/05/2024                </t>
  </si>
  <si>
    <t xml:space="preserve">01-11/05/2024   </t>
  </si>
  <si>
    <t xml:space="preserve"> 03-10/05/2024        01-13/05/2024                                            </t>
  </si>
  <si>
    <r>
      <t xml:space="preserve"> 02-07/05/2024      01-08/05/2024      10-09/05/2024         07-13/05/2024   </t>
    </r>
    <r>
      <rPr>
        <b/>
        <sz val="11"/>
        <color rgb="FFFF0000"/>
        <rFont val="Calibri"/>
        <family val="2"/>
        <scheme val="minor"/>
      </rPr>
      <t xml:space="preserve"> </t>
    </r>
  </si>
  <si>
    <r>
      <t xml:space="preserve"> 01-07/05/2024      02-09/05/2024      01-10/05/2024          </t>
    </r>
    <r>
      <rPr>
        <b/>
        <sz val="11"/>
        <color rgb="FFFF0000"/>
        <rFont val="Calibri"/>
        <family val="2"/>
        <scheme val="minor"/>
      </rPr>
      <t xml:space="preserve"> </t>
    </r>
  </si>
  <si>
    <t xml:space="preserve"> 01-09/05/2024  </t>
  </si>
  <si>
    <r>
      <t xml:space="preserve"> 01-09/05/2024      01-10/05/2024               </t>
    </r>
    <r>
      <rPr>
        <b/>
        <sz val="11"/>
        <color rgb="FFFF0000"/>
        <rFont val="Calibri"/>
        <family val="2"/>
        <scheme val="minor"/>
      </rPr>
      <t xml:space="preserve"> </t>
    </r>
  </si>
  <si>
    <r>
      <t xml:space="preserve"> 01-07/05/2024      01-08/05/2024      03-10/05/2024        </t>
    </r>
    <r>
      <rPr>
        <sz val="11"/>
        <rFont val="Calibri"/>
        <family val="2"/>
        <scheme val="minor"/>
      </rPr>
      <t xml:space="preserve">   01-10/05/2024   </t>
    </r>
  </si>
  <si>
    <r>
      <t xml:space="preserve"> 01-07/05/2024      05-08/05/2024      01-10/05/2024          </t>
    </r>
    <r>
      <rPr>
        <b/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02-11/05/2024</t>
    </r>
  </si>
  <si>
    <t>06 07/05/2024   09- 08/05/2024   14- 09/05/2024    17- 10/05/2024     05- 11/05/2024</t>
  </si>
  <si>
    <t>RAB0000000118422</t>
  </si>
  <si>
    <t>ADELEKE ASSETOU KARINE MAURENE</t>
  </si>
  <si>
    <t>RAB0000000118398</t>
  </si>
  <si>
    <t>ALASSANE KEITA</t>
  </si>
  <si>
    <t>RAB0000000118404</t>
  </si>
  <si>
    <t>ATSE N'CHO JEAN-NOEL</t>
  </si>
  <si>
    <t>RAB0000000118390</t>
  </si>
  <si>
    <t>DIABI YAHAYA IBRAHIM KHALIL</t>
  </si>
  <si>
    <t>RAB0000000118337</t>
  </si>
  <si>
    <t>N'DRI KOFFI KAN PRIVAT</t>
  </si>
  <si>
    <t>RAB0000000118316</t>
  </si>
  <si>
    <t>INAGO GOSSY EDWIGE-DANIELLE</t>
  </si>
  <si>
    <t>RAB0000000118389</t>
  </si>
  <si>
    <t>ABOYA NARCISSE</t>
  </si>
  <si>
    <t>RAB0000000118442</t>
  </si>
  <si>
    <t>SIDAI SYLLA ASSITA</t>
  </si>
  <si>
    <t>RAB0000000118362</t>
  </si>
  <si>
    <t>ZADI DAHI MICHEL</t>
  </si>
  <si>
    <t>RAB0000000118394</t>
  </si>
  <si>
    <t>DIMI LIGUE MARIANO</t>
  </si>
  <si>
    <t>RAB0000000118073</t>
  </si>
  <si>
    <t>KOFFI KAN JACQUELIN</t>
  </si>
  <si>
    <t>RAB0000000011853</t>
  </si>
  <si>
    <t>KOUAME BI GOHORE STEPHANE-MARCEL</t>
  </si>
  <si>
    <t>RAB0000000118194</t>
  </si>
  <si>
    <t>KOUAKOU KOUASSI DENIS</t>
  </si>
  <si>
    <t>RAB0000000118420</t>
  </si>
  <si>
    <t>OUATTARA FOUNGOYEBI KOROTOUM</t>
  </si>
  <si>
    <t>RAB0000000118434</t>
  </si>
  <si>
    <t>KOUASSI ADJOUA MARCELLE</t>
  </si>
  <si>
    <t>RAB0000000118433</t>
  </si>
  <si>
    <t>MARIE DEBLESS BELLE PATIENCE BETE</t>
  </si>
  <si>
    <t>RAB0000000118494</t>
  </si>
  <si>
    <t>MEMEL MEMEL BOANERGES DE CHRIST</t>
  </si>
  <si>
    <t>RAB0000000118388</t>
  </si>
  <si>
    <t>BRONI EPOUSE DOUE ABENAN KIRAA OLGA</t>
  </si>
  <si>
    <t>RAB0000000118396</t>
  </si>
  <si>
    <t>PONGATHIE ADAMA SANOGO</t>
  </si>
  <si>
    <t>RAB0000000118417</t>
  </si>
  <si>
    <t>SAMBA GUY ROGER</t>
  </si>
  <si>
    <t>RAB0000000118365</t>
  </si>
  <si>
    <t>BAKAYOKO YOUSSEF HASSAN</t>
  </si>
  <si>
    <t>RAB0000000118282</t>
  </si>
  <si>
    <t>CAISSE NATIONALE DE PREVOYANCE SOCIALE</t>
  </si>
  <si>
    <t>RAB0000000118359</t>
  </si>
  <si>
    <t>THA KAKOU AMA MARIE-CLAUDE</t>
  </si>
  <si>
    <t>RAB0000000118364</t>
  </si>
  <si>
    <t>TOSSEA INES FRANCINE</t>
  </si>
  <si>
    <t>RAB0000000118338</t>
  </si>
  <si>
    <t>YEBOUE SRE KOUAKOU MARIUS-BIENVENU</t>
  </si>
  <si>
    <t>RAB0000000118399</t>
  </si>
  <si>
    <t>RENAULT AMA SANDRINE</t>
  </si>
  <si>
    <t>RAB0000000118512</t>
  </si>
  <si>
    <t>KOFFI ANGE PACÔME</t>
  </si>
  <si>
    <t>RAB0000000118513</t>
  </si>
  <si>
    <t>YAPOIDOU JEAN TANGUI</t>
  </si>
  <si>
    <t>RAB0000000118599</t>
  </si>
  <si>
    <t>GOSSE GNONLE CHRISTIAN</t>
  </si>
  <si>
    <t>RAB0000000118612</t>
  </si>
  <si>
    <t>DJEGUEDE OKEBIYI AKIS</t>
  </si>
  <si>
    <t>RAB0000000118607</t>
  </si>
  <si>
    <t>ASSEUFI TINA MARIE REINE EPSE EKISSI</t>
  </si>
  <si>
    <t>RAB0000000118572</t>
  </si>
  <si>
    <t>KOUAKOU AFFOUE MARIE-LAURE</t>
  </si>
  <si>
    <t>RAB0000000118588</t>
  </si>
  <si>
    <t>KOUADIO EBLIM MELISSA</t>
  </si>
  <si>
    <t>RAB0000000118587</t>
  </si>
  <si>
    <t>KALAGA ABDOUL HAZIZE</t>
  </si>
  <si>
    <t>RAB0000000118595</t>
  </si>
  <si>
    <t>RAB0000000118555</t>
  </si>
  <si>
    <t>COULIBALY SYLVESTRE PATRICK</t>
  </si>
  <si>
    <t>RAB0000000118476</t>
  </si>
  <si>
    <t>DEMBELE SOULEYMANE FTTH BKE</t>
  </si>
  <si>
    <t>RAB0000000118509</t>
  </si>
  <si>
    <t>DRAME HAMDJATA (BKE)</t>
  </si>
  <si>
    <t>RAB0000000118304</t>
  </si>
  <si>
    <t>KADEKOUN DANSI OLIVIER (BKE)</t>
  </si>
  <si>
    <t>RAB0000000118247</t>
  </si>
  <si>
    <t>COULIBALY YAYA</t>
  </si>
  <si>
    <t>RAB0000000114436</t>
  </si>
  <si>
    <t>DIAWARA ANGE GAOUSSOU BKE</t>
  </si>
  <si>
    <t>RAB0000000013406</t>
  </si>
  <si>
    <t>KOME ISSA</t>
  </si>
  <si>
    <t>RAB0000000003043</t>
  </si>
  <si>
    <t>KOUAKOU EUGENE KOUADIO</t>
  </si>
  <si>
    <t>RAB0000000009885</t>
  </si>
  <si>
    <t>KOUASSI BRANDON N'DOUA JUNIOR</t>
  </si>
  <si>
    <t>RAB0000000117852</t>
  </si>
  <si>
    <t>DJRO DJAHOUE BANIN ALEX (BKE)</t>
  </si>
  <si>
    <t>RAB0000000118481</t>
  </si>
  <si>
    <t>KANE GBATO ERIC (BKE)</t>
  </si>
  <si>
    <t>RAB0000000118601</t>
  </si>
  <si>
    <t>YAO EKLUWNDJO ELKANA (BKE)</t>
  </si>
  <si>
    <t>RAB0000000118596</t>
  </si>
  <si>
    <t>CAMARA DOSSONGUI ISMAEL (BOUAKE)</t>
  </si>
  <si>
    <t>RAB0000000118598</t>
  </si>
  <si>
    <t>COULIBALY BARTHELEMY (BKE)</t>
  </si>
  <si>
    <t>RAB0000000118603</t>
  </si>
  <si>
    <t>DIARRA MOUSTAPHA AL HAMINE (BKE)</t>
  </si>
  <si>
    <t>RAB0000000118605</t>
  </si>
  <si>
    <t>KOUAME N'DAH FRANCK BEN HOUASSA (BKE)</t>
  </si>
  <si>
    <t>RAB0000000118604</t>
  </si>
  <si>
    <t>OUBDA HENRI (BKE)</t>
  </si>
  <si>
    <t>RAB0000000118606</t>
  </si>
  <si>
    <t>ZOKOU BENEDICTE (BKE)</t>
  </si>
  <si>
    <t>RAB0000000118608</t>
  </si>
  <si>
    <t>WAIGALO AMADOU (BOUAKE)</t>
  </si>
  <si>
    <t>RAB0000000118611</t>
  </si>
  <si>
    <t>FOFANA ISSIAKA (BKE)</t>
  </si>
  <si>
    <t>RAB0000000118613</t>
  </si>
  <si>
    <t>ALI HUSSEIN ABDELHAMID MOFTAH (BKE)</t>
  </si>
  <si>
    <t>RAB0000000118303</t>
  </si>
  <si>
    <t>KONE NIELNANKREMA (BKE)</t>
  </si>
  <si>
    <t>YAO KOUASSI MODESTE</t>
  </si>
  <si>
    <t>RAB0000000118322</t>
  </si>
  <si>
    <t>KOUASSI KOUAKOU MOISE-JAKIN (BKE)</t>
  </si>
  <si>
    <t>RAB0000000118475</t>
  </si>
  <si>
    <t>DADIE JEAN (BKE)</t>
  </si>
  <si>
    <t>RAB0000000118300</t>
  </si>
  <si>
    <t>GBEHI DJEHE EDMOND (BKE)</t>
  </si>
  <si>
    <t>RAB0000000118480</t>
  </si>
  <si>
    <t>KACOU ANDJOUA ANGE PRISCA EPSE ETTIEN (BKE)</t>
  </si>
  <si>
    <t>RAB0000000118510</t>
  </si>
  <si>
    <t>SALL CHEICK OUMAR (BKE)</t>
  </si>
  <si>
    <t>RAB0000000111129</t>
  </si>
  <si>
    <t>KOFFI KOUAME MAURICE</t>
  </si>
  <si>
    <t>RAB0000000118153</t>
  </si>
  <si>
    <t>HAIDARA MAMADI YAKRO</t>
  </si>
  <si>
    <t>RAB0000000118545</t>
  </si>
  <si>
    <t>KOUAKOU KOUADIO YASMIN CYRILLE</t>
  </si>
  <si>
    <t>RAB0000000118547</t>
  </si>
  <si>
    <t>KONATE YACOUBA</t>
  </si>
  <si>
    <t>RAB0000000118549</t>
  </si>
  <si>
    <t>ANO KOUAKOU JEAN JACQUES YAKRO</t>
  </si>
  <si>
    <t>RAB0000000118544</t>
  </si>
  <si>
    <t>YEDESS BRICE MICHAEL</t>
  </si>
  <si>
    <t>RAB0000000118600</t>
  </si>
  <si>
    <t>SQUEMI FRANCK LEROUX</t>
  </si>
  <si>
    <t>RAB0000000118610</t>
  </si>
  <si>
    <t>KOUAKOU KOUAME IDESTIN</t>
  </si>
  <si>
    <t>RAB0000000118470</t>
  </si>
  <si>
    <t>KOUAME KOUASSI ROMEO YAKRO</t>
  </si>
  <si>
    <t>RAB0000000118385</t>
  </si>
  <si>
    <t>TALL SEYDOU YAKRO</t>
  </si>
  <si>
    <t>RAB0000000118473</t>
  </si>
  <si>
    <t>KONE ISSA YAKRO</t>
  </si>
  <si>
    <t>RAB0000000118471</t>
  </si>
  <si>
    <t>KONATE BRAHIMA</t>
  </si>
  <si>
    <t>RAB0000000118468</t>
  </si>
  <si>
    <t>KOUYATE ASSA YAKRO</t>
  </si>
  <si>
    <t>RAB0000000118377</t>
  </si>
  <si>
    <t>ANGUIDOU MONSAN ERIC MICHEL</t>
  </si>
  <si>
    <t>RAB0000000118378</t>
  </si>
  <si>
    <t>ALIOU RACHID YAKRO</t>
  </si>
  <si>
    <t>RAB0000000118383</t>
  </si>
  <si>
    <t>YAO BEPHAMY WILFRIED GILDAS YAKRO</t>
  </si>
  <si>
    <t>RAB0000000118290</t>
  </si>
  <si>
    <t>YAO KANGAH ASSOUE EMMANUEL YAKRO</t>
  </si>
  <si>
    <t>RAB0000000118492</t>
  </si>
  <si>
    <t>KASSI MARC RICHARD YAKRO</t>
  </si>
  <si>
    <t>RAB0000000118491</t>
  </si>
  <si>
    <t>KOUAME RENY YAKRO</t>
  </si>
  <si>
    <t>RAB0000000118474</t>
  </si>
  <si>
    <t>KONE FANGHIRAMAN BRICE YAKRO</t>
  </si>
  <si>
    <t>RAB0000000114878</t>
  </si>
  <si>
    <t>KOUADIO KONAN POKOU WILFRIED YAKRO</t>
  </si>
  <si>
    <t>RAB0000000118321</t>
  </si>
  <si>
    <t>COULIBALY TOHA HASSAN YAKRO</t>
  </si>
  <si>
    <t>RAB0000000118467</t>
  </si>
  <si>
    <t>N'DA KOUASSI FIRMIN</t>
  </si>
  <si>
    <t>RAB0000000118469</t>
  </si>
  <si>
    <t>GOUESSE SIAME RITA AURELIE</t>
  </si>
  <si>
    <t>RAB0000000118464</t>
  </si>
  <si>
    <t>N'DIAYE ALHASSANE</t>
  </si>
  <si>
    <t>RAB0000000118479</t>
  </si>
  <si>
    <t>KABA IDRISS (BKE)</t>
  </si>
  <si>
    <t>RAB0000000118162</t>
  </si>
  <si>
    <t>PAPET AYA GILBERTE EPSE EFFOHI (BKE)</t>
  </si>
  <si>
    <t>RAB0000000118308</t>
  </si>
  <si>
    <t>DIARRA AICHA (BKE)</t>
  </si>
  <si>
    <t>RAB0000000118508</t>
  </si>
  <si>
    <t>DIABATE ALHASSANE MEDEBA (BKE)</t>
  </si>
  <si>
    <t>RAB0000000118485</t>
  </si>
  <si>
    <t>M'BRA SERGE EDGARD YAO (BKE)</t>
  </si>
  <si>
    <t>RAB0000000118486</t>
  </si>
  <si>
    <t>MARIAM COULIBALY (BKE)</t>
  </si>
  <si>
    <t>DIALLO ALPHA</t>
  </si>
  <si>
    <t>RAB0000000118301</t>
  </si>
  <si>
    <t>OUATTARA MADJALIA (BKE)</t>
  </si>
  <si>
    <t>RAB0000000118489</t>
  </si>
  <si>
    <t>SAMSIN OYE TUNDE YAKRO</t>
  </si>
  <si>
    <t>RAB0000000118511</t>
  </si>
  <si>
    <t>SANGARE SALIF (BKE)</t>
  </si>
  <si>
    <t>RAB0000000118478</t>
  </si>
  <si>
    <t>DIAKITE SOUMAILA (BKE)</t>
  </si>
  <si>
    <t>ARECAS 001</t>
  </si>
  <si>
    <t>ARCADE 007</t>
  </si>
  <si>
    <t>ARCADE 004</t>
  </si>
  <si>
    <t>ARECAS 002</t>
  </si>
  <si>
    <t>ARECAS 003</t>
  </si>
  <si>
    <t>ARCADE 006</t>
  </si>
  <si>
    <t>ARCADE 008</t>
  </si>
  <si>
    <t>MarocD1</t>
  </si>
  <si>
    <t>Ndakro</t>
  </si>
  <si>
    <t>N'GATAKRO</t>
  </si>
  <si>
    <t>COMMERCE</t>
  </si>
  <si>
    <t>STADE</t>
  </si>
  <si>
    <t>ITC</t>
  </si>
  <si>
    <t>ANA 01, PCO 099, BRIN 2 ( orange, -12), Long 250m, 1 ANCIEN PB, 4 NOUVEAUX PM, CLIENT au 4eme porte à droite.</t>
  </si>
  <si>
    <r>
      <t>Coordonnées GPS PCO-093-250m, brin 1,</t>
    </r>
    <r>
      <rPr>
        <sz val="10"/>
        <color rgb="FFFF0000"/>
        <rFont val="Calibri"/>
        <family val="2"/>
        <scheme val="minor"/>
      </rPr>
      <t xml:space="preserve"> (Besoin de 2 poteaux beton de 9m a la traversee de la voie)</t>
    </r>
  </si>
  <si>
    <t>PCO 061, 9 nvx PM, 400M, brin 1</t>
  </si>
  <si>
    <t>PCO071,BRIN4, 9 ANCIENS PB,LONG CÂBLE :370m,1NEW PM</t>
  </si>
  <si>
    <t>PCO-023, brin6, 1 new PM, 350m</t>
  </si>
  <si>
    <r>
      <t xml:space="preserve">PCO 006, 1 nvx PM, 100m, brin 1, </t>
    </r>
    <r>
      <rPr>
        <sz val="10"/>
        <color rgb="FFFF0000"/>
        <rFont val="Calibri"/>
        <family val="2"/>
        <scheme val="minor"/>
      </rPr>
      <t>(Zone de deploiment en attente de validation par Moov)</t>
    </r>
  </si>
  <si>
    <t>BPV 03, PCO 053 EN COURS DE SORTIR, BRIN 1 ( BLEU), Long 300m, 6 ANCIENS PB, 2 NOUVEAUX PM.</t>
  </si>
  <si>
    <t>pco-042 sature</t>
  </si>
  <si>
    <t>Client a 600m du PCO-052</t>
  </si>
  <si>
    <t>PCO-017 SATURE</t>
  </si>
  <si>
    <t>PCO 052 SATURE</t>
  </si>
  <si>
    <t>AKA 01, PCO 127, BRIN 1(bleu -15), Long 150m ,  2 ANCIENS PM.</t>
  </si>
  <si>
    <t>AKA 01, PCO 128, BRIN 2 ( orange, -16), Long 100m, 2 ANCIENS PM.</t>
  </si>
  <si>
    <t>PCO 104, BRIN 3 ( orange, -15), Long 120m, 2 ANCIENS PB.</t>
  </si>
  <si>
    <t>AKA 01, PCO 070, BRIN 1 ( Bleu, -15), Long 100m, 1 ANCIEN PB. CLIENT au 2eme étage à droite.</t>
  </si>
  <si>
    <t>PCO031 brin 3 , 4 anciens PM et 8 new ptx long câble 460m</t>
  </si>
  <si>
    <t>Pco054,Brin8, 8 anciens PM,long câble :350m,1 new PM</t>
  </si>
  <si>
    <t>client hors plaque</t>
  </si>
  <si>
    <t>PCO 078, brin 6, 150m</t>
  </si>
  <si>
    <t>CLIENT A 700M DU PCO-28, DESAT A FAIRE</t>
  </si>
  <si>
    <t>PCO 093, BRIN 3, LONG 150m , 1 ANCIEN PB. CLIENT au 3 ème étage porte FOLON.</t>
  </si>
  <si>
    <t>PCO 053/BRIN 5/11 anciens PM/ 400m, Le client est au 1er étage 3ème porte c'est son magasin qui est en bas ,elle veut mettre la box dans son magasin</t>
  </si>
  <si>
    <t>PCO 052, BRIN 7, LONG 370M, 9 ANCIENS PM, 2 NOUVEAUX PM.</t>
  </si>
  <si>
    <t xml:space="preserve"> PCO 052 ,BRIN 6 ( rouge), Long 180m, 3 ANCIENS PM, 1 NOUVEAU PM.</t>
  </si>
  <si>
    <t>BPV 02, PCO 091, BRIN 5 ( gris, -15), Long 300m, 6 ANCIENS PTX , 1 NOUVEAU PM</t>
  </si>
  <si>
    <t>FAY 02, PCO 009, BRIN 1 ( Bleu -15) , Long 150m, 3 ANCIENS PB. CLIENT au 3eme étage porte B 15.</t>
  </si>
  <si>
    <t>LAU 01, PCO 087, BRIN 6 ( blanc), Long 400m, 8 ANCIENS PB.</t>
  </si>
  <si>
    <t>BPV 02, PCO 090 EN COURS DE SORTIR, BRIN 1 ( BLEU), LONG 50M, 1 ANCIEN PM,  1 NOUVEAU PM.</t>
  </si>
  <si>
    <t>PV 04, PCO 106 EN COURS DE SORTIR, BRIN 1 ( Bleu), LONG 100M, 2 ANCIEN PB, 1 NOUVEAU PM.</t>
  </si>
  <si>
    <t>PCO 108, brin3, 3 new PM, 300m (Le syndic refuse l'implantation des PM dans la cite)</t>
  </si>
  <si>
    <t>PCO-041, brin 1, 300m</t>
  </si>
  <si>
    <t>PCO 053 EN COURS DE SORTIR, BRIN 1 ( BLEU), LONG 120M, 2 ANCIENS PB 1 NOUVEAU PM.</t>
  </si>
  <si>
    <t>PCO120,BRIN1 ,1 NEW PM,1 ANCIEN PB,LONG CÂBLE :150m</t>
  </si>
  <si>
    <t>PCO-078, brin 4, 1 new PM, 350m</t>
  </si>
  <si>
    <t>ANA 02, PCO 013, 100m (DEPLOIEMENT EN ATTENTE DE VALIDATION PAR MOOV)</t>
  </si>
  <si>
    <t>ACA 01, PCO 22, BRIN 7( PAS DE PUISSANCE SUR LES BRINS 5, 6, 7 et 8 ), Long 400m, 3 ANCIENS PB, 5 NOUVEAUX PM. CLIENT au 3eme étage porte 32</t>
  </si>
  <si>
    <t>FAY 02, PCO 029, BRIN 2, LONG 150m, 3 ANCIENS PB, 1 NOUVEAU PM. CLIENT au 2eme bloc 1er étage à droite.</t>
  </si>
  <si>
    <t>PCO 41, BRIN 3 ( jaune, -20), Long 350m,  3 ANCIENS PTX, 4 Nouveaux PM.</t>
  </si>
  <si>
    <t>LE PCO6 EN COURS DE DESATURATION OLT1/PON0 AC601 COMMERCE  D01, port saturé , JDV1 ;PC06(7.68406 -5.02706) ,implantation poteaux PJ0 et 350m de cable preca,poteaux beton existant5 ,poteaux pj existant0</t>
  </si>
  <si>
    <t>LE PCO6 EN COURS DE DESATURATION OLT1/PON0 AC601 COMMERCE  D01, port saturé , JDV1 ;PC06(7.68377 -5.2706) ,implantation poteaux PJ0 et m de cable preca,poteaux beton existant4 ,poteaux pj existant0</t>
  </si>
  <si>
    <t>OLT2/PON AC602 AHOUGNANSSOU D01, portsatué, JDV1 ;PC0(7.68245-5.05557),implantation poteaux PJ et m de cable preca,poteaux beton existant ,poteaux pj existant</t>
  </si>
  <si>
    <t>INJOIGNABLE</t>
  </si>
  <si>
    <t>LE client est éloigné du PCO OLT4/PON5 AC610 Maroc D02, port4, JDV2 ;PC012(7.743628 -5.051573),implantation poteaux PJ7 et 650m de cable preca,poteaux beton existant2 ,poteaux pj existant0</t>
  </si>
  <si>
    <t>EN ATTENTE DE CONSTRUCTION DE MARCHE;OLT4/PON0 AC610 Maroc D1,JDV1;PC014(7.745962-5.0434488) ,implantation poteaux PJ1 et 200 m de cable preca,poteaux beton existant0,poteaux pj existant1</t>
  </si>
  <si>
    <t>JDV1;PCO3( 7.662184 / -5.021378)Client hors zone , loin du pco son installation nécessite 8 poteaux metalliques et 600 m de cable,dans le besoin de la fibre optique (Permision Moov)</t>
  </si>
  <si>
    <t>OLT2/PON1 AC602 EXTENSION NDAKRO,JDV3;PCO3(7.678633 /-5.05783),implantation poteaux 12PJ et 1200 m de cable preca,Poteaux betons existant 5</t>
  </si>
  <si>
    <t>ZONE NON FIBREE</t>
  </si>
  <si>
    <t>OLT1/PON12 AC601 AIR FRANCE D01 ,Port2 ;JDV1;PC06(7.66437-5.2053),implantation poteaux PJ0 et 150m de cable preca,poteaux beton existant2 ,poteaux pj existant0</t>
  </si>
  <si>
    <t>OLT5/PON15 AC606 BROUKRO2  D04, port1, JDV4 ;PC0124(7.68032 -5.04769),implantation poteaux PJ3 et 350m de cable preca,poteaux beton existant5 ,poteaux pj existant0</t>
  </si>
  <si>
    <t>OLT5/PON15 AC606 BROUKRO2  D04, port2, JDV4 ;PC0124(7.6812 -5.04736),implantation poteaux PJ3 et 300m de cable preca,poteaux beton existant5 ,poteaux pj existant0</t>
  </si>
  <si>
    <t>OLT5/PON10 AC606 BROUKRO2  D03, port5, JDV3 ;PC086(7.66783 -5.06641),implantation poteaux PJ4 et 350m de cable preca,poteaux beton existant3 ,poteaux pj existant0</t>
  </si>
  <si>
    <t>OLT5/PON7 AC606 BROUKRO2  D02, por32, JDV2 ;PC057(7.66505 -5.060085),implantation poteaux PJ1 et 150m de cable preca,poteaux beton existant6 ,poteaux pj existant0</t>
  </si>
  <si>
    <t>OLT5/PON8 AC606 BROUKRO2  D03, port6, JDV3 ;PC071(7.66519 -5.07171),implantation poteaux PJ0 et 200m de cable preca,poteaux beton existant4 ,poteaux pj existant0</t>
  </si>
  <si>
    <t>OLT5/PON11 AC606 BROUKRO2  D03, port2, JDV3 ;PC095(7.66914 -5.05371),implantation poteaux PJ2 et 350m de cable preca,poteaux beton existant5 ,poteaux pj existant0</t>
  </si>
  <si>
    <t>OLT3/PON0 AC603 CATHEDRALE D01 ,Port1 ;JDV1;PC07(7.69396-5.02555),implantation poteaux PJ0 et 200m de cable preca,poteaux beton existant3 ,poteaux pj existant0</t>
  </si>
  <si>
    <t>LE CLIENT NOUS FAIT SAVOIR QU IL EST EN DEPLACEMENT ET QU'IL NOUS FERA SIGNE DES SON RETOUR</t>
  </si>
  <si>
    <t xml:space="preserve"> ZONE NON FIBRE OLT1/PON8 AC124 KOKRENOU ;Port saturé,D03,JDV3;PC067(6.79459/' -5.26287)1FO preca 500m,poteaux beton existant4 ;Implantation de PJ0 et PJ existant5</t>
  </si>
  <si>
    <t>OLT1/PON6 AC124 KOKRENOU ; Port saturé;D02 ,JDV2 ;PCO55((6.79459/' -5.26287 )1FO preca 50m,poteaux beton existant0 ; Implantation de PJ0 et PJ existant0</t>
  </si>
  <si>
    <t>OLT1/PON AC121 ASSABOU ;Port2 ,D02 ,JDV12 ;PC056(6.83132/'-5.26319)1FO preca 100m,poteaux beton existant0 ;Implantation de PJ0 et PJ existant1</t>
  </si>
  <si>
    <t>OLT1/PON12 AC125 DOULABOUGOU2 ; Port8;D01 ,JDV1 ;PCO5(6.79651/-5.27662)1FO preca 200m,poteaux beton existant1 ; Implantation de PJ1 et PJ existant1</t>
  </si>
  <si>
    <t>OLT1/PON14 AC125 DOULABOUGOU2 ; Port4;D01 ,JDV1 ;PCO24(6.80344/-5.26676)1FO preca 350m,poteaux beton existant3 ; Implantation de PJ2 et PJ existant0</t>
  </si>
  <si>
    <t>OLT1/PON15 AC125 DOULABOUGOU2 ; Port6;D01 ,JDV1 ;PCO30(6.7942/-5.27048)1FO preca 350m,poteaux beton existant2 ; Implantation de PJ4 et PJ existant0;ELAGAGE SUR UNE PORTEE DE 50m</t>
  </si>
  <si>
    <t>OLT1/PON15 AC125 DOULABOUGOU2 ; Port3;D01 ,JDV1 ;PCO32(6.79293/-5.2735)1FO preca 350m,poteaux beton existant2 ; Implantation de PJ4 et PJ existant0</t>
  </si>
  <si>
    <t>OLT1/PON12 AC125 DOULABOUGOU2 ; Port7;D01 ,JDV1 ;PCO3(6.79636/-5.27852)1FO preca 250m,poteaux beton existant0 ; Implantation de PJ0 et PJ existant5</t>
  </si>
  <si>
    <t>OLT1/PON12 AC125 DOULABOUGOU2 ; Port6;D01 ,JDV1 ;PCO8(6.80187/-5.27798)1FO preca 300m,poteaux beton existant4 ; Implantation de PJ0 et PJ existant0</t>
  </si>
  <si>
    <t>OLT1/PON3 AC125 KOKRENOU2 ;Port2,D01,JDV1;PC028(6.78068/'-5.27765)1FO preca 250m,poteaux beton existant3;Implantation de PJ1 et PJ existant0</t>
  </si>
  <si>
    <t>OLT1/PON15 AC120 EBENEZER ,D03;Port4,JDV3;PCO26(6.85402/'-5.2793)1FO preca 350m,poteaux beton existant1 ;Implantation de PJ5 et PJ existant0</t>
  </si>
  <si>
    <t>OLT1/PON10 AC120 EBENEZER ,D03;Port2,JDV3;PCO24(6.86186/'-5.28722)1FO preca 100m,poteaux beton existant0 ;Implantation de PJ0 et PJ existant0</t>
  </si>
  <si>
    <t>OLT1/PON6 AC124 KOKRNOU ; Port7;D02 ,JDV2 ;PCO53(6.78959/-5.26609)1FO preca 350m,poteaux beton existant3 ; Implantation de PJ0 et PJ existant2</t>
  </si>
  <si>
    <t>OLT1/PON10 AC124 KOKRNOU ; Port7;D03 ,JDV3 ;PCO85(6.77674/-5.27148)1FO preca 350m,poteaux beton existant0 ; Implantation de PJ0 et PJ existant7</t>
  </si>
  <si>
    <t>OLT1/PON1 AC125 KOKRENOU2 ;Port2,D01,JDV1;PC013(6.77587/'-5.27808)1FO preca 200m,poteaux beton existant2;Implantation de PJ2 et PJ existant0</t>
  </si>
  <si>
    <t>OLT1/PON10 AC124 KOKRNOU ; Port5;D03 ,JDV3 ;PCO86(6.77674/-5.27148)1FO preca 350m,poteaux beton existant2 ; Implantation de PJ1 et PJ existant2 ;Implantation 3 PB</t>
  </si>
  <si>
    <t>OLT1/PON15 AC129 220logements ;Port3,D04,JDV4; PC0123(6.81608/'-5.26057)1FO preca 150m,poteaux beton existant2,Implantation de PJ0 et PJ existant0</t>
  </si>
  <si>
    <t>OLT1/PON0 AC129 220logements ;Port1,D01,JDV1; PC08(6.82048/'-5.25228)1FO preca 200m,poteaux beton existant2,Implantation de PJ1 et PJ existant0</t>
  </si>
  <si>
    <t>OLT1/PON2 AC129 220logements ;Port1,D01,JDV1; PC023(6.81217/'-5.25513)1FO preca 15m,poteaux beton existant0,Implantation de PJ0 et PJ existant0</t>
  </si>
  <si>
    <t>OLT1/PON25 AC129 220logements ;Port3,D02,JDV2; PC044(6.812421/'-5.25309)1FO preca 250m,poteaux beton existant1,Implantation de PJ1 et PJ existant2</t>
  </si>
  <si>
    <t>OLT1/PON1 AC120 MOROFE ,D04;Port2,JDV4;PCO9(6.8419/'-5.29158)1FO preca 400m,poteaux beton existant5;Implantation de PJ0 et PJ existant0 ;Implantation 2 PB</t>
  </si>
  <si>
    <t>OLT3/PON2 AC603 CATHEDRALE D01 ,Port2 ;JDV1;PC017(7.69503-5.0281),implantation poteaux PJ0 et 50m de cable preca,poteaux beton existant1 ,poteaux pj existant0</t>
  </si>
  <si>
    <t>OLT1/PON6  AC 601 COMMERCE D01, port5,JDV1;PCO5(7.684381/-5.02921),implantation poteaux PJ0 et 300m de cable preca,poteaux beton existant3,pj existant0</t>
  </si>
  <si>
    <t>OLT3/PON8 AC603 DARESALAM D02,JDV2, port4 ;PCO58(7.72943/-5.048),implantation poteaux PJ2 et 200m de cable preca,poteaux beton existant4,pj existant0</t>
  </si>
  <si>
    <t>OLT3/PON12 AC603 DARESALAM D03,JDV3, port1 ;PCO93(7.73801/-5.04323),implantation poteaux PJ0 et 100m de cable preca,poteaux beton existant4,pj existant0</t>
  </si>
  <si>
    <t>OLT3/PON8 AC603 DARESALAM D02,JDV2, port7 ;PCO62(7.73014/-5.04999),implantation poteaux PJ1 et 500m de cable preca,poteaux beton existant8,pj existant0</t>
  </si>
  <si>
    <t>OLT1/PON4 AC601 KENNEDY EXTENSION D01 ,Port4 ;JDV1;PC09(7.6758-4.99623),implantation poteaux PJ0 et 350m de cable preca,poteaux beton existant5 ,poteaux pj existant0</t>
  </si>
  <si>
    <t>OLT4/PON5 AC610 Maroc D02, port4, JDV2 ;PCO15(7.74174 -5.04168),implantation poteaux PJ0 et 100m de cable preca,poteaux beton existant2 ,poteaux pj existant0</t>
  </si>
  <si>
    <t>OLT4/PON11 AC610 Maroc D03, port2, JDV3 ;PC029(7.74151 -5.0443),implantation poteaux PJ1 et 100m de cable preca,poteaux beton existant2 ,poteaux pj existant0</t>
  </si>
  <si>
    <t>OLT4/PON AC610 Maroc D03, port2, JDV3 ;PC019(7.73799 -5.04323),implantation poteaux PJ1 et 200m de cable preca,poteaux beton existant2 ,poteaux pj existant0</t>
  </si>
  <si>
    <t>OLT2/PON10 AC602 STADE D01 ,Port6 ;JDV1;PC03(7.68713-5.04864),implantation poteaux PJ4 et 350m de cable preca,poteaux beton existant4 ,poteaux pj existant0</t>
  </si>
  <si>
    <t xml:space="preserve">01-07/05/2024       02-08/05/2024          01-10/05/2024                </t>
  </si>
  <si>
    <r>
      <t xml:space="preserve"> 01-07/05/2024      02-09/05/2024       01-10/05/2024          </t>
    </r>
    <r>
      <rPr>
        <b/>
        <sz val="11"/>
        <color rgb="FFFF0000"/>
        <rFont val="Calibri"/>
        <family val="2"/>
        <scheme val="minor"/>
      </rPr>
      <t xml:space="preserve"> </t>
    </r>
  </si>
  <si>
    <t>02 Déjà Disponible</t>
  </si>
  <si>
    <r>
      <t xml:space="preserve"> 01-07/05/2024      01-08/05/2024       03-10/05/2024        </t>
    </r>
    <r>
      <rPr>
        <sz val="11"/>
        <rFont val="Calibri"/>
        <family val="2"/>
        <scheme val="minor"/>
      </rPr>
      <t xml:space="preserve">   01-10/05/2024   </t>
    </r>
  </si>
  <si>
    <r>
      <t xml:space="preserve"> 01-07/05/2024      05-08/05/2024       01-10/05/2024          </t>
    </r>
    <r>
      <rPr>
        <b/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02-11/05/2024</t>
    </r>
  </si>
  <si>
    <t>Abidjan</t>
  </si>
  <si>
    <t>Bouake</t>
  </si>
  <si>
    <t xml:space="preserve"> Report</t>
  </si>
  <si>
    <t xml:space="preserve"> Reçu</t>
  </si>
  <si>
    <t xml:space="preserve"> Bloqué </t>
  </si>
  <si>
    <t>Reliquat non  raccordé</t>
  </si>
  <si>
    <t>Instances ITC</t>
  </si>
  <si>
    <t>Total ITC actuel</t>
  </si>
  <si>
    <t>Nombre</t>
  </si>
  <si>
    <t>Reliquat non raccordé</t>
  </si>
  <si>
    <t>Total</t>
  </si>
  <si>
    <t>Raccorder</t>
  </si>
  <si>
    <t>EQUIPE CLS</t>
  </si>
  <si>
    <t>Nbre d'instances reçues</t>
  </si>
  <si>
    <t>Nbre d'instances raccordées</t>
  </si>
  <si>
    <t>Nbre d'instances Mise en service</t>
  </si>
  <si>
    <t>Yamoussoukro</t>
  </si>
  <si>
    <t>Implantation PM</t>
  </si>
  <si>
    <t>Bâtiment à fibrer</t>
  </si>
  <si>
    <t>Désistement</t>
  </si>
  <si>
    <t>Réalisation Abidjan</t>
  </si>
  <si>
    <t>Réalisation Bouake</t>
  </si>
  <si>
    <t>Réalisation Yamoussoukro</t>
  </si>
  <si>
    <t>Reliquat Objectifs Moov</t>
  </si>
  <si>
    <t>Problème riverain</t>
  </si>
  <si>
    <t>Problème syndic</t>
  </si>
  <si>
    <t>Autres</t>
  </si>
  <si>
    <t>EQUIPE L J GROUP</t>
  </si>
  <si>
    <t>DIVO</t>
  </si>
  <si>
    <t>GAGNOA</t>
  </si>
  <si>
    <t>Réalisation Divo</t>
  </si>
  <si>
    <t>Réalisation Gagnoa</t>
  </si>
  <si>
    <t>HORS ZONE</t>
  </si>
  <si>
    <t xml:space="preserve"> Sans PCO</t>
  </si>
  <si>
    <t>AUTRE DC/DI/INJ</t>
  </si>
  <si>
    <t>Etude</t>
  </si>
  <si>
    <t>Raccordé</t>
  </si>
  <si>
    <t>Pourcentage</t>
  </si>
  <si>
    <t>EQUIPE YAYAHA</t>
  </si>
  <si>
    <t>VILLE</t>
  </si>
  <si>
    <t>INSTANCE RECU</t>
  </si>
  <si>
    <t>RACCORDER</t>
  </si>
  <si>
    <t>Commandes</t>
  </si>
  <si>
    <t>Mise en service dans les instances reçu du mois de Févier</t>
  </si>
  <si>
    <t>Mise en service du mois de Févier</t>
  </si>
  <si>
    <t>Raccordables</t>
  </si>
  <si>
    <t>A Problèmes</t>
  </si>
  <si>
    <t>Total Instances</t>
  </si>
  <si>
    <t>PCO Saturé</t>
  </si>
  <si>
    <t>Refus d'installation ou Doublon de commande</t>
  </si>
  <si>
    <t>Client Injoignable ou Indisponible</t>
  </si>
  <si>
    <t>Refus Syndic ou Riverains</t>
  </si>
  <si>
    <t>Clients Hors Zone de couverture FTTH</t>
  </si>
  <si>
    <t>Bouaké</t>
  </si>
  <si>
    <t>Divo</t>
  </si>
  <si>
    <t>Gagnoa</t>
  </si>
  <si>
    <t>Total Général ITC</t>
  </si>
  <si>
    <t>JANVIER</t>
  </si>
  <si>
    <t>MARS</t>
  </si>
  <si>
    <t>FÉVRIER</t>
  </si>
  <si>
    <t>Raccordée</t>
  </si>
  <si>
    <t>INSTANCE</t>
  </si>
  <si>
    <t>RACCORDE</t>
  </si>
  <si>
    <t>Instance reçue</t>
  </si>
  <si>
    <t xml:space="preserve">TOTAL </t>
  </si>
  <si>
    <t>29-04 AU 04-04-2025: Samedi 29/03/2025</t>
  </si>
  <si>
    <t>Indicateurs</t>
  </si>
  <si>
    <t>Production</t>
  </si>
  <si>
    <t>Commandes Reçues</t>
  </si>
  <si>
    <t>Samedi</t>
  </si>
  <si>
    <t>Dimanche</t>
  </si>
  <si>
    <t>Lundi</t>
  </si>
  <si>
    <t>Mardi</t>
  </si>
  <si>
    <t>Mercredi</t>
  </si>
  <si>
    <t>Jeudi</t>
  </si>
  <si>
    <t>Vendredi</t>
  </si>
  <si>
    <t>Commandes Raccordable en Instance ( Sans PCO )</t>
  </si>
  <si>
    <t>Etudes Réalisées</t>
  </si>
  <si>
    <t>Raccordements Planifiés</t>
  </si>
  <si>
    <t>Raccordements réalisés</t>
  </si>
  <si>
    <t>Performance</t>
  </si>
  <si>
    <t>Délai Etude &lt; 24h</t>
  </si>
  <si>
    <t>Instances =&lt; 72h</t>
  </si>
  <si>
    <t>Instances &gt;72h</t>
  </si>
  <si>
    <t>Commandes Non Faisables</t>
  </si>
  <si>
    <t>TAUX VR 24H</t>
  </si>
  <si>
    <t>TAUX VR 48H</t>
  </si>
  <si>
    <t>TAUX VR 72H</t>
  </si>
  <si>
    <t>TAUX VR 07J</t>
  </si>
  <si>
    <t>TAUX VR 15J</t>
  </si>
  <si>
    <t>Réalisation</t>
  </si>
  <si>
    <t>Mise en Service</t>
  </si>
  <si>
    <t>Succès 1er RDV</t>
  </si>
  <si>
    <t>Echecs Techniques</t>
  </si>
  <si>
    <t>Qualité</t>
  </si>
  <si>
    <t>Niveau de Signal minimum</t>
  </si>
  <si>
    <t>Test Internet OK</t>
  </si>
  <si>
    <t>Test Débit OK</t>
  </si>
  <si>
    <t>Test VOIP OK</t>
  </si>
  <si>
    <t>TMS</t>
  </si>
  <si>
    <t>HTS</t>
  </si>
  <si>
    <t>SIMON</t>
  </si>
  <si>
    <t>SAN PEDRO</t>
  </si>
  <si>
    <t>Réalisation San Pedro</t>
  </si>
  <si>
    <t>San Pedro</t>
  </si>
  <si>
    <t>HORIZON TECHNOLOGIE</t>
  </si>
  <si>
    <t>EQUIPE ERIC</t>
  </si>
  <si>
    <t>KATIOLA</t>
  </si>
  <si>
    <t>Réalisation Katiola</t>
  </si>
  <si>
    <t>Total ITC Semaine 52</t>
  </si>
  <si>
    <t>semaine : S52</t>
  </si>
  <si>
    <t>EQUIPE AGOLLEY</t>
  </si>
  <si>
    <t>114/285 soit 40%</t>
  </si>
  <si>
    <t>Lundi  29/12/2025</t>
  </si>
  <si>
    <t>Mardi  30/12/2025</t>
  </si>
  <si>
    <t>Mercredi  31/12/2025</t>
  </si>
  <si>
    <t>Jeudi  01/01/2026</t>
  </si>
  <si>
    <t>Vendredi  02/01/2026</t>
  </si>
  <si>
    <t>Samedi  03/01/2026</t>
  </si>
  <si>
    <t>Dimanche  04/01/2026</t>
  </si>
  <si>
    <t>226/600 soit 37,66%</t>
  </si>
  <si>
    <t xml:space="preserve"> </t>
  </si>
  <si>
    <r>
      <t>v</t>
    </r>
    <r>
      <rPr>
        <b/>
        <u/>
        <sz val="20"/>
        <color rgb="FFF018C2"/>
        <rFont val="Garamond"/>
        <family val="1"/>
      </rPr>
      <t>RAPPEL DES RELIQUATS</t>
    </r>
  </si>
  <si>
    <t>Statistiques de la semaine en cours</t>
  </si>
  <si>
    <t>TRAITE</t>
  </si>
  <si>
    <t>RECUS</t>
  </si>
  <si>
    <r>
      <t>v</t>
    </r>
    <r>
      <rPr>
        <b/>
        <u/>
        <sz val="18"/>
        <color rgb="FFF018C2"/>
        <rFont val="Garamond"/>
        <family val="1"/>
      </rPr>
      <t>POINT HEBDO</t>
    </r>
  </si>
  <si>
    <t>Total ITC Semaine 1</t>
  </si>
  <si>
    <t>A CONFIRME AVEC PRI</t>
  </si>
  <si>
    <r>
      <t>•</t>
    </r>
    <r>
      <rPr>
        <b/>
        <sz val="18"/>
        <color rgb="FF000000"/>
        <rFont val="Calibri"/>
        <family val="2"/>
        <scheme val="minor"/>
      </rPr>
      <t xml:space="preserve">Délai Avec PCO: </t>
    </r>
    <r>
      <rPr>
        <b/>
        <sz val="18"/>
        <color rgb="FFFF0000"/>
        <rFont val="Calibri"/>
        <family val="2"/>
        <scheme val="minor"/>
      </rPr>
      <t>06,83%</t>
    </r>
  </si>
  <si>
    <t>semaine : S7</t>
  </si>
  <si>
    <r>
      <t>v</t>
    </r>
    <r>
      <rPr>
        <sz val="18"/>
        <color rgb="FFF018C2"/>
        <rFont val="Garamond"/>
        <family val="1"/>
      </rPr>
      <t xml:space="preserve"> </t>
    </r>
    <r>
      <rPr>
        <b/>
        <sz val="18"/>
        <color rgb="FFF018C2"/>
        <rFont val="Garamond"/>
        <family val="1"/>
      </rPr>
      <t>EVOLUTION PAR JOUR DES RACCORDEMENTS &amp; INSTANCES DE LA SEMAINE S07</t>
    </r>
  </si>
  <si>
    <t>293/600 soit 48,83%</t>
  </si>
  <si>
    <r>
      <t>v</t>
    </r>
    <r>
      <rPr>
        <b/>
        <sz val="18"/>
        <color rgb="FFF018C2"/>
        <rFont val="Garamond"/>
        <family val="1"/>
      </rPr>
      <t xml:space="preserve"> ANALYSE DES CAMEMBERTS ITC PAR VILLE ET REALISATION SEMAINE 07</t>
    </r>
  </si>
  <si>
    <r>
      <t>v</t>
    </r>
    <r>
      <rPr>
        <b/>
        <sz val="18"/>
        <color rgb="FFF018C2"/>
        <rFont val="Garamond"/>
        <family val="1"/>
      </rPr>
      <t xml:space="preserve"> ANALYSE DES PERFORMANCES DES EQUIPES ABIDJAN SEMAINE S07</t>
    </r>
  </si>
  <si>
    <r>
      <t>•</t>
    </r>
    <r>
      <rPr>
        <sz val="18"/>
        <color rgb="FF000000"/>
        <rFont val="Calibri"/>
        <family val="2"/>
        <scheme val="minor"/>
      </rPr>
      <t>Instances  363</t>
    </r>
  </si>
  <si>
    <r>
      <t>•</t>
    </r>
    <r>
      <rPr>
        <sz val="18"/>
        <color rgb="FF000000"/>
        <rFont val="Calibri"/>
        <family val="2"/>
        <scheme val="minor"/>
      </rPr>
      <t>Réalisations :</t>
    </r>
    <r>
      <rPr>
        <sz val="18"/>
        <color rgb="FFFF0000"/>
        <rFont val="Calibri"/>
        <family val="2"/>
        <scheme val="minor"/>
      </rPr>
      <t xml:space="preserve"> 292</t>
    </r>
  </si>
  <si>
    <r>
      <t>•</t>
    </r>
    <r>
      <rPr>
        <sz val="18"/>
        <color rgb="FF000000"/>
        <rFont val="Calibri"/>
        <family val="2"/>
        <scheme val="minor"/>
      </rPr>
      <t>Réal/Objectifs :</t>
    </r>
    <r>
      <rPr>
        <sz val="18"/>
        <color rgb="FFFF0000"/>
        <rFont val="Calibri"/>
        <family val="2"/>
        <scheme val="minor"/>
      </rPr>
      <t xml:space="preserve"> 48</t>
    </r>
    <r>
      <rPr>
        <b/>
        <sz val="18"/>
        <color rgb="FFFF0000"/>
        <rFont val="Calibri"/>
        <family val="2"/>
        <scheme val="minor"/>
      </rPr>
      <t>,83</t>
    </r>
    <r>
      <rPr>
        <sz val="18"/>
        <color rgb="FFFF0000"/>
        <rFont val="Calibri"/>
        <family val="2"/>
        <scheme val="minor"/>
      </rPr>
      <t>%</t>
    </r>
  </si>
  <si>
    <r>
      <t>Délai Etude:</t>
    </r>
    <r>
      <rPr>
        <b/>
        <sz val="18"/>
        <color rgb="FFFF0000"/>
        <rFont val="Calibri"/>
        <family val="2"/>
        <scheme val="minor"/>
      </rPr>
      <t xml:space="preserve"> 82,09%</t>
    </r>
  </si>
  <si>
    <t>Raccordable sans BOX HUAWEI</t>
  </si>
  <si>
    <t>POINT D'ARLERTE</t>
  </si>
  <si>
    <r>
      <t>•</t>
    </r>
    <r>
      <rPr>
        <b/>
        <sz val="18"/>
        <color rgb="FF000000"/>
        <rFont val="Calibri"/>
        <family val="2"/>
        <scheme val="minor"/>
      </rPr>
      <t>Réalisation S07: 293</t>
    </r>
    <r>
      <rPr>
        <b/>
        <sz val="11"/>
        <color rgb="FFFF0000"/>
        <rFont val="Calibri"/>
        <family val="2"/>
        <scheme val="minor"/>
      </rPr>
      <t>/600 soit 48,83%</t>
    </r>
  </si>
  <si>
    <t>145/292 soit 49,65%</t>
  </si>
  <si>
    <r>
      <t>•</t>
    </r>
    <r>
      <rPr>
        <b/>
        <sz val="18"/>
        <color rgb="FF000000"/>
        <rFont val="Calibri"/>
        <family val="2"/>
        <scheme val="minor"/>
      </rPr>
      <t xml:space="preserve">Délai Sans PCO: </t>
    </r>
    <r>
      <rPr>
        <b/>
        <sz val="18"/>
        <color rgb="FFFF0000"/>
        <rFont val="Calibri"/>
        <family val="2"/>
        <scheme val="minor"/>
      </rPr>
      <t>49,65%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</si>
</sst>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9"/>
      <color theme="5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rgb="FF02050A"/>
      <name val="Calibri"/>
      <family val="2"/>
    </font>
    <font>
      <b/>
      <sz val="9"/>
      <color rgb="FF02050A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C363A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6"/>
      <color rgb="FFFFFFFF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FFFFFF"/>
      <name val="Calibri"/>
      <family val="2"/>
    </font>
    <font>
      <b/>
      <sz val="11"/>
      <color rgb="FF000000"/>
      <name val="Calibri"/>
      <family val="2"/>
    </font>
    <font>
      <sz val="12"/>
      <color rgb="FF305496"/>
      <name val="Calibri"/>
      <family val="2"/>
    </font>
    <font>
      <b/>
      <sz val="14"/>
      <color rgb="FFFF0000"/>
      <name val="Calibri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7"/>
      <color rgb="FF000000"/>
      <name val="Calibri"/>
      <family val="2"/>
    </font>
    <font>
      <b/>
      <sz val="9"/>
      <color rgb="FF000000"/>
      <name val="Book Antiqua"/>
      <family val="1"/>
    </font>
    <font>
      <b/>
      <sz val="9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999999"/>
      <name val="Calibri"/>
      <family val="2"/>
    </font>
    <font>
      <sz val="11"/>
      <color rgb="FFFF0000"/>
      <name val="Calibri"/>
      <family val="2"/>
    </font>
    <font>
      <b/>
      <sz val="14"/>
      <color rgb="FF000000"/>
      <name val="Calibri"/>
      <family val="2"/>
      <scheme val="minor"/>
    </font>
    <font>
      <b/>
      <sz val="14"/>
      <color rgb="FF000000"/>
      <name val="Book Antiqua"/>
      <family val="1"/>
    </font>
    <font>
      <b/>
      <sz val="14"/>
      <color theme="1"/>
      <name val="Book Antiqua"/>
      <family val="1"/>
    </font>
    <font>
      <b/>
      <sz val="16"/>
      <color rgb="FFFF0000"/>
      <name val="Calibri"/>
      <family val="2"/>
    </font>
    <font>
      <sz val="20"/>
      <color theme="1"/>
      <name val="Wingdings"/>
      <charset val="2"/>
    </font>
    <font>
      <b/>
      <u/>
      <sz val="20"/>
      <color rgb="FFF018C2"/>
      <name val="Garamond"/>
      <family val="1"/>
    </font>
    <font>
      <sz val="18"/>
      <color theme="1"/>
      <name val="Wingdings"/>
      <charset val="2"/>
    </font>
    <font>
      <b/>
      <sz val="18"/>
      <color rgb="FFF018C2"/>
      <name val="Garamond"/>
      <family val="1"/>
    </font>
    <font>
      <b/>
      <sz val="18"/>
      <color rgb="FF000000"/>
      <name val="Calibri"/>
      <family val="2"/>
      <scheme val="minor"/>
    </font>
    <font>
      <sz val="18"/>
      <color theme="1"/>
      <name val="Arial"/>
      <family val="2"/>
    </font>
    <font>
      <sz val="18"/>
      <color rgb="FF00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018C2"/>
      <name val="Garamond"/>
      <family val="1"/>
    </font>
    <font>
      <b/>
      <u/>
      <sz val="18"/>
      <color rgb="FFF018C2"/>
      <name val="Garamond"/>
      <family val="1"/>
    </font>
    <font>
      <b/>
      <sz val="14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2F75B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0000"/>
        <bgColor indexed="64"/>
      </patternFill>
    </fill>
  </fills>
  <borders count="9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1B3969"/>
      </left>
      <right style="medium">
        <color rgb="FF1B3969"/>
      </right>
      <top style="medium">
        <color rgb="FF1B3969"/>
      </top>
      <bottom style="medium">
        <color rgb="FF1B3969"/>
      </bottom>
      <diagonal/>
    </border>
    <border>
      <left/>
      <right/>
      <top style="thin">
        <color indexed="64"/>
      </top>
      <bottom/>
      <diagonal/>
    </border>
    <border>
      <left style="medium">
        <color rgb="FF1B3969"/>
      </left>
      <right style="medium">
        <color rgb="FF1B3969"/>
      </right>
      <top style="medium">
        <color rgb="FF1B396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26" fillId="0" borderId="0"/>
    <xf numFmtId="9" fontId="26" fillId="0" borderId="0" applyFont="0" applyFill="0" applyBorder="0" applyAlignment="0" applyProtection="0"/>
  </cellStyleXfs>
  <cellXfs count="568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vertical="center"/>
    </xf>
    <xf numFmtId="0" fontId="0" fillId="0" borderId="32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7" fillId="0" borderId="2" xfId="0" applyFont="1" applyBorder="1"/>
    <xf numFmtId="0" fontId="7" fillId="0" borderId="4" xfId="0" applyFont="1" applyBorder="1"/>
    <xf numFmtId="0" fontId="7" fillId="0" borderId="1" xfId="0" applyFont="1" applyBorder="1"/>
    <xf numFmtId="0" fontId="11" fillId="0" borderId="5" xfId="0" applyFont="1" applyBorder="1" applyAlignment="1">
      <alignment horizontal="center" vertical="center" wrapText="1" readingOrder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8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7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40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4" fontId="0" fillId="0" borderId="21" xfId="0" applyNumberFormat="1" applyBorder="1" applyAlignment="1">
      <alignment horizontal="left" vertical="center" wrapText="1"/>
    </xf>
    <xf numFmtId="0" fontId="14" fillId="11" borderId="5" xfId="0" applyFont="1" applyFill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11" borderId="5" xfId="0" applyFont="1" applyFill="1" applyBorder="1" applyAlignment="1">
      <alignment horizontal="left" vertical="center" wrapText="1"/>
    </xf>
    <xf numFmtId="0" fontId="0" fillId="11" borderId="5" xfId="0" applyFill="1" applyBorder="1" applyAlignment="1">
      <alignment horizontal="left"/>
    </xf>
    <xf numFmtId="0" fontId="0" fillId="11" borderId="39" xfId="0" applyFill="1" applyBorder="1" applyAlignment="1">
      <alignment horizontal="left"/>
    </xf>
    <xf numFmtId="0" fontId="0" fillId="0" borderId="5" xfId="0" applyBorder="1" applyAlignment="1">
      <alignment horizontal="left"/>
    </xf>
    <xf numFmtId="14" fontId="14" fillId="11" borderId="5" xfId="0" applyNumberFormat="1" applyFont="1" applyFill="1" applyBorder="1" applyAlignment="1">
      <alignment horizontal="left" vertical="center" wrapText="1"/>
    </xf>
    <xf numFmtId="0" fontId="15" fillId="11" borderId="5" xfId="0" applyFont="1" applyFill="1" applyBorder="1" applyAlignment="1">
      <alignment horizontal="left" wrapText="1"/>
    </xf>
    <xf numFmtId="14" fontId="14" fillId="11" borderId="5" xfId="0" applyNumberFormat="1" applyFont="1" applyFill="1" applyBorder="1" applyAlignment="1">
      <alignment horizontal="left" vertical="center"/>
    </xf>
    <xf numFmtId="14" fontId="14" fillId="0" borderId="5" xfId="0" applyNumberFormat="1" applyFont="1" applyBorder="1" applyAlignment="1">
      <alignment horizontal="left" vertical="center"/>
    </xf>
    <xf numFmtId="14" fontId="0" fillId="11" borderId="5" xfId="0" applyNumberFormat="1" applyFill="1" applyBorder="1" applyAlignment="1">
      <alignment horizontal="left"/>
    </xf>
    <xf numFmtId="14" fontId="0" fillId="11" borderId="39" xfId="0" applyNumberFormat="1" applyFill="1" applyBorder="1" applyAlignment="1">
      <alignment horizontal="left"/>
    </xf>
    <xf numFmtId="0" fontId="14" fillId="11" borderId="5" xfId="0" applyFont="1" applyFill="1" applyBorder="1" applyAlignment="1">
      <alignment horizontal="left" wrapText="1"/>
    </xf>
    <xf numFmtId="14" fontId="0" fillId="11" borderId="5" xfId="0" applyNumberFormat="1" applyFill="1" applyBorder="1" applyAlignment="1">
      <alignment horizontal="left" wrapText="1"/>
    </xf>
    <xf numFmtId="0" fontId="15" fillId="11" borderId="5" xfId="0" applyFont="1" applyFill="1" applyBorder="1" applyAlignment="1">
      <alignment horizontal="left"/>
    </xf>
    <xf numFmtId="0" fontId="0" fillId="4" borderId="6" xfId="0" applyFill="1" applyBorder="1"/>
    <xf numFmtId="0" fontId="0" fillId="0" borderId="7" xfId="0" applyBorder="1"/>
    <xf numFmtId="0" fontId="0" fillId="0" borderId="8" xfId="0" applyBorder="1"/>
    <xf numFmtId="0" fontId="0" fillId="0" borderId="37" xfId="0" applyBorder="1"/>
    <xf numFmtId="0" fontId="13" fillId="0" borderId="5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14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15" fillId="0" borderId="5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0" fillId="0" borderId="5" xfId="0" applyBorder="1"/>
    <xf numFmtId="0" fontId="13" fillId="0" borderId="39" xfId="0" applyFont="1" applyBorder="1" applyAlignment="1">
      <alignment horizontal="left" wrapText="1"/>
    </xf>
    <xf numFmtId="0" fontId="14" fillId="10" borderId="5" xfId="0" applyFont="1" applyFill="1" applyBorder="1" applyAlignment="1">
      <alignment horizontal="left" vertical="center" wrapText="1"/>
    </xf>
    <xf numFmtId="0" fontId="14" fillId="11" borderId="5" xfId="0" applyFont="1" applyFill="1" applyBorder="1" applyAlignment="1">
      <alignment horizontal="left"/>
    </xf>
    <xf numFmtId="20" fontId="14" fillId="11" borderId="5" xfId="0" applyNumberFormat="1" applyFont="1" applyFill="1" applyBorder="1" applyAlignment="1">
      <alignment horizontal="left" vertical="center" wrapText="1"/>
    </xf>
    <xf numFmtId="0" fontId="17" fillId="11" borderId="5" xfId="0" applyFont="1" applyFill="1" applyBorder="1" applyAlignment="1">
      <alignment horizontal="left" vertical="center" wrapText="1"/>
    </xf>
    <xf numFmtId="20" fontId="14" fillId="11" borderId="5" xfId="0" applyNumberFormat="1" applyFont="1" applyFill="1" applyBorder="1" applyAlignment="1">
      <alignment horizontal="left"/>
    </xf>
    <xf numFmtId="0" fontId="17" fillId="11" borderId="5" xfId="0" applyFont="1" applyFill="1" applyBorder="1" applyAlignment="1">
      <alignment horizontal="left" vertical="center"/>
    </xf>
    <xf numFmtId="20" fontId="0" fillId="11" borderId="5" xfId="0" applyNumberFormat="1" applyFill="1" applyBorder="1" applyAlignment="1">
      <alignment horizontal="left"/>
    </xf>
    <xf numFmtId="0" fontId="14" fillId="10" borderId="5" xfId="0" applyFont="1" applyFill="1" applyBorder="1" applyAlignment="1">
      <alignment horizontal="left" wrapText="1"/>
    </xf>
    <xf numFmtId="0" fontId="0" fillId="0" borderId="5" xfId="0" applyBorder="1" applyAlignment="1">
      <alignment horizontal="left" vertical="center" wrapText="1"/>
    </xf>
    <xf numFmtId="0" fontId="0" fillId="11" borderId="5" xfId="0" applyFill="1" applyBorder="1" applyAlignment="1">
      <alignment horizontal="left" vertical="center"/>
    </xf>
    <xf numFmtId="14" fontId="14" fillId="10" borderId="5" xfId="0" applyNumberFormat="1" applyFont="1" applyFill="1" applyBorder="1" applyAlignment="1">
      <alignment horizontal="left" vertical="center" wrapText="1"/>
    </xf>
    <xf numFmtId="14" fontId="15" fillId="11" borderId="5" xfId="0" applyNumberFormat="1" applyFont="1" applyFill="1" applyBorder="1" applyAlignment="1">
      <alignment horizontal="left" wrapText="1"/>
    </xf>
    <xf numFmtId="14" fontId="15" fillId="0" borderId="5" xfId="0" applyNumberFormat="1" applyFont="1" applyBorder="1" applyAlignment="1">
      <alignment horizontal="left"/>
    </xf>
    <xf numFmtId="14" fontId="14" fillId="11" borderId="5" xfId="0" applyNumberFormat="1" applyFont="1" applyFill="1" applyBorder="1" applyAlignment="1">
      <alignment horizontal="left"/>
    </xf>
    <xf numFmtId="14" fontId="14" fillId="11" borderId="5" xfId="0" applyNumberFormat="1" applyFont="1" applyFill="1" applyBorder="1" applyAlignment="1">
      <alignment horizontal="left" wrapText="1"/>
    </xf>
    <xf numFmtId="14" fontId="14" fillId="0" borderId="5" xfId="0" applyNumberFormat="1" applyFont="1" applyBorder="1" applyAlignment="1">
      <alignment horizontal="left"/>
    </xf>
    <xf numFmtId="14" fontId="17" fillId="11" borderId="5" xfId="0" applyNumberFormat="1" applyFont="1" applyFill="1" applyBorder="1" applyAlignment="1">
      <alignment horizontal="left"/>
    </xf>
    <xf numFmtId="14" fontId="15" fillId="11" borderId="5" xfId="0" applyNumberFormat="1" applyFont="1" applyFill="1" applyBorder="1" applyAlignment="1">
      <alignment horizontal="left"/>
    </xf>
    <xf numFmtId="14" fontId="17" fillId="11" borderId="5" xfId="0" applyNumberFormat="1" applyFont="1" applyFill="1" applyBorder="1" applyAlignment="1">
      <alignment horizontal="left" vertical="center" wrapText="1"/>
    </xf>
    <xf numFmtId="14" fontId="14" fillId="10" borderId="5" xfId="0" applyNumberFormat="1" applyFont="1" applyFill="1" applyBorder="1" applyAlignment="1">
      <alignment horizontal="left" wrapText="1"/>
    </xf>
    <xf numFmtId="14" fontId="14" fillId="0" borderId="5" xfId="0" applyNumberFormat="1" applyFont="1" applyBorder="1" applyAlignment="1">
      <alignment horizontal="left" wrapText="1"/>
    </xf>
    <xf numFmtId="14" fontId="0" fillId="0" borderId="5" xfId="0" applyNumberFormat="1" applyBorder="1" applyAlignment="1">
      <alignment horizontal="left" vertical="center" wrapText="1"/>
    </xf>
    <xf numFmtId="0" fontId="0" fillId="0" borderId="39" xfId="0" applyBorder="1"/>
    <xf numFmtId="0" fontId="0" fillId="0" borderId="24" xfId="0" applyBorder="1" applyAlignment="1">
      <alignment horizontal="center" vertical="center"/>
    </xf>
    <xf numFmtId="0" fontId="14" fillId="10" borderId="5" xfId="0" applyFont="1" applyFill="1" applyBorder="1" applyAlignment="1">
      <alignment horizontal="left" vertical="center"/>
    </xf>
    <xf numFmtId="0" fontId="17" fillId="11" borderId="5" xfId="0" applyFont="1" applyFill="1" applyBorder="1" applyAlignment="1">
      <alignment horizontal="left"/>
    </xf>
    <xf numFmtId="0" fontId="14" fillId="10" borderId="5" xfId="0" applyFont="1" applyFill="1" applyBorder="1" applyAlignment="1">
      <alignment horizontal="left"/>
    </xf>
    <xf numFmtId="0" fontId="16" fillId="5" borderId="32" xfId="0" applyFont="1" applyFill="1" applyBorder="1" applyAlignment="1">
      <alignment horizontal="left" vertical="center"/>
    </xf>
    <xf numFmtId="0" fontId="16" fillId="5" borderId="33" xfId="0" applyFont="1" applyFill="1" applyBorder="1" applyAlignment="1">
      <alignment vertical="center"/>
    </xf>
    <xf numFmtId="0" fontId="3" fillId="6" borderId="33" xfId="0" applyFont="1" applyFill="1" applyBorder="1" applyAlignment="1">
      <alignment vertical="center" wrapText="1"/>
    </xf>
    <xf numFmtId="0" fontId="3" fillId="6" borderId="33" xfId="0" applyFont="1" applyFill="1" applyBorder="1" applyAlignment="1">
      <alignment horizontal="center" wrapText="1"/>
    </xf>
    <xf numFmtId="2" fontId="16" fillId="7" borderId="33" xfId="0" applyNumberFormat="1" applyFont="1" applyFill="1" applyBorder="1" applyAlignment="1">
      <alignment horizontal="left" vertical="center" wrapText="1"/>
    </xf>
    <xf numFmtId="14" fontId="16" fillId="7" borderId="33" xfId="0" applyNumberFormat="1" applyFont="1" applyFill="1" applyBorder="1" applyAlignment="1">
      <alignment horizontal="left" vertical="center" wrapText="1"/>
    </xf>
    <xf numFmtId="2" fontId="16" fillId="8" borderId="33" xfId="0" applyNumberFormat="1" applyFont="1" applyFill="1" applyBorder="1" applyAlignment="1">
      <alignment horizontal="left" vertical="center"/>
    </xf>
    <xf numFmtId="0" fontId="16" fillId="8" borderId="33" xfId="0" applyFont="1" applyFill="1" applyBorder="1" applyAlignment="1">
      <alignment horizontal="center" vertical="center" wrapText="1"/>
    </xf>
    <xf numFmtId="0" fontId="16" fillId="9" borderId="33" xfId="0" applyFont="1" applyFill="1" applyBorder="1" applyAlignment="1">
      <alignment horizontal="left" vertical="center" wrapText="1"/>
    </xf>
    <xf numFmtId="0" fontId="16" fillId="9" borderId="34" xfId="0" applyFont="1" applyFill="1" applyBorder="1" applyAlignment="1">
      <alignment horizontal="left" vertical="center"/>
    </xf>
    <xf numFmtId="0" fontId="0" fillId="0" borderId="47" xfId="0" applyBorder="1" applyAlignment="1">
      <alignment horizontal="center" vertical="center"/>
    </xf>
    <xf numFmtId="0" fontId="1" fillId="0" borderId="0" xfId="0" applyFont="1"/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43" xfId="0" applyBorder="1" applyAlignment="1">
      <alignment wrapText="1"/>
    </xf>
    <xf numFmtId="0" fontId="0" fillId="0" borderId="23" xfId="0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1" fillId="12" borderId="29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0" fillId="12" borderId="44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18" fillId="12" borderId="32" xfId="0" applyFont="1" applyFill="1" applyBorder="1" applyAlignment="1">
      <alignment horizontal="center" vertical="center"/>
    </xf>
    <xf numFmtId="0" fontId="18" fillId="12" borderId="34" xfId="0" applyFont="1" applyFill="1" applyBorder="1" applyAlignment="1">
      <alignment horizontal="center" vertical="center"/>
    </xf>
    <xf numFmtId="0" fontId="1" fillId="12" borderId="32" xfId="0" applyFont="1" applyFill="1" applyBorder="1" applyAlignment="1">
      <alignment horizontal="left"/>
    </xf>
    <xf numFmtId="0" fontId="1" fillId="12" borderId="33" xfId="0" applyFont="1" applyFill="1" applyBorder="1" applyAlignment="1">
      <alignment horizontal="center"/>
    </xf>
    <xf numFmtId="9" fontId="1" fillId="12" borderId="34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textRotation="45"/>
    </xf>
    <xf numFmtId="0" fontId="0" fillId="0" borderId="0" xfId="0" pivotButton="1"/>
    <xf numFmtId="0" fontId="0" fillId="0" borderId="25" xfId="0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53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14" fontId="0" fillId="0" borderId="17" xfId="0" applyNumberFormat="1" applyBorder="1" applyAlignment="1">
      <alignment horizontal="center" vertical="center" wrapText="1"/>
    </xf>
    <xf numFmtId="20" fontId="14" fillId="11" borderId="5" xfId="0" applyNumberFormat="1" applyFont="1" applyFill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 readingOrder="1"/>
    </xf>
    <xf numFmtId="0" fontId="12" fillId="0" borderId="14" xfId="0" applyFont="1" applyBorder="1" applyAlignment="1">
      <alignment horizontal="center" vertical="center" wrapText="1" readingOrder="1"/>
    </xf>
    <xf numFmtId="0" fontId="12" fillId="0" borderId="15" xfId="0" applyFont="1" applyBorder="1" applyAlignment="1">
      <alignment horizontal="center" vertical="center" wrapText="1" readingOrder="1"/>
    </xf>
    <xf numFmtId="0" fontId="0" fillId="0" borderId="37" xfId="0" applyBorder="1" applyAlignment="1">
      <alignment horizontal="left" vertical="center"/>
    </xf>
    <xf numFmtId="0" fontId="0" fillId="0" borderId="57" xfId="0" applyBorder="1" applyAlignment="1">
      <alignment horizontal="center" vertical="center"/>
    </xf>
    <xf numFmtId="0" fontId="18" fillId="12" borderId="55" xfId="0" applyFont="1" applyFill="1" applyBorder="1" applyAlignment="1">
      <alignment horizontal="center" vertical="center"/>
    </xf>
    <xf numFmtId="0" fontId="18" fillId="12" borderId="5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61" xfId="0" applyBorder="1"/>
    <xf numFmtId="0" fontId="0" fillId="0" borderId="22" xfId="0" applyBorder="1"/>
    <xf numFmtId="0" fontId="0" fillId="0" borderId="6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0" xfId="0" applyBorder="1"/>
    <xf numFmtId="0" fontId="0" fillId="0" borderId="65" xfId="0" applyBorder="1" applyAlignment="1">
      <alignment horizontal="left" vertical="center"/>
    </xf>
    <xf numFmtId="0" fontId="0" fillId="0" borderId="44" xfId="0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1" fillId="13" borderId="26" xfId="0" applyFont="1" applyFill="1" applyBorder="1" applyAlignment="1">
      <alignment horizontal="center" vertic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66" xfId="0" applyBorder="1" applyAlignment="1">
      <alignment horizontal="center" vertical="center"/>
    </xf>
    <xf numFmtId="0" fontId="19" fillId="0" borderId="0" xfId="0" applyFont="1"/>
    <xf numFmtId="14" fontId="0" fillId="0" borderId="45" xfId="0" applyNumberFormat="1" applyBorder="1" applyAlignment="1">
      <alignment horizontal="center" vertical="center" wrapText="1"/>
    </xf>
    <xf numFmtId="0" fontId="0" fillId="0" borderId="46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5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45" xfId="0" applyBorder="1" applyAlignment="1">
      <alignment vertical="center" wrapText="1"/>
    </xf>
    <xf numFmtId="0" fontId="0" fillId="0" borderId="24" xfId="0" applyBorder="1"/>
    <xf numFmtId="0" fontId="0" fillId="0" borderId="24" xfId="0" applyBorder="1" applyAlignment="1">
      <alignment vertical="center" wrapText="1"/>
    </xf>
    <xf numFmtId="0" fontId="0" fillId="0" borderId="4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37" xfId="0" applyBorder="1" applyAlignment="1">
      <alignment horizontal="left" vertical="center" wrapText="1"/>
    </xf>
    <xf numFmtId="0" fontId="0" fillId="0" borderId="67" xfId="0" applyBorder="1" applyAlignment="1">
      <alignment horizontal="left" vertical="center" wrapText="1"/>
    </xf>
    <xf numFmtId="0" fontId="18" fillId="12" borderId="31" xfId="0" applyFont="1" applyFill="1" applyBorder="1" applyAlignment="1">
      <alignment horizontal="left" vertical="center"/>
    </xf>
    <xf numFmtId="0" fontId="1" fillId="12" borderId="68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12" borderId="21" xfId="0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3" fillId="12" borderId="31" xfId="0" applyFont="1" applyFill="1" applyBorder="1" applyAlignment="1">
      <alignment horizontal="center" vertical="center"/>
    </xf>
    <xf numFmtId="0" fontId="1" fillId="12" borderId="55" xfId="0" applyFont="1" applyFill="1" applyBorder="1" applyAlignment="1">
      <alignment horizontal="center" vertical="center"/>
    </xf>
    <xf numFmtId="0" fontId="1" fillId="12" borderId="48" xfId="0" applyFont="1" applyFill="1" applyBorder="1" applyAlignment="1">
      <alignment horizontal="center" vertical="center"/>
    </xf>
    <xf numFmtId="0" fontId="1" fillId="12" borderId="56" xfId="0" applyFont="1" applyFill="1" applyBorder="1" applyAlignment="1">
      <alignment horizontal="center" vertical="center"/>
    </xf>
    <xf numFmtId="0" fontId="1" fillId="12" borderId="69" xfId="0" applyFont="1" applyFill="1" applyBorder="1" applyAlignment="1">
      <alignment horizontal="center" vertical="center"/>
    </xf>
    <xf numFmtId="0" fontId="1" fillId="12" borderId="70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5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7" xfId="0" applyBorder="1" applyAlignment="1">
      <alignment horizontal="left" vertical="center" wrapText="1"/>
    </xf>
    <xf numFmtId="0" fontId="12" fillId="0" borderId="62" xfId="0" applyFont="1" applyBorder="1" applyAlignment="1">
      <alignment horizontal="center" vertical="center" wrapText="1" readingOrder="1"/>
    </xf>
    <xf numFmtId="0" fontId="12" fillId="0" borderId="36" xfId="0" applyFont="1" applyBorder="1" applyAlignment="1">
      <alignment horizontal="center" vertical="center" wrapText="1" readingOrder="1"/>
    </xf>
    <xf numFmtId="0" fontId="11" fillId="0" borderId="27" xfId="0" applyFont="1" applyBorder="1" applyAlignment="1">
      <alignment horizontal="center" vertical="center" wrapText="1" readingOrder="1"/>
    </xf>
    <xf numFmtId="0" fontId="12" fillId="0" borderId="66" xfId="0" applyFont="1" applyBorder="1" applyAlignment="1">
      <alignment horizontal="center" vertical="center" wrapText="1" readingOrder="1"/>
    </xf>
    <xf numFmtId="0" fontId="12" fillId="0" borderId="54" xfId="0" applyFont="1" applyBorder="1" applyAlignment="1">
      <alignment horizontal="center" vertical="center" wrapText="1" readingOrder="1"/>
    </xf>
    <xf numFmtId="9" fontId="0" fillId="0" borderId="23" xfId="0" applyNumberFormat="1" applyBorder="1" applyAlignment="1">
      <alignment horizontal="center" vertical="center"/>
    </xf>
    <xf numFmtId="9" fontId="0" fillId="0" borderId="24" xfId="0" applyNumberFormat="1" applyBorder="1" applyAlignment="1">
      <alignment horizontal="center" vertical="center"/>
    </xf>
    <xf numFmtId="9" fontId="0" fillId="0" borderId="25" xfId="0" applyNumberFormat="1" applyBorder="1" applyAlignment="1">
      <alignment horizontal="center" vertical="center"/>
    </xf>
    <xf numFmtId="9" fontId="0" fillId="0" borderId="72" xfId="0" applyNumberFormat="1" applyBorder="1" applyAlignment="1">
      <alignment horizontal="center" vertical="center"/>
    </xf>
    <xf numFmtId="9" fontId="0" fillId="0" borderId="44" xfId="0" applyNumberFormat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2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12" borderId="1" xfId="0" applyFill="1" applyBorder="1" applyAlignment="1">
      <alignment horizontal="center" vertical="center"/>
    </xf>
    <xf numFmtId="0" fontId="0" fillId="0" borderId="3" xfId="0" applyBorder="1"/>
    <xf numFmtId="0" fontId="0" fillId="0" borderId="1" xfId="0" applyBorder="1"/>
    <xf numFmtId="0" fontId="0" fillId="0" borderId="60" xfId="0" applyBorder="1" applyAlignment="1">
      <alignment horizontal="left" vertical="center" wrapText="1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left" vertical="center"/>
    </xf>
    <xf numFmtId="0" fontId="0" fillId="3" borderId="33" xfId="0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0" fillId="0" borderId="66" xfId="0" applyBorder="1" applyAlignment="1">
      <alignment horizontal="left" vertical="center"/>
    </xf>
    <xf numFmtId="0" fontId="11" fillId="0" borderId="75" xfId="0" applyFont="1" applyBorder="1" applyAlignment="1">
      <alignment horizontal="center" vertical="center" wrapText="1" readingOrder="1"/>
    </xf>
    <xf numFmtId="0" fontId="0" fillId="0" borderId="18" xfId="0" applyBorder="1" applyAlignment="1">
      <alignment vertical="center" wrapText="1"/>
    </xf>
    <xf numFmtId="0" fontId="0" fillId="0" borderId="74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1" xfId="0" applyBorder="1" applyAlignment="1">
      <alignment wrapText="1"/>
    </xf>
    <xf numFmtId="0" fontId="0" fillId="0" borderId="30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 readingOrder="1"/>
    </xf>
    <xf numFmtId="0" fontId="18" fillId="12" borderId="33" xfId="0" applyFont="1" applyFill="1" applyBorder="1" applyAlignment="1">
      <alignment horizontal="center" vertical="center"/>
    </xf>
    <xf numFmtId="0" fontId="0" fillId="0" borderId="76" xfId="0" applyBorder="1" applyAlignment="1">
      <alignment wrapText="1"/>
    </xf>
    <xf numFmtId="0" fontId="0" fillId="0" borderId="72" xfId="0" applyBorder="1" applyAlignment="1">
      <alignment wrapText="1"/>
    </xf>
    <xf numFmtId="0" fontId="0" fillId="0" borderId="68" xfId="0" applyBorder="1" applyAlignment="1">
      <alignment wrapText="1"/>
    </xf>
    <xf numFmtId="0" fontId="0" fillId="0" borderId="29" xfId="0" applyBorder="1" applyAlignment="1">
      <alignment wrapText="1"/>
    </xf>
    <xf numFmtId="14" fontId="0" fillId="0" borderId="46" xfId="0" applyNumberFormat="1" applyBorder="1" applyAlignment="1">
      <alignment horizontal="center" vertical="center" wrapText="1"/>
    </xf>
    <xf numFmtId="2" fontId="20" fillId="7" borderId="36" xfId="0" applyNumberFormat="1" applyFont="1" applyFill="1" applyBorder="1" applyAlignment="1">
      <alignment horizontal="left" vertical="center" wrapText="1"/>
    </xf>
    <xf numFmtId="2" fontId="20" fillId="8" borderId="36" xfId="0" applyNumberFormat="1" applyFont="1" applyFill="1" applyBorder="1" applyAlignment="1">
      <alignment horizontal="left" vertical="center"/>
    </xf>
    <xf numFmtId="0" fontId="20" fillId="9" borderId="36" xfId="0" applyFont="1" applyFill="1" applyBorder="1" applyAlignment="1">
      <alignment horizontal="left" vertical="center" wrapText="1"/>
    </xf>
    <xf numFmtId="0" fontId="20" fillId="9" borderId="36" xfId="0" applyFont="1" applyFill="1" applyBorder="1" applyAlignment="1">
      <alignment horizontal="left" vertical="center"/>
    </xf>
    <xf numFmtId="0" fontId="22" fillId="0" borderId="0" xfId="0" applyFont="1"/>
    <xf numFmtId="0" fontId="23" fillId="11" borderId="5" xfId="0" applyFont="1" applyFill="1" applyBorder="1" applyAlignment="1">
      <alignment horizontal="left"/>
    </xf>
    <xf numFmtId="14" fontId="23" fillId="11" borderId="5" xfId="0" applyNumberFormat="1" applyFont="1" applyFill="1" applyBorder="1" applyAlignment="1">
      <alignment horizontal="left"/>
    </xf>
    <xf numFmtId="1" fontId="23" fillId="11" borderId="5" xfId="0" applyNumberFormat="1" applyFont="1" applyFill="1" applyBorder="1" applyAlignment="1">
      <alignment horizontal="center" vertical="center"/>
    </xf>
    <xf numFmtId="0" fontId="23" fillId="11" borderId="5" xfId="0" applyFont="1" applyFill="1" applyBorder="1" applyAlignment="1">
      <alignment horizontal="left" vertical="center"/>
    </xf>
    <xf numFmtId="14" fontId="23" fillId="11" borderId="5" xfId="0" applyNumberFormat="1" applyFont="1" applyFill="1" applyBorder="1" applyAlignment="1">
      <alignment horizontal="left" vertical="center"/>
    </xf>
    <xf numFmtId="20" fontId="23" fillId="11" borderId="5" xfId="0" applyNumberFormat="1" applyFont="1" applyFill="1" applyBorder="1" applyAlignment="1">
      <alignment horizontal="left"/>
    </xf>
    <xf numFmtId="0" fontId="24" fillId="0" borderId="5" xfId="0" applyFont="1" applyBorder="1" applyAlignment="1">
      <alignment horizontal="left" vertical="center"/>
    </xf>
    <xf numFmtId="0" fontId="23" fillId="0" borderId="5" xfId="0" applyFont="1" applyBorder="1" applyAlignment="1">
      <alignment horizontal="left"/>
    </xf>
    <xf numFmtId="14" fontId="24" fillId="0" borderId="5" xfId="0" applyNumberFormat="1" applyFont="1" applyBorder="1" applyAlignment="1">
      <alignment horizontal="left" vertical="center"/>
    </xf>
    <xf numFmtId="0" fontId="23" fillId="11" borderId="5" xfId="0" applyFont="1" applyFill="1" applyBorder="1" applyAlignment="1">
      <alignment horizontal="left" wrapText="1"/>
    </xf>
    <xf numFmtId="14" fontId="23" fillId="11" borderId="5" xfId="0" applyNumberFormat="1" applyFont="1" applyFill="1" applyBorder="1" applyAlignment="1">
      <alignment horizontal="left" wrapText="1"/>
    </xf>
    <xf numFmtId="14" fontId="23" fillId="0" borderId="5" xfId="0" applyNumberFormat="1" applyFont="1" applyBorder="1" applyAlignment="1">
      <alignment horizontal="left"/>
    </xf>
    <xf numFmtId="0" fontId="24" fillId="10" borderId="5" xfId="0" applyFont="1" applyFill="1" applyBorder="1" applyAlignment="1">
      <alignment horizontal="left" vertical="center" wrapText="1"/>
    </xf>
    <xf numFmtId="14" fontId="24" fillId="10" borderId="5" xfId="0" applyNumberFormat="1" applyFont="1" applyFill="1" applyBorder="1" applyAlignment="1">
      <alignment horizontal="left" vertical="center" wrapText="1"/>
    </xf>
    <xf numFmtId="0" fontId="23" fillId="11" borderId="5" xfId="0" applyFont="1" applyFill="1" applyBorder="1" applyAlignment="1">
      <alignment horizontal="left" vertical="center" wrapText="1"/>
    </xf>
    <xf numFmtId="14" fontId="23" fillId="11" borderId="5" xfId="0" applyNumberFormat="1" applyFont="1" applyFill="1" applyBorder="1" applyAlignment="1">
      <alignment horizontal="left" vertical="center" wrapText="1"/>
    </xf>
    <xf numFmtId="0" fontId="24" fillId="11" borderId="5" xfId="0" applyFont="1" applyFill="1" applyBorder="1" applyAlignment="1">
      <alignment horizontal="left" vertical="center" wrapText="1"/>
    </xf>
    <xf numFmtId="14" fontId="24" fillId="11" borderId="5" xfId="0" applyNumberFormat="1" applyFont="1" applyFill="1" applyBorder="1" applyAlignment="1">
      <alignment horizontal="left" vertical="center" wrapText="1"/>
    </xf>
    <xf numFmtId="0" fontId="24" fillId="0" borderId="5" xfId="0" applyFont="1" applyBorder="1" applyAlignment="1">
      <alignment horizontal="left"/>
    </xf>
    <xf numFmtId="14" fontId="24" fillId="0" borderId="5" xfId="0" applyNumberFormat="1" applyFont="1" applyBorder="1" applyAlignment="1">
      <alignment horizontal="left"/>
    </xf>
    <xf numFmtId="0" fontId="24" fillId="11" borderId="5" xfId="0" applyFont="1" applyFill="1" applyBorder="1" applyAlignment="1">
      <alignment horizontal="left" vertical="center"/>
    </xf>
    <xf numFmtId="14" fontId="24" fillId="11" borderId="5" xfId="0" applyNumberFormat="1" applyFont="1" applyFill="1" applyBorder="1" applyAlignment="1">
      <alignment horizontal="left" vertical="center"/>
    </xf>
    <xf numFmtId="0" fontId="24" fillId="11" borderId="5" xfId="0" applyFont="1" applyFill="1" applyBorder="1" applyAlignment="1">
      <alignment horizontal="left" wrapText="1"/>
    </xf>
    <xf numFmtId="14" fontId="24" fillId="11" borderId="5" xfId="0" applyNumberFormat="1" applyFont="1" applyFill="1" applyBorder="1" applyAlignment="1">
      <alignment horizontal="left" wrapText="1"/>
    </xf>
    <xf numFmtId="0" fontId="22" fillId="11" borderId="5" xfId="0" applyFont="1" applyFill="1" applyBorder="1" applyAlignment="1">
      <alignment horizontal="left" wrapText="1"/>
    </xf>
    <xf numFmtId="0" fontId="22" fillId="11" borderId="5" xfId="0" applyFont="1" applyFill="1" applyBorder="1" applyAlignment="1">
      <alignment horizontal="left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4" fillId="4" borderId="5" xfId="0" applyFont="1" applyFill="1" applyBorder="1" applyAlignment="1">
      <alignment horizontal="left" vertical="center" wrapText="1"/>
    </xf>
    <xf numFmtId="0" fontId="23" fillId="4" borderId="5" xfId="0" applyFont="1" applyFill="1" applyBorder="1" applyAlignment="1">
      <alignment horizontal="left"/>
    </xf>
    <xf numFmtId="14" fontId="24" fillId="4" borderId="5" xfId="0" applyNumberFormat="1" applyFont="1" applyFill="1" applyBorder="1" applyAlignment="1">
      <alignment horizontal="left" vertical="center" wrapText="1"/>
    </xf>
    <xf numFmtId="0" fontId="25" fillId="13" borderId="0" xfId="0" applyFont="1" applyFill="1"/>
    <xf numFmtId="0" fontId="0" fillId="4" borderId="0" xfId="0" applyFill="1"/>
    <xf numFmtId="14" fontId="0" fillId="0" borderId="1" xfId="0" applyNumberFormat="1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0" fontId="2" fillId="0" borderId="26" xfId="0" applyFont="1" applyBorder="1" applyAlignment="1">
      <alignment vertical="center" wrapText="1"/>
    </xf>
    <xf numFmtId="0" fontId="0" fillId="0" borderId="67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40" xfId="0" applyBorder="1" applyAlignment="1">
      <alignment horizontal="left"/>
    </xf>
    <xf numFmtId="0" fontId="0" fillId="12" borderId="31" xfId="0" applyFill="1" applyBorder="1" applyAlignment="1">
      <alignment horizontal="left"/>
    </xf>
    <xf numFmtId="0" fontId="22" fillId="11" borderId="0" xfId="0" applyFont="1" applyFill="1"/>
    <xf numFmtId="0" fontId="20" fillId="5" borderId="36" xfId="0" applyFont="1" applyFill="1" applyBorder="1" applyAlignment="1">
      <alignment horizontal="left" vertical="center"/>
    </xf>
    <xf numFmtId="0" fontId="21" fillId="6" borderId="36" xfId="0" applyFont="1" applyFill="1" applyBorder="1" applyAlignment="1">
      <alignment horizontal="left" vertical="center" wrapText="1"/>
    </xf>
    <xf numFmtId="14" fontId="20" fillId="7" borderId="36" xfId="0" applyNumberFormat="1" applyFont="1" applyFill="1" applyBorder="1" applyAlignment="1">
      <alignment horizontal="left" vertical="center" wrapText="1"/>
    </xf>
    <xf numFmtId="0" fontId="20" fillId="8" borderId="36" xfId="0" applyFont="1" applyFill="1" applyBorder="1" applyAlignment="1">
      <alignment horizontal="left" vertical="center" wrapText="1"/>
    </xf>
    <xf numFmtId="1" fontId="23" fillId="11" borderId="5" xfId="0" applyNumberFormat="1" applyFont="1" applyFill="1" applyBorder="1" applyAlignment="1">
      <alignment horizontal="left" vertical="center"/>
    </xf>
    <xf numFmtId="0" fontId="11" fillId="0" borderId="77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center" vertical="center" wrapText="1" readingOrder="1"/>
    </xf>
    <xf numFmtId="0" fontId="24" fillId="11" borderId="5" xfId="0" applyFont="1" applyFill="1" applyBorder="1" applyAlignment="1">
      <alignment horizontal="left"/>
    </xf>
    <xf numFmtId="0" fontId="24" fillId="11" borderId="5" xfId="1" applyFont="1" applyFill="1" applyBorder="1" applyAlignment="1">
      <alignment horizontal="left" vertical="center"/>
    </xf>
    <xf numFmtId="0" fontId="22" fillId="11" borderId="5" xfId="0" applyFont="1" applyFill="1" applyBorder="1" applyAlignment="1">
      <alignment horizontal="left" vertical="center"/>
    </xf>
    <xf numFmtId="14" fontId="24" fillId="11" borderId="5" xfId="0" quotePrefix="1" applyNumberFormat="1" applyFont="1" applyFill="1" applyBorder="1" applyAlignment="1">
      <alignment horizontal="left" vertical="center"/>
    </xf>
    <xf numFmtId="0" fontId="22" fillId="11" borderId="5" xfId="0" applyFont="1" applyFill="1" applyBorder="1" applyAlignment="1">
      <alignment horizontal="left" vertical="center" wrapText="1"/>
    </xf>
    <xf numFmtId="0" fontId="22" fillId="11" borderId="5" xfId="0" quotePrefix="1" applyFont="1" applyFill="1" applyBorder="1" applyAlignment="1">
      <alignment horizontal="left" wrapText="1"/>
    </xf>
    <xf numFmtId="14" fontId="24" fillId="11" borderId="5" xfId="0" applyNumberFormat="1" applyFont="1" applyFill="1" applyBorder="1" applyAlignment="1">
      <alignment horizontal="left"/>
    </xf>
    <xf numFmtId="14" fontId="24" fillId="11" borderId="5" xfId="1" applyNumberFormat="1" applyFont="1" applyFill="1" applyBorder="1" applyAlignment="1">
      <alignment horizontal="left" vertical="center"/>
    </xf>
    <xf numFmtId="14" fontId="22" fillId="11" borderId="5" xfId="0" applyNumberFormat="1" applyFont="1" applyFill="1" applyBorder="1" applyAlignment="1">
      <alignment horizontal="left"/>
    </xf>
    <xf numFmtId="14" fontId="22" fillId="11" borderId="5" xfId="0" applyNumberFormat="1" applyFont="1" applyFill="1" applyBorder="1" applyAlignment="1">
      <alignment horizontal="left" wrapText="1"/>
    </xf>
    <xf numFmtId="0" fontId="29" fillId="15" borderId="78" xfId="0" applyFont="1" applyFill="1" applyBorder="1" applyAlignment="1">
      <alignment horizontal="left" wrapText="1" readingOrder="1"/>
    </xf>
    <xf numFmtId="0" fontId="30" fillId="15" borderId="78" xfId="0" applyFont="1" applyFill="1" applyBorder="1" applyAlignment="1">
      <alignment horizontal="center" wrapText="1" readingOrder="1"/>
    </xf>
    <xf numFmtId="0" fontId="31" fillId="16" borderId="78" xfId="0" applyFont="1" applyFill="1" applyBorder="1" applyAlignment="1">
      <alignment horizontal="center" vertical="center" wrapText="1" readingOrder="1"/>
    </xf>
    <xf numFmtId="0" fontId="31" fillId="16" borderId="78" xfId="0" applyFont="1" applyFill="1" applyBorder="1" applyAlignment="1">
      <alignment horizontal="center" wrapText="1" readingOrder="1"/>
    </xf>
    <xf numFmtId="0" fontId="30" fillId="15" borderId="78" xfId="0" applyFont="1" applyFill="1" applyBorder="1" applyAlignment="1">
      <alignment horizontal="left" wrapText="1" readingOrder="1"/>
    </xf>
    <xf numFmtId="0" fontId="28" fillId="14" borderId="5" xfId="0" applyFont="1" applyFill="1" applyBorder="1" applyAlignment="1">
      <alignment horizontal="left" wrapText="1" readingOrder="1"/>
    </xf>
    <xf numFmtId="0" fontId="28" fillId="14" borderId="5" xfId="0" applyFont="1" applyFill="1" applyBorder="1" applyAlignment="1">
      <alignment horizontal="center" wrapText="1" readingOrder="1"/>
    </xf>
    <xf numFmtId="0" fontId="29" fillId="15" borderId="5" xfId="0" applyFont="1" applyFill="1" applyBorder="1" applyAlignment="1">
      <alignment horizontal="left" wrapText="1" readingOrder="1"/>
    </xf>
    <xf numFmtId="0" fontId="30" fillId="15" borderId="5" xfId="0" applyFont="1" applyFill="1" applyBorder="1" applyAlignment="1">
      <alignment horizontal="center" wrapText="1" readingOrder="1"/>
    </xf>
    <xf numFmtId="0" fontId="28" fillId="16" borderId="78" xfId="0" applyFont="1" applyFill="1" applyBorder="1" applyAlignment="1">
      <alignment horizontal="center" vertical="center" wrapText="1" readingOrder="1"/>
    </xf>
    <xf numFmtId="9" fontId="0" fillId="0" borderId="0" xfId="2" applyFont="1"/>
    <xf numFmtId="0" fontId="31" fillId="16" borderId="78" xfId="0" applyFont="1" applyFill="1" applyBorder="1" applyAlignment="1">
      <alignment horizontal="left" wrapText="1" readingOrder="1"/>
    </xf>
    <xf numFmtId="0" fontId="30" fillId="15" borderId="80" xfId="0" applyFont="1" applyFill="1" applyBorder="1" applyAlignment="1">
      <alignment horizontal="left" wrapText="1" readingOrder="1"/>
    </xf>
    <xf numFmtId="0" fontId="30" fillId="15" borderId="39" xfId="0" applyFont="1" applyFill="1" applyBorder="1" applyAlignment="1">
      <alignment horizontal="center" wrapText="1" readingOrder="1"/>
    </xf>
    <xf numFmtId="0" fontId="37" fillId="15" borderId="5" xfId="0" applyFont="1" applyFill="1" applyBorder="1" applyAlignment="1">
      <alignment horizontal="center" vertical="center" wrapText="1" readingOrder="1"/>
    </xf>
    <xf numFmtId="20" fontId="0" fillId="0" borderId="0" xfId="0" applyNumberFormat="1"/>
    <xf numFmtId="0" fontId="37" fillId="0" borderId="5" xfId="0" applyFont="1" applyBorder="1" applyAlignment="1">
      <alignment horizontal="center" vertical="center" wrapText="1" readingOrder="1"/>
    </xf>
    <xf numFmtId="0" fontId="29" fillId="0" borderId="5" xfId="0" applyFont="1" applyBorder="1" applyAlignment="1">
      <alignment horizontal="left" wrapText="1" readingOrder="1"/>
    </xf>
    <xf numFmtId="0" fontId="30" fillId="0" borderId="78" xfId="0" applyFont="1" applyBorder="1" applyAlignment="1">
      <alignment horizontal="center" wrapText="1" readingOrder="1"/>
    </xf>
    <xf numFmtId="0" fontId="30" fillId="11" borderId="5" xfId="0" applyFont="1" applyFill="1" applyBorder="1" applyAlignment="1">
      <alignment horizontal="center" wrapText="1" readingOrder="1"/>
    </xf>
    <xf numFmtId="0" fontId="29" fillId="11" borderId="5" xfId="0" applyFont="1" applyFill="1" applyBorder="1" applyAlignment="1">
      <alignment horizontal="left" wrapText="1" readingOrder="1"/>
    </xf>
    <xf numFmtId="0" fontId="30" fillId="0" borderId="5" xfId="0" applyFont="1" applyBorder="1" applyAlignment="1">
      <alignment horizontal="center" wrapText="1" readingOrder="1"/>
    </xf>
    <xf numFmtId="0" fontId="30" fillId="0" borderId="78" xfId="0" applyFont="1" applyBorder="1" applyAlignment="1">
      <alignment horizontal="left" wrapText="1" readingOrder="1"/>
    </xf>
    <xf numFmtId="0" fontId="30" fillId="0" borderId="81" xfId="0" applyFont="1" applyBorder="1" applyAlignment="1">
      <alignment horizontal="left" wrapText="1" readingOrder="1"/>
    </xf>
    <xf numFmtId="0" fontId="30" fillId="0" borderId="81" xfId="0" applyFont="1" applyBorder="1" applyAlignment="1">
      <alignment horizontal="center" wrapText="1" readingOrder="1"/>
    </xf>
    <xf numFmtId="0" fontId="30" fillId="0" borderId="5" xfId="0" applyFont="1" applyBorder="1" applyAlignment="1">
      <alignment horizontal="left" wrapText="1" readingOrder="1"/>
    </xf>
    <xf numFmtId="0" fontId="30" fillId="0" borderId="78" xfId="0" applyFont="1" applyBorder="1" applyAlignment="1">
      <alignment horizontal="left" vertical="top" wrapText="1" readingOrder="1"/>
    </xf>
    <xf numFmtId="0" fontId="28" fillId="16" borderId="79" xfId="0" applyFont="1" applyFill="1" applyBorder="1" applyAlignment="1">
      <alignment horizontal="center" vertical="center" wrapText="1" readingOrder="1"/>
    </xf>
    <xf numFmtId="0" fontId="28" fillId="16" borderId="82" xfId="0" applyFont="1" applyFill="1" applyBorder="1" applyAlignment="1">
      <alignment horizontal="center" vertical="center" wrapText="1" readingOrder="1"/>
    </xf>
    <xf numFmtId="0" fontId="30" fillId="11" borderId="28" xfId="0" applyFont="1" applyFill="1" applyBorder="1" applyAlignment="1">
      <alignment horizontal="center" wrapText="1" readingOrder="1"/>
    </xf>
    <xf numFmtId="0" fontId="36" fillId="0" borderId="5" xfId="0" applyFont="1" applyBorder="1" applyAlignment="1">
      <alignment horizontal="center"/>
    </xf>
    <xf numFmtId="0" fontId="32" fillId="0" borderId="0" xfId="0" applyFont="1" applyAlignment="1">
      <alignment horizontal="center" vertical="center" wrapText="1" readingOrder="1"/>
    </xf>
    <xf numFmtId="0" fontId="33" fillId="0" borderId="0" xfId="0" applyFont="1" applyAlignment="1">
      <alignment horizontal="center" vertical="center" wrapText="1" readingOrder="1"/>
    </xf>
    <xf numFmtId="0" fontId="34" fillId="0" borderId="0" xfId="0" applyFont="1" applyAlignment="1">
      <alignment horizontal="center" vertical="center" wrapText="1" readingOrder="1"/>
    </xf>
    <xf numFmtId="0" fontId="34" fillId="11" borderId="5" xfId="0" applyFont="1" applyFill="1" applyBorder="1" applyAlignment="1">
      <alignment horizontal="center" vertical="center" wrapText="1" readingOrder="1"/>
    </xf>
    <xf numFmtId="0" fontId="32" fillId="18" borderId="78" xfId="0" applyFont="1" applyFill="1" applyBorder="1" applyAlignment="1">
      <alignment horizontal="center" wrapText="1" readingOrder="1"/>
    </xf>
    <xf numFmtId="0" fontId="32" fillId="0" borderId="78" xfId="0" applyFont="1" applyBorder="1" applyAlignment="1">
      <alignment horizontal="center" wrapText="1" readingOrder="1"/>
    </xf>
    <xf numFmtId="0" fontId="32" fillId="6" borderId="78" xfId="0" applyFont="1" applyFill="1" applyBorder="1" applyAlignment="1">
      <alignment horizontal="center" wrapText="1" readingOrder="1"/>
    </xf>
    <xf numFmtId="0" fontId="38" fillId="18" borderId="78" xfId="0" applyFont="1" applyFill="1" applyBorder="1" applyAlignment="1">
      <alignment horizontal="center" vertical="center" wrapText="1" readingOrder="1"/>
    </xf>
    <xf numFmtId="0" fontId="38" fillId="0" borderId="78" xfId="0" applyFont="1" applyBorder="1" applyAlignment="1">
      <alignment horizontal="left" wrapText="1" readingOrder="1"/>
    </xf>
    <xf numFmtId="0" fontId="39" fillId="0" borderId="78" xfId="0" applyFont="1" applyBorder="1" applyAlignment="1">
      <alignment horizontal="center" wrapText="1" readingOrder="1"/>
    </xf>
    <xf numFmtId="0" fontId="38" fillId="0" borderId="78" xfId="0" applyFont="1" applyBorder="1" applyAlignment="1">
      <alignment horizontal="center" vertical="center" wrapText="1" readingOrder="1"/>
    </xf>
    <xf numFmtId="0" fontId="38" fillId="0" borderId="78" xfId="0" applyFont="1" applyBorder="1" applyAlignment="1">
      <alignment horizontal="center" wrapText="1" readingOrder="1"/>
    </xf>
    <xf numFmtId="0" fontId="38" fillId="19" borderId="78" xfId="0" applyFont="1" applyFill="1" applyBorder="1" applyAlignment="1">
      <alignment horizontal="center" wrapText="1" readingOrder="1"/>
    </xf>
    <xf numFmtId="0" fontId="38" fillId="19" borderId="78" xfId="0" applyFont="1" applyFill="1" applyBorder="1" applyAlignment="1">
      <alignment horizontal="center" vertical="center" wrapText="1" readingOrder="1"/>
    </xf>
    <xf numFmtId="0" fontId="38" fillId="0" borderId="78" xfId="0" applyFont="1" applyBorder="1" applyAlignment="1">
      <alignment horizontal="left" vertical="center" wrapText="1" readingOrder="1"/>
    </xf>
    <xf numFmtId="0" fontId="29" fillId="15" borderId="78" xfId="0" applyFont="1" applyFill="1" applyBorder="1" applyAlignment="1">
      <alignment horizontal="center" wrapText="1" readingOrder="1"/>
    </xf>
    <xf numFmtId="0" fontId="36" fillId="11" borderId="0" xfId="0" applyFont="1" applyFill="1" applyAlignment="1">
      <alignment horizontal="center" vertical="center"/>
    </xf>
    <xf numFmtId="0" fontId="36" fillId="21" borderId="32" xfId="0" applyFont="1" applyFill="1" applyBorder="1" applyAlignment="1">
      <alignment horizontal="center"/>
    </xf>
    <xf numFmtId="0" fontId="36" fillId="21" borderId="1" xfId="0" applyFont="1" applyFill="1" applyBorder="1" applyAlignment="1">
      <alignment horizontal="center"/>
    </xf>
    <xf numFmtId="0" fontId="36" fillId="0" borderId="18" xfId="0" applyFont="1" applyBorder="1"/>
    <xf numFmtId="0" fontId="36" fillId="0" borderId="40" xfId="0" applyFont="1" applyBorder="1"/>
    <xf numFmtId="0" fontId="36" fillId="21" borderId="2" xfId="0" applyFont="1" applyFill="1" applyBorder="1"/>
    <xf numFmtId="0" fontId="36" fillId="21" borderId="42" xfId="0" applyFont="1" applyFill="1" applyBorder="1" applyAlignment="1">
      <alignment horizontal="center"/>
    </xf>
    <xf numFmtId="0" fontId="40" fillId="20" borderId="12" xfId="0" applyFont="1" applyFill="1" applyBorder="1" applyAlignment="1">
      <alignment horizontal="center" vertical="center"/>
    </xf>
    <xf numFmtId="0" fontId="40" fillId="20" borderId="62" xfId="0" applyFont="1" applyFill="1" applyBorder="1" applyAlignment="1">
      <alignment horizontal="center" vertical="center"/>
    </xf>
    <xf numFmtId="0" fontId="30" fillId="20" borderId="12" xfId="0" applyFont="1" applyFill="1" applyBorder="1" applyAlignment="1">
      <alignment horizontal="center" wrapText="1" readingOrder="1"/>
    </xf>
    <xf numFmtId="0" fontId="30" fillId="20" borderId="62" xfId="0" applyFont="1" applyFill="1" applyBorder="1" applyAlignment="1">
      <alignment horizontal="center" wrapText="1" readingOrder="1"/>
    </xf>
    <xf numFmtId="0" fontId="35" fillId="20" borderId="28" xfId="0" applyFont="1" applyFill="1" applyBorder="1" applyAlignment="1">
      <alignment horizontal="center"/>
    </xf>
    <xf numFmtId="0" fontId="35" fillId="20" borderId="64" xfId="0" applyFont="1" applyFill="1" applyBorder="1" applyAlignment="1">
      <alignment horizontal="center"/>
    </xf>
    <xf numFmtId="0" fontId="40" fillId="0" borderId="5" xfId="0" applyFont="1" applyBorder="1" applyAlignment="1">
      <alignment horizontal="center"/>
    </xf>
    <xf numFmtId="0" fontId="40" fillId="21" borderId="13" xfId="0" applyFont="1" applyFill="1" applyBorder="1" applyAlignment="1">
      <alignment horizontal="center" vertical="center"/>
    </xf>
    <xf numFmtId="0" fontId="40" fillId="21" borderId="63" xfId="0" applyFont="1" applyFill="1" applyBorder="1" applyAlignment="1">
      <alignment horizontal="center" vertical="center"/>
    </xf>
    <xf numFmtId="0" fontId="30" fillId="21" borderId="13" xfId="0" applyFont="1" applyFill="1" applyBorder="1" applyAlignment="1">
      <alignment horizontal="center" wrapText="1" readingOrder="1"/>
    </xf>
    <xf numFmtId="0" fontId="30" fillId="21" borderId="63" xfId="0" applyFont="1" applyFill="1" applyBorder="1" applyAlignment="1">
      <alignment horizontal="center" wrapText="1" readingOrder="1"/>
    </xf>
    <xf numFmtId="0" fontId="35" fillId="21" borderId="13" xfId="0" applyFont="1" applyFill="1" applyBorder="1" applyAlignment="1">
      <alignment horizontal="center" vertical="center"/>
    </xf>
    <xf numFmtId="0" fontId="35" fillId="21" borderId="13" xfId="0" applyFont="1" applyFill="1" applyBorder="1" applyAlignment="1">
      <alignment horizontal="center"/>
    </xf>
    <xf numFmtId="0" fontId="35" fillId="21" borderId="63" xfId="0" applyFont="1" applyFill="1" applyBorder="1" applyAlignment="1">
      <alignment horizontal="center"/>
    </xf>
    <xf numFmtId="0" fontId="36" fillId="17" borderId="6" xfId="0" applyFont="1" applyFill="1" applyBorder="1" applyAlignment="1">
      <alignment horizontal="center" vertical="center"/>
    </xf>
    <xf numFmtId="0" fontId="35" fillId="17" borderId="49" xfId="0" applyFont="1" applyFill="1" applyBorder="1" applyAlignment="1">
      <alignment horizontal="center" vertical="center"/>
    </xf>
    <xf numFmtId="0" fontId="35" fillId="17" borderId="50" xfId="0" applyFont="1" applyFill="1" applyBorder="1" applyAlignment="1">
      <alignment horizontal="center" vertical="center"/>
    </xf>
    <xf numFmtId="0" fontId="35" fillId="17" borderId="7" xfId="0" applyFont="1" applyFill="1" applyBorder="1" applyAlignment="1">
      <alignment horizontal="center" vertical="center"/>
    </xf>
    <xf numFmtId="14" fontId="42" fillId="22" borderId="86" xfId="0" applyNumberFormat="1" applyFont="1" applyFill="1" applyBorder="1" applyAlignment="1">
      <alignment horizontal="right" wrapText="1"/>
    </xf>
    <xf numFmtId="0" fontId="43" fillId="23" borderId="90" xfId="0" applyFont="1" applyFill="1" applyBorder="1" applyAlignment="1">
      <alignment wrapText="1"/>
    </xf>
    <xf numFmtId="0" fontId="44" fillId="23" borderId="90" xfId="0" applyFont="1" applyFill="1" applyBorder="1" applyAlignment="1">
      <alignment wrapText="1"/>
    </xf>
    <xf numFmtId="0" fontId="44" fillId="23" borderId="86" xfId="0" applyFont="1" applyFill="1" applyBorder="1" applyAlignment="1">
      <alignment wrapText="1"/>
    </xf>
    <xf numFmtId="0" fontId="45" fillId="24" borderId="91" xfId="0" applyFont="1" applyFill="1" applyBorder="1" applyAlignment="1">
      <alignment wrapText="1"/>
    </xf>
    <xf numFmtId="0" fontId="42" fillId="25" borderId="92" xfId="0" applyFont="1" applyFill="1" applyBorder="1" applyAlignment="1">
      <alignment wrapText="1"/>
    </xf>
    <xf numFmtId="0" fontId="46" fillId="26" borderId="91" xfId="0" applyFont="1" applyFill="1" applyBorder="1" applyAlignment="1">
      <alignment wrapText="1"/>
    </xf>
    <xf numFmtId="0" fontId="45" fillId="27" borderId="92" xfId="0" applyFont="1" applyFill="1" applyBorder="1" applyAlignment="1">
      <alignment horizontal="center" wrapText="1"/>
    </xf>
    <xf numFmtId="0" fontId="47" fillId="0" borderId="91" xfId="0" applyFont="1" applyBorder="1" applyAlignment="1">
      <alignment wrapText="1"/>
    </xf>
    <xf numFmtId="0" fontId="45" fillId="0" borderId="92" xfId="0" applyFont="1" applyBorder="1" applyAlignment="1">
      <alignment horizontal="center" wrapText="1"/>
    </xf>
    <xf numFmtId="0" fontId="42" fillId="0" borderId="92" xfId="0" applyFont="1" applyBorder="1" applyAlignment="1">
      <alignment wrapText="1"/>
    </xf>
    <xf numFmtId="0" fontId="42" fillId="27" borderId="92" xfId="0" applyFont="1" applyFill="1" applyBorder="1" applyAlignment="1">
      <alignment wrapText="1"/>
    </xf>
    <xf numFmtId="0" fontId="45" fillId="10" borderId="92" xfId="0" applyFont="1" applyFill="1" applyBorder="1" applyAlignment="1">
      <alignment horizontal="center" wrapText="1"/>
    </xf>
    <xf numFmtId="0" fontId="45" fillId="28" borderId="91" xfId="0" applyFont="1" applyFill="1" applyBorder="1" applyAlignment="1">
      <alignment wrapText="1"/>
    </xf>
    <xf numFmtId="0" fontId="48" fillId="26" borderId="91" xfId="0" applyFont="1" applyFill="1" applyBorder="1" applyAlignment="1">
      <alignment wrapText="1"/>
    </xf>
    <xf numFmtId="9" fontId="45" fillId="0" borderId="92" xfId="0" applyNumberFormat="1" applyFont="1" applyBorder="1" applyAlignment="1">
      <alignment horizontal="center" wrapText="1"/>
    </xf>
    <xf numFmtId="0" fontId="29" fillId="0" borderId="78" xfId="0" applyFont="1" applyBorder="1" applyAlignment="1">
      <alignment horizontal="center" wrapText="1" readingOrder="1"/>
    </xf>
    <xf numFmtId="0" fontId="40" fillId="0" borderId="5" xfId="0" applyFont="1" applyBorder="1" applyAlignment="1">
      <alignment horizontal="center" vertical="center"/>
    </xf>
    <xf numFmtId="0" fontId="49" fillId="11" borderId="5" xfId="0" applyFont="1" applyFill="1" applyBorder="1" applyAlignment="1">
      <alignment horizontal="center" wrapText="1"/>
    </xf>
    <xf numFmtId="0" fontId="35" fillId="17" borderId="34" xfId="0" applyFont="1" applyFill="1" applyBorder="1" applyAlignment="1">
      <alignment horizontal="center" vertical="center"/>
    </xf>
    <xf numFmtId="0" fontId="36" fillId="21" borderId="69" xfId="0" applyFont="1" applyFill="1" applyBorder="1" applyAlignment="1">
      <alignment horizontal="center"/>
    </xf>
    <xf numFmtId="0" fontId="35" fillId="21" borderId="23" xfId="0" applyFont="1" applyFill="1" applyBorder="1" applyAlignment="1">
      <alignment horizontal="center" vertical="center"/>
    </xf>
    <xf numFmtId="0" fontId="35" fillId="21" borderId="24" xfId="0" applyFont="1" applyFill="1" applyBorder="1" applyAlignment="1">
      <alignment horizontal="center"/>
    </xf>
    <xf numFmtId="0" fontId="35" fillId="21" borderId="25" xfId="0" applyFont="1" applyFill="1" applyBorder="1" applyAlignment="1">
      <alignment horizontal="center"/>
    </xf>
    <xf numFmtId="0" fontId="35" fillId="17" borderId="3" xfId="0" applyFont="1" applyFill="1" applyBorder="1" applyAlignment="1">
      <alignment horizontal="center" vertical="center"/>
    </xf>
    <xf numFmtId="0" fontId="35" fillId="20" borderId="20" xfId="0" applyFont="1" applyFill="1" applyBorder="1" applyAlignment="1">
      <alignment horizontal="center"/>
    </xf>
    <xf numFmtId="0" fontId="35" fillId="20" borderId="21" xfId="0" applyFont="1" applyFill="1" applyBorder="1" applyAlignment="1">
      <alignment horizontal="center"/>
    </xf>
    <xf numFmtId="0" fontId="35" fillId="20" borderId="22" xfId="0" applyFont="1" applyFill="1" applyBorder="1" applyAlignment="1">
      <alignment horizontal="center"/>
    </xf>
    <xf numFmtId="0" fontId="36" fillId="17" borderId="26" xfId="0" applyFont="1" applyFill="1" applyBorder="1" applyAlignment="1">
      <alignment horizontal="center" vertical="center"/>
    </xf>
    <xf numFmtId="0" fontId="36" fillId="0" borderId="24" xfId="0" applyFont="1" applyBorder="1"/>
    <xf numFmtId="0" fontId="36" fillId="0" borderId="72" xfId="0" applyFont="1" applyBorder="1"/>
    <xf numFmtId="0" fontId="36" fillId="21" borderId="1" xfId="0" applyFont="1" applyFill="1" applyBorder="1"/>
    <xf numFmtId="0" fontId="30" fillId="17" borderId="5" xfId="0" applyFont="1" applyFill="1" applyBorder="1" applyAlignment="1">
      <alignment horizontal="center" vertical="center" wrapText="1" readingOrder="1"/>
    </xf>
    <xf numFmtId="0" fontId="30" fillId="11" borderId="5" xfId="0" applyFont="1" applyFill="1" applyBorder="1" applyAlignment="1">
      <alignment horizontal="left" wrapText="1" readingOrder="1"/>
    </xf>
    <xf numFmtId="0" fontId="30" fillId="11" borderId="5" xfId="0" applyFont="1" applyFill="1" applyBorder="1" applyAlignment="1">
      <alignment horizontal="center" vertical="center" wrapText="1" readingOrder="1"/>
    </xf>
    <xf numFmtId="0" fontId="50" fillId="11" borderId="5" xfId="0" applyFont="1" applyFill="1" applyBorder="1" applyAlignment="1">
      <alignment horizontal="center" vertical="center" wrapText="1" readingOrder="1"/>
    </xf>
    <xf numFmtId="0" fontId="51" fillId="11" borderId="5" xfId="0" applyFont="1" applyFill="1" applyBorder="1" applyAlignment="1">
      <alignment horizontal="center" wrapText="1"/>
    </xf>
    <xf numFmtId="0" fontId="28" fillId="16" borderId="81" xfId="0" applyFont="1" applyFill="1" applyBorder="1" applyAlignment="1">
      <alignment horizontal="center" vertical="center" wrapText="1" readingOrder="1"/>
    </xf>
    <xf numFmtId="0" fontId="28" fillId="16" borderId="96" xfId="0" applyFont="1" applyFill="1" applyBorder="1" applyAlignment="1">
      <alignment horizontal="center" vertical="center" wrapText="1" readingOrder="1"/>
    </xf>
    <xf numFmtId="0" fontId="30" fillId="11" borderId="73" xfId="0" applyFont="1" applyFill="1" applyBorder="1" applyAlignment="1">
      <alignment horizontal="center" wrapText="1" readingOrder="1"/>
    </xf>
    <xf numFmtId="0" fontId="30" fillId="0" borderId="97" xfId="0" applyFont="1" applyBorder="1" applyAlignment="1">
      <alignment horizontal="center" wrapText="1" readingOrder="1"/>
    </xf>
    <xf numFmtId="0" fontId="49" fillId="11" borderId="39" xfId="0" applyFont="1" applyFill="1" applyBorder="1" applyAlignment="1">
      <alignment horizontal="center" wrapText="1"/>
    </xf>
    <xf numFmtId="0" fontId="36" fillId="0" borderId="30" xfId="0" applyFont="1" applyBorder="1"/>
    <xf numFmtId="0" fontId="35" fillId="20" borderId="68" xfId="0" applyFont="1" applyFill="1" applyBorder="1" applyAlignment="1">
      <alignment horizontal="center"/>
    </xf>
    <xf numFmtId="0" fontId="35" fillId="21" borderId="29" xfId="0" applyFont="1" applyFill="1" applyBorder="1" applyAlignment="1">
      <alignment horizontal="center"/>
    </xf>
    <xf numFmtId="0" fontId="52" fillId="0" borderId="78" xfId="0" applyFont="1" applyBorder="1" applyAlignment="1">
      <alignment horizontal="center" wrapText="1" readingOrder="1"/>
    </xf>
    <xf numFmtId="0" fontId="28" fillId="14" borderId="5" xfId="0" applyFont="1" applyFill="1" applyBorder="1" applyAlignment="1">
      <alignment horizontal="left" readingOrder="1"/>
    </xf>
    <xf numFmtId="0" fontId="28" fillId="14" borderId="5" xfId="0" applyFont="1" applyFill="1" applyBorder="1" applyAlignment="1">
      <alignment horizontal="center" readingOrder="1"/>
    </xf>
    <xf numFmtId="0" fontId="31" fillId="16" borderId="78" xfId="0" applyFont="1" applyFill="1" applyBorder="1" applyAlignment="1">
      <alignment horizontal="center" vertical="center" readingOrder="1"/>
    </xf>
    <xf numFmtId="0" fontId="29" fillId="0" borderId="5" xfId="0" applyFont="1" applyBorder="1" applyAlignment="1">
      <alignment horizontal="left" readingOrder="1"/>
    </xf>
    <xf numFmtId="0" fontId="30" fillId="0" borderId="78" xfId="0" applyFont="1" applyBorder="1" applyAlignment="1">
      <alignment horizontal="center" readingOrder="1"/>
    </xf>
    <xf numFmtId="0" fontId="30" fillId="15" borderId="5" xfId="0" applyFont="1" applyFill="1" applyBorder="1" applyAlignment="1">
      <alignment horizontal="center" readingOrder="1"/>
    </xf>
    <xf numFmtId="0" fontId="30" fillId="11" borderId="5" xfId="0" applyFont="1" applyFill="1" applyBorder="1" applyAlignment="1">
      <alignment horizontal="center" readingOrder="1"/>
    </xf>
    <xf numFmtId="0" fontId="30" fillId="11" borderId="73" xfId="0" applyFont="1" applyFill="1" applyBorder="1" applyAlignment="1">
      <alignment horizontal="center" readingOrder="1"/>
    </xf>
    <xf numFmtId="0" fontId="29" fillId="15" borderId="5" xfId="0" applyFont="1" applyFill="1" applyBorder="1" applyAlignment="1">
      <alignment horizontal="left" readingOrder="1"/>
    </xf>
    <xf numFmtId="0" fontId="30" fillId="15" borderId="78" xfId="0" applyFont="1" applyFill="1" applyBorder="1" applyAlignment="1">
      <alignment horizontal="center" readingOrder="1"/>
    </xf>
    <xf numFmtId="0" fontId="29" fillId="11" borderId="5" xfId="0" applyFont="1" applyFill="1" applyBorder="1" applyAlignment="1">
      <alignment horizontal="left" readingOrder="1"/>
    </xf>
    <xf numFmtId="0" fontId="52" fillId="0" borderId="78" xfId="0" applyFont="1" applyBorder="1" applyAlignment="1">
      <alignment horizontal="center" readingOrder="1"/>
    </xf>
    <xf numFmtId="0" fontId="49" fillId="11" borderId="39" xfId="0" applyFont="1" applyFill="1" applyBorder="1" applyAlignment="1">
      <alignment horizontal="center"/>
    </xf>
    <xf numFmtId="0" fontId="30" fillId="0" borderId="97" xfId="0" applyFont="1" applyBorder="1" applyAlignment="1">
      <alignment horizontal="center" readingOrder="1"/>
    </xf>
    <xf numFmtId="0" fontId="53" fillId="0" borderId="0" xfId="0" applyFont="1"/>
    <xf numFmtId="0" fontId="31" fillId="16" borderId="78" xfId="0" applyFont="1" applyFill="1" applyBorder="1" applyAlignment="1">
      <alignment horizontal="left" vertical="center" readingOrder="1"/>
    </xf>
    <xf numFmtId="0" fontId="30" fillId="0" borderId="78" xfId="0" applyFont="1" applyBorder="1" applyAlignment="1">
      <alignment horizontal="left" readingOrder="1"/>
    </xf>
    <xf numFmtId="0" fontId="30" fillId="0" borderId="81" xfId="0" applyFont="1" applyBorder="1" applyAlignment="1">
      <alignment horizontal="left" readingOrder="1"/>
    </xf>
    <xf numFmtId="0" fontId="30" fillId="0" borderId="5" xfId="0" applyFont="1" applyBorder="1" applyAlignment="1">
      <alignment horizontal="left" readingOrder="1"/>
    </xf>
    <xf numFmtId="0" fontId="30" fillId="15" borderId="80" xfId="0" applyFont="1" applyFill="1" applyBorder="1" applyAlignment="1">
      <alignment horizontal="left" readingOrder="1"/>
    </xf>
    <xf numFmtId="0" fontId="30" fillId="15" borderId="39" xfId="0" applyFont="1" applyFill="1" applyBorder="1" applyAlignment="1">
      <alignment horizontal="center" readingOrder="1"/>
    </xf>
    <xf numFmtId="0" fontId="55" fillId="0" borderId="0" xfId="0" applyFont="1"/>
    <xf numFmtId="0" fontId="28" fillId="16" borderId="81" xfId="0" applyFont="1" applyFill="1" applyBorder="1" applyAlignment="1">
      <alignment horizontal="center" vertical="center" readingOrder="1"/>
    </xf>
    <xf numFmtId="0" fontId="28" fillId="16" borderId="78" xfId="0" applyFont="1" applyFill="1" applyBorder="1" applyAlignment="1">
      <alignment horizontal="center" vertical="center" readingOrder="1"/>
    </xf>
    <xf numFmtId="0" fontId="28" fillId="16" borderId="79" xfId="0" applyFont="1" applyFill="1" applyBorder="1" applyAlignment="1">
      <alignment horizontal="center" vertical="center" readingOrder="1"/>
    </xf>
    <xf numFmtId="0" fontId="28" fillId="16" borderId="96" xfId="0" applyFont="1" applyFill="1" applyBorder="1" applyAlignment="1">
      <alignment horizontal="center" vertical="center" readingOrder="1"/>
    </xf>
    <xf numFmtId="0" fontId="28" fillId="16" borderId="82" xfId="0" applyFont="1" applyFill="1" applyBorder="1" applyAlignment="1">
      <alignment horizontal="center" vertical="center" readingOrder="1"/>
    </xf>
    <xf numFmtId="0" fontId="30" fillId="11" borderId="28" xfId="0" applyFont="1" applyFill="1" applyBorder="1" applyAlignment="1">
      <alignment horizontal="center" readingOrder="1"/>
    </xf>
    <xf numFmtId="0" fontId="29" fillId="15" borderId="78" xfId="0" applyFont="1" applyFill="1" applyBorder="1" applyAlignment="1">
      <alignment horizontal="center" readingOrder="1"/>
    </xf>
    <xf numFmtId="0" fontId="29" fillId="0" borderId="78" xfId="0" applyFont="1" applyBorder="1" applyAlignment="1">
      <alignment horizontal="center" readingOrder="1"/>
    </xf>
    <xf numFmtId="0" fontId="57" fillId="0" borderId="0" xfId="0" applyFont="1" applyAlignment="1">
      <alignment horizontal="center" vertical="center"/>
    </xf>
    <xf numFmtId="0" fontId="58" fillId="0" borderId="0" xfId="0" applyFont="1" applyAlignment="1">
      <alignment horizontal="left" vertical="center" indent="3"/>
    </xf>
    <xf numFmtId="0" fontId="57" fillId="0" borderId="0" xfId="0" applyFont="1"/>
    <xf numFmtId="0" fontId="30" fillId="17" borderId="5" xfId="0" applyFont="1" applyFill="1" applyBorder="1" applyAlignment="1">
      <alignment horizontal="center" vertical="center" readingOrder="1"/>
    </xf>
    <xf numFmtId="0" fontId="30" fillId="11" borderId="5" xfId="0" applyFont="1" applyFill="1" applyBorder="1" applyAlignment="1">
      <alignment horizontal="center" vertical="center" readingOrder="1"/>
    </xf>
    <xf numFmtId="0" fontId="34" fillId="11" borderId="5" xfId="0" applyFont="1" applyFill="1" applyBorder="1" applyAlignment="1">
      <alignment horizontal="center" vertical="center" readingOrder="1"/>
    </xf>
    <xf numFmtId="0" fontId="0" fillId="0" borderId="2" xfId="0" applyBorder="1"/>
    <xf numFmtId="0" fontId="0" fillId="0" borderId="31" xfId="0" applyBorder="1"/>
    <xf numFmtId="0" fontId="36" fillId="0" borderId="14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7" fillId="0" borderId="9" xfId="0" applyFont="1" applyBorder="1" applyAlignment="1">
      <alignment horizontal="center" vertical="center" wrapText="1" readingOrder="1"/>
    </xf>
    <xf numFmtId="0" fontId="37" fillId="0" borderId="10" xfId="0" applyFont="1" applyBorder="1" applyAlignment="1">
      <alignment horizontal="center" vertical="center" wrapText="1" readingOrder="1"/>
    </xf>
    <xf numFmtId="0" fontId="37" fillId="0" borderId="11" xfId="0" applyFont="1" applyBorder="1" applyAlignment="1">
      <alignment horizontal="center" vertical="center" wrapText="1" readingOrder="1"/>
    </xf>
    <xf numFmtId="0" fontId="37" fillId="15" borderId="49" xfId="0" applyFont="1" applyFill="1" applyBorder="1" applyAlignment="1">
      <alignment horizontal="center" vertical="center" readingOrder="1"/>
    </xf>
    <xf numFmtId="0" fontId="37" fillId="15" borderId="47" xfId="0" applyFont="1" applyFill="1" applyBorder="1" applyAlignment="1">
      <alignment horizontal="center" vertical="center" readingOrder="1"/>
    </xf>
    <xf numFmtId="0" fontId="37" fillId="15" borderId="50" xfId="0" applyFont="1" applyFill="1" applyBorder="1" applyAlignment="1">
      <alignment horizontal="center" vertical="center" readingOrder="1"/>
    </xf>
    <xf numFmtId="0" fontId="55" fillId="0" borderId="0" xfId="0" applyFont="1" applyAlignment="1">
      <alignment horizontal="left" vertical="center" readingOrder="1"/>
    </xf>
    <xf numFmtId="0" fontId="40" fillId="0" borderId="0" xfId="0" applyFont="1" applyAlignment="1">
      <alignment horizontal="center"/>
    </xf>
    <xf numFmtId="0" fontId="49" fillId="11" borderId="0" xfId="0" applyFont="1" applyFill="1" applyAlignment="1">
      <alignment horizontal="center"/>
    </xf>
    <xf numFmtId="0" fontId="30" fillId="11" borderId="0" xfId="0" applyFont="1" applyFill="1" applyAlignment="1">
      <alignment horizontal="center" readingOrder="1"/>
    </xf>
    <xf numFmtId="0" fontId="29" fillId="15" borderId="0" xfId="0" applyFont="1" applyFill="1" applyAlignment="1">
      <alignment horizontal="center" readingOrder="1"/>
    </xf>
    <xf numFmtId="0" fontId="31" fillId="16" borderId="80" xfId="0" applyFont="1" applyFill="1" applyBorder="1" applyAlignment="1">
      <alignment horizontal="left" vertical="center" wrapText="1" readingOrder="1"/>
    </xf>
    <xf numFmtId="0" fontId="31" fillId="16" borderId="80" xfId="0" applyFont="1" applyFill="1" applyBorder="1" applyAlignment="1">
      <alignment horizontal="center" vertical="center" wrapText="1" readingOrder="1"/>
    </xf>
    <xf numFmtId="0" fontId="28" fillId="14" borderId="39" xfId="0" applyFont="1" applyFill="1" applyBorder="1" applyAlignment="1">
      <alignment horizontal="center" wrapText="1" readingOrder="1"/>
    </xf>
    <xf numFmtId="0" fontId="0" fillId="21" borderId="0" xfId="0" applyFill="1"/>
    <xf numFmtId="0" fontId="0" fillId="30" borderId="0" xfId="0" applyFill="1"/>
    <xf numFmtId="0" fontId="0" fillId="29" borderId="0" xfId="0" applyFill="1"/>
    <xf numFmtId="0" fontId="28" fillId="14" borderId="27" xfId="0" applyFont="1" applyFill="1" applyBorder="1" applyAlignment="1">
      <alignment horizontal="center" readingOrder="1"/>
    </xf>
    <xf numFmtId="0" fontId="30" fillId="0" borderId="79" xfId="0" applyFont="1" applyBorder="1" applyAlignment="1">
      <alignment horizontal="center" readingOrder="1"/>
    </xf>
    <xf numFmtId="0" fontId="30" fillId="15" borderId="41" xfId="0" applyFont="1" applyFill="1" applyBorder="1" applyAlignment="1">
      <alignment horizontal="center" readingOrder="1"/>
    </xf>
    <xf numFmtId="0" fontId="30" fillId="0" borderId="5" xfId="0" applyFont="1" applyBorder="1" applyAlignment="1">
      <alignment horizontal="center" readingOrder="1"/>
    </xf>
    <xf numFmtId="14" fontId="30" fillId="11" borderId="5" xfId="0" applyNumberFormat="1" applyFont="1" applyFill="1" applyBorder="1" applyAlignment="1">
      <alignment horizontal="left" readingOrder="1"/>
    </xf>
    <xf numFmtId="0" fontId="0" fillId="11" borderId="0" xfId="0" applyFill="1"/>
    <xf numFmtId="0" fontId="30" fillId="0" borderId="1" xfId="0" applyFont="1" applyBorder="1" applyAlignment="1">
      <alignment horizontal="center" readingOrder="1"/>
    </xf>
    <xf numFmtId="0" fontId="30" fillId="11" borderId="1" xfId="0" applyFont="1" applyFill="1" applyBorder="1" applyAlignment="1">
      <alignment horizontal="center" readingOrder="1"/>
    </xf>
    <xf numFmtId="0" fontId="64" fillId="15" borderId="1" xfId="0" applyFont="1" applyFill="1" applyBorder="1" applyAlignment="1">
      <alignment horizontal="left" readingOrder="1"/>
    </xf>
    <xf numFmtId="0" fontId="30" fillId="15" borderId="2" xfId="0" applyFont="1" applyFill="1" applyBorder="1" applyAlignment="1">
      <alignment horizontal="center" wrapText="1" readingOrder="1"/>
    </xf>
    <xf numFmtId="0" fontId="30" fillId="15" borderId="3" xfId="0" applyFont="1" applyFill="1" applyBorder="1" applyAlignment="1">
      <alignment horizontal="center" wrapText="1" readingOrder="1"/>
    </xf>
    <xf numFmtId="0" fontId="30" fillId="15" borderId="7" xfId="0" applyFont="1" applyFill="1" applyBorder="1" applyAlignment="1">
      <alignment horizontal="center" wrapText="1" readingOrder="1"/>
    </xf>
    <xf numFmtId="0" fontId="30" fillId="15" borderId="8" xfId="0" applyFont="1" applyFill="1" applyBorder="1" applyAlignment="1">
      <alignment horizontal="center" wrapText="1" readingOrder="1"/>
    </xf>
    <xf numFmtId="0" fontId="30" fillId="31" borderId="68" xfId="0" applyFont="1" applyFill="1" applyBorder="1" applyAlignment="1">
      <alignment horizontal="center" readingOrder="1"/>
    </xf>
    <xf numFmtId="0" fontId="38" fillId="18" borderId="83" xfId="0" applyFont="1" applyFill="1" applyBorder="1" applyAlignment="1">
      <alignment horizontal="center" wrapText="1" readingOrder="1"/>
    </xf>
    <xf numFmtId="0" fontId="38" fillId="18" borderId="84" xfId="0" applyFont="1" applyFill="1" applyBorder="1" applyAlignment="1">
      <alignment horizontal="center" wrapText="1" readingOrder="1"/>
    </xf>
    <xf numFmtId="0" fontId="38" fillId="18" borderId="85" xfId="0" applyFont="1" applyFill="1" applyBorder="1" applyAlignment="1">
      <alignment horizontal="center" wrapText="1" readingOrder="1"/>
    </xf>
    <xf numFmtId="0" fontId="38" fillId="18" borderId="81" xfId="0" applyFont="1" applyFill="1" applyBorder="1" applyAlignment="1">
      <alignment horizontal="center" vertical="center" wrapText="1" readingOrder="1"/>
    </xf>
    <xf numFmtId="0" fontId="38" fillId="18" borderId="80" xfId="0" applyFont="1" applyFill="1" applyBorder="1" applyAlignment="1">
      <alignment horizontal="center" vertical="center" wrapText="1" readingOrder="1"/>
    </xf>
    <xf numFmtId="0" fontId="38" fillId="18" borderId="79" xfId="0" applyFont="1" applyFill="1" applyBorder="1" applyAlignment="1">
      <alignment horizontal="center" wrapText="1" readingOrder="1"/>
    </xf>
    <xf numFmtId="0" fontId="38" fillId="18" borderId="82" xfId="0" applyFont="1" applyFill="1" applyBorder="1" applyAlignment="1">
      <alignment horizontal="center" wrapText="1" readingOrder="1"/>
    </xf>
    <xf numFmtId="0" fontId="30" fillId="15" borderId="4" xfId="0" applyFont="1" applyFill="1" applyBorder="1" applyAlignment="1">
      <alignment horizontal="center" wrapText="1" readingOrder="1"/>
    </xf>
    <xf numFmtId="0" fontId="36" fillId="17" borderId="2" xfId="0" applyFont="1" applyFill="1" applyBorder="1" applyAlignment="1">
      <alignment horizontal="center" vertical="center"/>
    </xf>
    <xf numFmtId="0" fontId="36" fillId="17" borderId="42" xfId="0" applyFont="1" applyFill="1" applyBorder="1" applyAlignment="1">
      <alignment horizontal="center" vertical="center"/>
    </xf>
    <xf numFmtId="0" fontId="36" fillId="17" borderId="43" xfId="0" applyFont="1" applyFill="1" applyBorder="1" applyAlignment="1">
      <alignment horizontal="center" vertical="center"/>
    </xf>
    <xf numFmtId="0" fontId="36" fillId="17" borderId="33" xfId="0" applyFont="1" applyFill="1" applyBorder="1" applyAlignment="1">
      <alignment horizontal="center" vertical="center"/>
    </xf>
    <xf numFmtId="0" fontId="35" fillId="17" borderId="33" xfId="0" applyFont="1" applyFill="1" applyBorder="1" applyAlignment="1">
      <alignment horizontal="center" vertical="center"/>
    </xf>
    <xf numFmtId="0" fontId="35" fillId="17" borderId="34" xfId="0" applyFont="1" applyFill="1" applyBorder="1" applyAlignment="1">
      <alignment horizontal="center" vertical="center"/>
    </xf>
    <xf numFmtId="0" fontId="42" fillId="25" borderId="93" xfId="0" applyFont="1" applyFill="1" applyBorder="1" applyAlignment="1">
      <alignment wrapText="1"/>
    </xf>
    <xf numFmtId="0" fontId="42" fillId="25" borderId="94" xfId="0" applyFont="1" applyFill="1" applyBorder="1" applyAlignment="1">
      <alignment wrapText="1"/>
    </xf>
    <xf numFmtId="0" fontId="42" fillId="25" borderId="95" xfId="0" applyFont="1" applyFill="1" applyBorder="1" applyAlignment="1">
      <alignment wrapText="1"/>
    </xf>
    <xf numFmtId="0" fontId="35" fillId="17" borderId="32" xfId="0" applyFont="1" applyFill="1" applyBorder="1" applyAlignment="1">
      <alignment horizontal="center" vertical="center"/>
    </xf>
    <xf numFmtId="0" fontId="41" fillId="0" borderId="87" xfId="0" applyFont="1" applyBorder="1" applyAlignment="1">
      <alignment horizontal="center" wrapText="1"/>
    </xf>
    <xf numFmtId="0" fontId="41" fillId="0" borderId="88" xfId="0" applyFont="1" applyBorder="1" applyAlignment="1">
      <alignment horizontal="center" wrapText="1"/>
    </xf>
    <xf numFmtId="0" fontId="41" fillId="0" borderId="89" xfId="0" applyFont="1" applyBorder="1" applyAlignment="1">
      <alignment horizontal="center" wrapText="1"/>
    </xf>
    <xf numFmtId="0" fontId="42" fillId="10" borderId="93" xfId="0" applyFont="1" applyFill="1" applyBorder="1" applyAlignment="1">
      <alignment wrapText="1"/>
    </xf>
    <xf numFmtId="0" fontId="42" fillId="10" borderId="94" xfId="0" applyFont="1" applyFill="1" applyBorder="1" applyAlignment="1">
      <alignment wrapText="1"/>
    </xf>
    <xf numFmtId="0" fontId="42" fillId="10" borderId="95" xfId="0" applyFont="1" applyFill="1" applyBorder="1" applyAlignment="1">
      <alignment wrapText="1"/>
    </xf>
    <xf numFmtId="0" fontId="0" fillId="0" borderId="30" xfId="0" applyBorder="1" applyAlignment="1">
      <alignment horizontal="center" vertical="center" textRotation="45"/>
    </xf>
    <xf numFmtId="0" fontId="0" fillId="0" borderId="29" xfId="0" applyBorder="1" applyAlignment="1">
      <alignment horizontal="center" vertical="center" textRotation="45"/>
    </xf>
    <xf numFmtId="0" fontId="0" fillId="0" borderId="9" xfId="0" applyBorder="1" applyAlignment="1">
      <alignment horizontal="center" vertical="center" textRotation="45"/>
    </xf>
    <xf numFmtId="0" fontId="0" fillId="0" borderId="12" xfId="0" applyBorder="1" applyAlignment="1">
      <alignment horizontal="center" vertical="center" textRotation="45"/>
    </xf>
    <xf numFmtId="0" fontId="0" fillId="0" borderId="14" xfId="0" applyBorder="1" applyAlignment="1">
      <alignment horizontal="center" vertical="center" textRotation="45"/>
    </xf>
    <xf numFmtId="0" fontId="0" fillId="0" borderId="37" xfId="0" applyBorder="1" applyAlignment="1">
      <alignment horizontal="center" vertical="center" textRotation="45"/>
    </xf>
    <xf numFmtId="0" fontId="0" fillId="0" borderId="31" xfId="0" applyBorder="1" applyAlignment="1">
      <alignment horizontal="center" vertical="center" textRotation="45"/>
    </xf>
    <xf numFmtId="0" fontId="18" fillId="12" borderId="43" xfId="0" applyFont="1" applyFill="1" applyBorder="1" applyAlignment="1">
      <alignment horizontal="center" vertical="center"/>
    </xf>
    <xf numFmtId="0" fontId="18" fillId="12" borderId="42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6" xfId="0" applyFill="1" applyBorder="1" applyAlignment="1">
      <alignment horizontal="left" vertical="center"/>
    </xf>
    <xf numFmtId="0" fontId="0" fillId="2" borderId="30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ourcentage" xfId="2" builtinId="5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9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38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40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ANALYSE DES CAMEMBERTS ITC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E3-4AA8-8869-F889AFA49C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E3-4AA8-8869-F889AFA49C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E3-4AA8-8869-F889AFA49C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E3-4AA8-8869-F889AFA49C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E3-4AA8-8869-F889AFA49C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8E3-4AA8-8869-F889AFA49C5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8E3-4AA8-8869-F889AFA49C5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8E3-4AA8-8869-F889AFA49C5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'REVOLUTION+'!$B$25:$I$25</c:f>
              <c:strCache>
                <c:ptCount val="8"/>
                <c:pt idx="0">
                  <c:v>Réalisation Abidjan</c:v>
                </c:pt>
                <c:pt idx="1">
                  <c:v>Réalisation Bouake</c:v>
                </c:pt>
                <c:pt idx="2">
                  <c:v>Réalisation Yamoussoukro</c:v>
                </c:pt>
                <c:pt idx="3">
                  <c:v>Réalisation Divo</c:v>
                </c:pt>
                <c:pt idx="4">
                  <c:v>Réalisation Gagnoa</c:v>
                </c:pt>
                <c:pt idx="5">
                  <c:v>Réalisation San Pedro</c:v>
                </c:pt>
                <c:pt idx="6">
                  <c:v>Réalisation Katiola</c:v>
                </c:pt>
                <c:pt idx="7">
                  <c:v>Reliquat Objectifs Moov</c:v>
                </c:pt>
              </c:strCache>
            </c:strRef>
          </c:cat>
          <c:val>
            <c:numRef>
              <c:f>'REVOLUTION+'!$B$26:$I$26</c:f>
              <c:numCache>
                <c:formatCode>General</c:formatCode>
                <c:ptCount val="8"/>
                <c:pt idx="0">
                  <c:v>103</c:v>
                </c:pt>
                <c:pt idx="1">
                  <c:v>44</c:v>
                </c:pt>
                <c:pt idx="2">
                  <c:v>81</c:v>
                </c:pt>
                <c:pt idx="3">
                  <c:v>13</c:v>
                </c:pt>
                <c:pt idx="4">
                  <c:v>7</c:v>
                </c:pt>
                <c:pt idx="5">
                  <c:v>30</c:v>
                </c:pt>
                <c:pt idx="6">
                  <c:v>15</c:v>
                </c:pt>
                <c:pt idx="7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6-440C-BD55-BFAAEC605D8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 i="1" u="none" strike="noStrike" kern="1200" baseline="0">
                <a:solidFill>
                  <a:srgbClr val="F018C2"/>
                </a:solidFill>
                <a:effectLst/>
                <a:latin typeface="Calibri" panose="020F0502020204030204" pitchFamily="34" charset="0"/>
                <a:ea typeface="+mn-ea"/>
                <a:cs typeface="+mn-cs"/>
              </a:rPr>
              <a:t>Graphique</a:t>
            </a:r>
            <a:r>
              <a:rPr lang="fr-FR" sz="1200"/>
              <a:t> </a:t>
            </a:r>
            <a:r>
              <a:rPr lang="fr-FR" sz="2000" b="1" i="1" u="none" strike="noStrike" kern="1200" baseline="0">
                <a:solidFill>
                  <a:srgbClr val="F018C2"/>
                </a:solidFill>
                <a:effectLst/>
                <a:latin typeface="Calibri" panose="020F0502020204030204" pitchFamily="34" charset="0"/>
              </a:rPr>
              <a:t>l'volution par semaine des instances </a:t>
            </a:r>
            <a:endParaRPr lang="fr-FR" sz="1200"/>
          </a:p>
        </c:rich>
      </c:tx>
      <c:layout>
        <c:manualLayout>
          <c:xMode val="edge"/>
          <c:yMode val="edge"/>
          <c:x val="9.7019816887507951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7CD-41C2-8B4D-ECE0670F79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7CD-41C2-8B4D-ECE0670F79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7CD-41C2-8B4D-ECE0670F79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7CD-41C2-8B4D-ECE0670F79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7CD-41C2-8B4D-ECE0670F79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7CD-41C2-8B4D-ECE0670F794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'REVOLUTION+'!$B$51:$G$51</c:f>
              <c:strCache>
                <c:ptCount val="6"/>
                <c:pt idx="0">
                  <c:v>HORS ZONE</c:v>
                </c:pt>
                <c:pt idx="1">
                  <c:v> Sans PCO</c:v>
                </c:pt>
                <c:pt idx="2">
                  <c:v>Avec PCO</c:v>
                </c:pt>
                <c:pt idx="3">
                  <c:v>AUTRE DC/DI/INJ</c:v>
                </c:pt>
                <c:pt idx="4">
                  <c:v>Etude</c:v>
                </c:pt>
                <c:pt idx="5">
                  <c:v>Raccordé</c:v>
                </c:pt>
              </c:strCache>
            </c:strRef>
          </c:cat>
          <c:val>
            <c:numRef>
              <c:f>'REVOLUTION+'!$B$52:$G$52</c:f>
              <c:numCache>
                <c:formatCode>General</c:formatCode>
                <c:ptCount val="6"/>
                <c:pt idx="0">
                  <c:v>10</c:v>
                </c:pt>
                <c:pt idx="1">
                  <c:v>43</c:v>
                </c:pt>
                <c:pt idx="2">
                  <c:v>29</c:v>
                </c:pt>
                <c:pt idx="3">
                  <c:v>0</c:v>
                </c:pt>
                <c:pt idx="4">
                  <c:v>65</c:v>
                </c:pt>
                <c:pt idx="5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8-47A3-AE70-70A16942FA6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'REVOLUTION+'!$D$72</c:f>
              <c:strCache>
                <c:ptCount val="1"/>
                <c:pt idx="0">
                  <c:v>Nbre d'instances reçues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'REVOLUTION+'!$C$73:$C$80</c:f>
              <c:strCache>
                <c:ptCount val="8"/>
                <c:pt idx="0">
                  <c:v>09/02/2026</c:v>
                </c:pt>
                <c:pt idx="1">
                  <c:v>10/02/2026</c:v>
                </c:pt>
                <c:pt idx="2">
                  <c:v>11/02/2026</c:v>
                </c:pt>
                <c:pt idx="3">
                  <c:v>12/02/2026</c:v>
                </c:pt>
                <c:pt idx="4">
                  <c:v>13/02/2026</c:v>
                </c:pt>
                <c:pt idx="5">
                  <c:v>14/02/2026</c:v>
                </c:pt>
                <c:pt idx="6">
                  <c:v>15/02/2026</c:v>
                </c:pt>
                <c:pt idx="7">
                  <c:v>TOTAL</c:v>
                </c:pt>
              </c:strCache>
            </c:strRef>
          </c:cat>
          <c:val>
            <c:numRef>
              <c:f>'REVOLUTION+'!$D$73:$D$80</c:f>
              <c:numCache>
                <c:formatCode>General</c:formatCode>
                <c:ptCount val="8"/>
                <c:pt idx="0">
                  <c:v>31</c:v>
                </c:pt>
                <c:pt idx="1">
                  <c:v>123</c:v>
                </c:pt>
                <c:pt idx="2">
                  <c:v>48</c:v>
                </c:pt>
                <c:pt idx="3">
                  <c:v>44</c:v>
                </c:pt>
                <c:pt idx="4">
                  <c:v>13</c:v>
                </c:pt>
                <c:pt idx="5">
                  <c:v>104</c:v>
                </c:pt>
                <c:pt idx="6">
                  <c:v>0</c:v>
                </c:pt>
                <c:pt idx="7">
                  <c:v>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6-4929-9F7A-5ED3C5DE91BD}"/>
            </c:ext>
          </c:extLst>
        </c:ser>
        <c:ser>
          <c:idx val="1"/>
          <c:order val="1"/>
          <c:tx>
            <c:strRef>
              <c:f>'REVOLUTION+'!$E$72</c:f>
              <c:strCache>
                <c:ptCount val="1"/>
                <c:pt idx="0">
                  <c:v>Nbre d'instances raccordées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'REVOLUTION+'!$C$73:$C$80</c:f>
              <c:strCache>
                <c:ptCount val="8"/>
                <c:pt idx="0">
                  <c:v>09/02/2026</c:v>
                </c:pt>
                <c:pt idx="1">
                  <c:v>10/02/2026</c:v>
                </c:pt>
                <c:pt idx="2">
                  <c:v>11/02/2026</c:v>
                </c:pt>
                <c:pt idx="3">
                  <c:v>12/02/2026</c:v>
                </c:pt>
                <c:pt idx="4">
                  <c:v>13/02/2026</c:v>
                </c:pt>
                <c:pt idx="5">
                  <c:v>14/02/2026</c:v>
                </c:pt>
                <c:pt idx="6">
                  <c:v>15/02/2026</c:v>
                </c:pt>
                <c:pt idx="7">
                  <c:v>TOTAL</c:v>
                </c:pt>
              </c:strCache>
            </c:strRef>
          </c:cat>
          <c:val>
            <c:numRef>
              <c:f>'REVOLUTION+'!$E$73:$E$80</c:f>
              <c:numCache>
                <c:formatCode>General</c:formatCode>
                <c:ptCount val="8"/>
                <c:pt idx="0">
                  <c:v>65</c:v>
                </c:pt>
                <c:pt idx="1">
                  <c:v>58</c:v>
                </c:pt>
                <c:pt idx="2">
                  <c:v>46</c:v>
                </c:pt>
                <c:pt idx="3">
                  <c:v>48</c:v>
                </c:pt>
                <c:pt idx="4">
                  <c:v>46</c:v>
                </c:pt>
                <c:pt idx="5">
                  <c:v>30</c:v>
                </c:pt>
                <c:pt idx="6">
                  <c:v>0</c:v>
                </c:pt>
                <c:pt idx="7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86-4929-9F7A-5ED3C5DE91BD}"/>
            </c:ext>
          </c:extLst>
        </c:ser>
        <c:ser>
          <c:idx val="2"/>
          <c:order val="2"/>
          <c:tx>
            <c:strRef>
              <c:f>'REVOLUTION+'!$F$72</c:f>
              <c:strCache>
                <c:ptCount val="1"/>
                <c:pt idx="0">
                  <c:v>Nbre d'instances Mise en service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'REVOLUTION+'!$C$73:$C$80</c:f>
              <c:strCache>
                <c:ptCount val="8"/>
                <c:pt idx="0">
                  <c:v>09/02/2026</c:v>
                </c:pt>
                <c:pt idx="1">
                  <c:v>10/02/2026</c:v>
                </c:pt>
                <c:pt idx="2">
                  <c:v>11/02/2026</c:v>
                </c:pt>
                <c:pt idx="3">
                  <c:v>12/02/2026</c:v>
                </c:pt>
                <c:pt idx="4">
                  <c:v>13/02/2026</c:v>
                </c:pt>
                <c:pt idx="5">
                  <c:v>14/02/2026</c:v>
                </c:pt>
                <c:pt idx="6">
                  <c:v>15/02/2026</c:v>
                </c:pt>
                <c:pt idx="7">
                  <c:v>TOTAL</c:v>
                </c:pt>
              </c:strCache>
            </c:strRef>
          </c:cat>
          <c:val>
            <c:numRef>
              <c:f>'REVOLUTION+'!$F$73:$F$80</c:f>
              <c:numCache>
                <c:formatCode>General</c:formatCode>
                <c:ptCount val="8"/>
                <c:pt idx="0">
                  <c:v>65</c:v>
                </c:pt>
                <c:pt idx="1">
                  <c:v>58</c:v>
                </c:pt>
                <c:pt idx="2">
                  <c:v>46</c:v>
                </c:pt>
                <c:pt idx="3">
                  <c:v>48</c:v>
                </c:pt>
                <c:pt idx="4">
                  <c:v>46</c:v>
                </c:pt>
                <c:pt idx="5">
                  <c:v>30</c:v>
                </c:pt>
                <c:pt idx="6">
                  <c:v>0</c:v>
                </c:pt>
                <c:pt idx="7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86-4929-9F7A-5ED3C5DE91B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9270511"/>
        <c:axId val="1349270991"/>
      </c:barChart>
      <c:catAx>
        <c:axId val="134927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9270991"/>
        <c:crosses val="autoZero"/>
        <c:auto val="1"/>
        <c:lblAlgn val="ctr"/>
        <c:lblOffset val="100"/>
        <c:noMultiLvlLbl val="0"/>
      </c:catAx>
      <c:valAx>
        <c:axId val="134927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927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ANALYSE DES PERFORMANCES DES EQUIPES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'REVOLUTION+'!$A$100</c:f>
              <c:strCache>
                <c:ptCount val="1"/>
                <c:pt idx="0">
                  <c:v>TRAITE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'REVOLUTION+'!$B$99:$J$99</c:f>
              <c:strCache>
                <c:ptCount val="9"/>
                <c:pt idx="0">
                  <c:v>EQUIPE YAYAHA</c:v>
                </c:pt>
                <c:pt idx="1">
                  <c:v>EQUIPE ERIC</c:v>
                </c:pt>
                <c:pt idx="2">
                  <c:v>TMS</c:v>
                </c:pt>
                <c:pt idx="3">
                  <c:v>EQUIPE CLS</c:v>
                </c:pt>
                <c:pt idx="4">
                  <c:v>EQUIPE L J GROUP</c:v>
                </c:pt>
                <c:pt idx="5">
                  <c:v>EQUIPE AGOLLEY</c:v>
                </c:pt>
                <c:pt idx="6">
                  <c:v>HTS</c:v>
                </c:pt>
                <c:pt idx="7">
                  <c:v>SIMON</c:v>
                </c:pt>
                <c:pt idx="8">
                  <c:v>HORIZON TECHNOLOGIE</c:v>
                </c:pt>
              </c:strCache>
            </c:strRef>
          </c:cat>
          <c:val>
            <c:numRef>
              <c:f>'REVOLUTION+'!$B$100:$J$100</c:f>
              <c:numCache>
                <c:formatCode>General</c:formatCode>
                <c:ptCount val="9"/>
                <c:pt idx="0">
                  <c:v>19</c:v>
                </c:pt>
                <c:pt idx="1">
                  <c:v>15</c:v>
                </c:pt>
                <c:pt idx="2">
                  <c:v>0</c:v>
                </c:pt>
                <c:pt idx="3">
                  <c:v>14</c:v>
                </c:pt>
                <c:pt idx="4">
                  <c:v>11</c:v>
                </c:pt>
                <c:pt idx="5">
                  <c:v>18</c:v>
                </c:pt>
                <c:pt idx="6">
                  <c:v>0</c:v>
                </c:pt>
                <c:pt idx="7">
                  <c:v>19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7-4108-A663-41F8E4CBD5FD}"/>
            </c:ext>
          </c:extLst>
        </c:ser>
        <c:ser>
          <c:idx val="1"/>
          <c:order val="1"/>
          <c:tx>
            <c:strRef>
              <c:f>'REVOLUTION+'!$A$101</c:f>
              <c:strCache>
                <c:ptCount val="1"/>
                <c:pt idx="0">
                  <c:v>RECUS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'REVOLUTION+'!$B$99:$J$99</c:f>
              <c:strCache>
                <c:ptCount val="9"/>
                <c:pt idx="0">
                  <c:v>EQUIPE YAYAHA</c:v>
                </c:pt>
                <c:pt idx="1">
                  <c:v>EQUIPE ERIC</c:v>
                </c:pt>
                <c:pt idx="2">
                  <c:v>TMS</c:v>
                </c:pt>
                <c:pt idx="3">
                  <c:v>EQUIPE CLS</c:v>
                </c:pt>
                <c:pt idx="4">
                  <c:v>EQUIPE L J GROUP</c:v>
                </c:pt>
                <c:pt idx="5">
                  <c:v>EQUIPE AGOLLEY</c:v>
                </c:pt>
                <c:pt idx="6">
                  <c:v>HTS</c:v>
                </c:pt>
                <c:pt idx="7">
                  <c:v>SIMON</c:v>
                </c:pt>
                <c:pt idx="8">
                  <c:v>HORIZON TECHNOLOGIE</c:v>
                </c:pt>
              </c:strCache>
            </c:strRef>
          </c:cat>
          <c:val>
            <c:numRef>
              <c:f>'REVOLUTION+'!$B$101:$J$101</c:f>
              <c:numCache>
                <c:formatCode>General</c:formatCode>
                <c:ptCount val="9"/>
                <c:pt idx="0">
                  <c:v>29</c:v>
                </c:pt>
                <c:pt idx="1">
                  <c:v>23</c:v>
                </c:pt>
                <c:pt idx="2">
                  <c:v>0</c:v>
                </c:pt>
                <c:pt idx="3">
                  <c:v>25</c:v>
                </c:pt>
                <c:pt idx="4">
                  <c:v>24</c:v>
                </c:pt>
                <c:pt idx="5">
                  <c:v>29</c:v>
                </c:pt>
                <c:pt idx="6">
                  <c:v>0</c:v>
                </c:pt>
                <c:pt idx="7">
                  <c:v>29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97-4108-A663-41F8E4CBD5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12575104"/>
        <c:axId val="1412591424"/>
      </c:barChart>
      <c:catAx>
        <c:axId val="141257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2591424"/>
        <c:crosses val="autoZero"/>
        <c:auto val="1"/>
        <c:lblAlgn val="ctr"/>
        <c:lblOffset val="100"/>
        <c:noMultiLvlLbl val="0"/>
      </c:catAx>
      <c:valAx>
        <c:axId val="14125914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1257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452810793404529E-2"/>
          <c:y val="0.13216447465530523"/>
          <c:w val="0.69017977812708597"/>
          <c:h val="0.8248552507134959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BCC-4A52-A27C-51FABF4723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BCC-4A52-A27C-51FABF4723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BCC-4A52-A27C-51FABF4723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BCC-4A52-A27C-51FABF4723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BCC-4A52-A27C-51FABF4723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0BCC-4A52-A27C-51FABF4723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98C4-4392-8665-45794D9E5C9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E21A-46F1-91B3-F7DD0929678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C22A-483D-AFAD-E42CB5A3E489}"/>
              </c:ext>
            </c:extLst>
          </c:dPt>
          <c:dLbls>
            <c:dLbl>
              <c:idx val="0"/>
              <c:layout>
                <c:manualLayout>
                  <c:x val="-5.576565998729935E-3"/>
                  <c:y val="-1.133367193424515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CC-4A52-A27C-51FABF4723D7}"/>
                </c:ext>
              </c:extLst>
            </c:dLbl>
            <c:dLbl>
              <c:idx val="1"/>
              <c:layout>
                <c:manualLayout>
                  <c:x val="2.2300776329107173E-2"/>
                  <c:y val="1.842190281043092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CC-4A52-A27C-51FABF4723D7}"/>
                </c:ext>
              </c:extLst>
            </c:dLbl>
            <c:dLbl>
              <c:idx val="2"/>
              <c:layout>
                <c:manualLayout>
                  <c:x val="-4.7392579490485698E-2"/>
                  <c:y val="5.962751643520392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CC-4A52-A27C-51FABF4723D7}"/>
                </c:ext>
              </c:extLst>
            </c:dLbl>
            <c:dLbl>
              <c:idx val="3"/>
              <c:layout>
                <c:manualLayout>
                  <c:x val="-4.1817111024918176E-2"/>
                  <c:y val="8.5033778955388977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BCC-4A52-A27C-51FABF4723D7}"/>
                </c:ext>
              </c:extLst>
            </c:dLbl>
            <c:dLbl>
              <c:idx val="4"/>
              <c:layout>
                <c:manualLayout>
                  <c:x val="-8.3643002315136449E-3"/>
                  <c:y val="1.842190281043095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BCC-4A52-A27C-51FABF4723D7}"/>
                </c:ext>
              </c:extLst>
            </c:dLbl>
            <c:dLbl>
              <c:idx val="5"/>
              <c:layout>
                <c:manualLayout>
                  <c:x val="0"/>
                  <c:y val="2.503425275369218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BCC-4A52-A27C-51FABF4723D7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'Synth raccordement'!$B$50:$J$50</c:f>
              <c:strCache>
                <c:ptCount val="9"/>
                <c:pt idx="0">
                  <c:v>EQUIPE YAYAHA</c:v>
                </c:pt>
                <c:pt idx="1">
                  <c:v>EQUIPE ERIC</c:v>
                </c:pt>
                <c:pt idx="2">
                  <c:v>TMS</c:v>
                </c:pt>
                <c:pt idx="3">
                  <c:v>EQUIPE CLS</c:v>
                </c:pt>
                <c:pt idx="4">
                  <c:v>EQUIPE L J GROUP</c:v>
                </c:pt>
                <c:pt idx="5">
                  <c:v>EQUIPE AGOLLEY</c:v>
                </c:pt>
                <c:pt idx="6">
                  <c:v>HTS</c:v>
                </c:pt>
                <c:pt idx="7">
                  <c:v>SIMON</c:v>
                </c:pt>
                <c:pt idx="8">
                  <c:v>HORIZON TECHNOLOGIE</c:v>
                </c:pt>
              </c:strCache>
            </c:strRef>
          </c:cat>
          <c:val>
            <c:numRef>
              <c:f>'Synth raccordement'!$B$51:$J$51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C44F-404B-BCF0-B82FBABA377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2892627801840891E-2"/>
          <c:y val="8.7640601345030184E-2"/>
          <c:w val="0.90710737219815907"/>
          <c:h val="0.567772414880065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'Synth raccordement'!$C$56</c:f>
              <c:strCache>
                <c:ptCount val="1"/>
                <c:pt idx="0">
                  <c:v>Nbre d'instances reçues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'Synth raccordement'!$B$57:$B$64</c:f>
              <c:strCache>
                <c:ptCount val="8"/>
                <c:pt idx="0">
                  <c:v>Lundi  29/12/2025</c:v>
                </c:pt>
                <c:pt idx="1">
                  <c:v>Mardi  30/12/2025</c:v>
                </c:pt>
                <c:pt idx="2">
                  <c:v>Mercredi  31/12/2025</c:v>
                </c:pt>
                <c:pt idx="3">
                  <c:v>Jeudi  01/01/2026</c:v>
                </c:pt>
                <c:pt idx="4">
                  <c:v>Vendredi  02/01/2026</c:v>
                </c:pt>
                <c:pt idx="5">
                  <c:v>Samedi  03/01/2026</c:v>
                </c:pt>
                <c:pt idx="6">
                  <c:v>Dimanche  04/01/2026</c:v>
                </c:pt>
                <c:pt idx="7">
                  <c:v>TOTAL</c:v>
                </c:pt>
              </c:strCache>
            </c:strRef>
          </c:cat>
          <c:val>
            <c:numRef>
              <c:f>'Synth raccordement'!$C$57:$C$64</c:f>
              <c:numCache>
                <c:formatCode>General</c:formatCode>
                <c:ptCount val="8"/>
                <c:pt idx="0">
                  <c:v>85</c:v>
                </c:pt>
                <c:pt idx="1">
                  <c:v>97</c:v>
                </c:pt>
                <c:pt idx="2">
                  <c:v>86</c:v>
                </c:pt>
                <c:pt idx="3">
                  <c:v>0</c:v>
                </c:pt>
                <c:pt idx="4">
                  <c:v>22</c:v>
                </c:pt>
                <c:pt idx="5">
                  <c:v>40</c:v>
                </c:pt>
                <c:pt idx="6">
                  <c:v>0</c:v>
                </c:pt>
                <c:pt idx="7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1-4345-8D24-EEF5ABA1BB5C}"/>
            </c:ext>
          </c:extLst>
        </c:ser>
        <c:ser>
          <c:idx val="1"/>
          <c:order val="1"/>
          <c:tx>
            <c:strRef>
              <c:f>'Synth raccordement'!$D$56</c:f>
              <c:strCache>
                <c:ptCount val="1"/>
                <c:pt idx="0">
                  <c:v>Nbre d'instances raccordées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'Synth raccordement'!$B$57:$B$64</c:f>
              <c:strCache>
                <c:ptCount val="8"/>
                <c:pt idx="0">
                  <c:v>Lundi  29/12/2025</c:v>
                </c:pt>
                <c:pt idx="1">
                  <c:v>Mardi  30/12/2025</c:v>
                </c:pt>
                <c:pt idx="2">
                  <c:v>Mercredi  31/12/2025</c:v>
                </c:pt>
                <c:pt idx="3">
                  <c:v>Jeudi  01/01/2026</c:v>
                </c:pt>
                <c:pt idx="4">
                  <c:v>Vendredi  02/01/2026</c:v>
                </c:pt>
                <c:pt idx="5">
                  <c:v>Samedi  03/01/2026</c:v>
                </c:pt>
                <c:pt idx="6">
                  <c:v>Dimanche  04/01/2026</c:v>
                </c:pt>
                <c:pt idx="7">
                  <c:v>TOTAL</c:v>
                </c:pt>
              </c:strCache>
            </c:strRef>
          </c:cat>
          <c:val>
            <c:numRef>
              <c:f>'Synth raccordement'!$D$58:$D$64</c:f>
              <c:numCache>
                <c:formatCode>General</c:formatCode>
                <c:ptCount val="7"/>
                <c:pt idx="0">
                  <c:v>71</c:v>
                </c:pt>
                <c:pt idx="1">
                  <c:v>44</c:v>
                </c:pt>
                <c:pt idx="2">
                  <c:v>0</c:v>
                </c:pt>
                <c:pt idx="3">
                  <c:v>4</c:v>
                </c:pt>
                <c:pt idx="4">
                  <c:v>25</c:v>
                </c:pt>
                <c:pt idx="5">
                  <c:v>0</c:v>
                </c:pt>
                <c:pt idx="6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01-4345-8D24-EEF5ABA1BB5C}"/>
            </c:ext>
          </c:extLst>
        </c:ser>
        <c:ser>
          <c:idx val="2"/>
          <c:order val="2"/>
          <c:tx>
            <c:strRef>
              <c:f>'Synth raccordement'!$E$56</c:f>
              <c:strCache>
                <c:ptCount val="1"/>
                <c:pt idx="0">
                  <c:v>Nbre d'instances Mise en service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'Synth raccordement'!$B$57:$B$64</c:f>
              <c:strCache>
                <c:ptCount val="8"/>
                <c:pt idx="0">
                  <c:v>Lundi  29/12/2025</c:v>
                </c:pt>
                <c:pt idx="1">
                  <c:v>Mardi  30/12/2025</c:v>
                </c:pt>
                <c:pt idx="2">
                  <c:v>Mercredi  31/12/2025</c:v>
                </c:pt>
                <c:pt idx="3">
                  <c:v>Jeudi  01/01/2026</c:v>
                </c:pt>
                <c:pt idx="4">
                  <c:v>Vendredi  02/01/2026</c:v>
                </c:pt>
                <c:pt idx="5">
                  <c:v>Samedi  03/01/2026</c:v>
                </c:pt>
                <c:pt idx="6">
                  <c:v>Dimanche  04/01/2026</c:v>
                </c:pt>
                <c:pt idx="7">
                  <c:v>TOTAL</c:v>
                </c:pt>
              </c:strCache>
            </c:strRef>
          </c:cat>
          <c:val>
            <c:numRef>
              <c:f>'Synth raccordement'!$E$57:$E$64</c:f>
              <c:numCache>
                <c:formatCode>General</c:formatCode>
                <c:ptCount val="8"/>
                <c:pt idx="0">
                  <c:v>82</c:v>
                </c:pt>
                <c:pt idx="1">
                  <c:v>71</c:v>
                </c:pt>
                <c:pt idx="2">
                  <c:v>44</c:v>
                </c:pt>
                <c:pt idx="3">
                  <c:v>0</c:v>
                </c:pt>
                <c:pt idx="4">
                  <c:v>4</c:v>
                </c:pt>
                <c:pt idx="5">
                  <c:v>25</c:v>
                </c:pt>
                <c:pt idx="6">
                  <c:v>0</c:v>
                </c:pt>
                <c:pt idx="7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01-4345-8D24-EEF5ABA1BB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127040"/>
        <c:axId val="423124160"/>
      </c:barChart>
      <c:catAx>
        <c:axId val="42312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3124160"/>
        <c:crosses val="autoZero"/>
        <c:auto val="1"/>
        <c:lblAlgn val="ctr"/>
        <c:lblOffset val="100"/>
        <c:noMultiLvlLbl val="0"/>
      </c:catAx>
      <c:valAx>
        <c:axId val="42312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312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0C-478D-952A-D210FF6523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0C-478D-952A-D210FF6523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40C-478D-952A-D210FF6523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40C-478D-952A-D210FF6523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40C-478D-952A-D210FF65234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40C-478D-952A-D210FF652348}"/>
              </c:ext>
            </c:extLst>
          </c:dPt>
          <c:dLbls>
            <c:dLbl>
              <c:idx val="2"/>
              <c:layout>
                <c:manualLayout>
                  <c:x val="3.582702173635606E-3"/>
                  <c:y val="-1.1825916543055548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0C-478D-952A-D210FF652348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'Synth raccordement'!$B$72:$G$72</c:f>
              <c:strCache>
                <c:ptCount val="6"/>
                <c:pt idx="0">
                  <c:v>HORS ZONE</c:v>
                </c:pt>
                <c:pt idx="1">
                  <c:v> Sans PCO</c:v>
                </c:pt>
                <c:pt idx="2">
                  <c:v>Avec PCO</c:v>
                </c:pt>
                <c:pt idx="3">
                  <c:v>AUTRE DC/DI/INJ</c:v>
                </c:pt>
                <c:pt idx="4">
                  <c:v>Etude</c:v>
                </c:pt>
                <c:pt idx="5">
                  <c:v>Raccordé</c:v>
                </c:pt>
              </c:strCache>
            </c:strRef>
          </c:cat>
          <c:val>
            <c:numRef>
              <c:f>'Synth raccordement'!$B$73:$G$73</c:f>
              <c:numCache>
                <c:formatCode>General</c:formatCode>
                <c:ptCount val="6"/>
                <c:pt idx="0">
                  <c:v>14</c:v>
                </c:pt>
                <c:pt idx="1">
                  <c:v>137</c:v>
                </c:pt>
                <c:pt idx="2">
                  <c:v>1</c:v>
                </c:pt>
                <c:pt idx="3">
                  <c:v>32</c:v>
                </c:pt>
                <c:pt idx="4">
                  <c:v>74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0C-478D-952A-D210FF65234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BF5-49DD-A447-E7B8AD38ED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BF5-49DD-A447-E7B8AD38ED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BF5-49DD-A447-E7B8AD38ED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BF5-49DD-A447-E7B8AD38ED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3BF5-49DD-A447-E7B8AD38ED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3BF5-49DD-A447-E7B8AD38ED2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3BF5-49DD-A447-E7B8AD38ED2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BB21-4C64-A36C-7EFE93848101}"/>
              </c:ext>
            </c:extLst>
          </c:dPt>
          <c:dLbls>
            <c:dLbl>
              <c:idx val="2"/>
              <c:layout>
                <c:manualLayout>
                  <c:x val="-6.7688364163805942E-2"/>
                  <c:y val="-1.5505977502991073E-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F5-49DD-A447-E7B8AD38ED24}"/>
                </c:ext>
              </c:extLst>
            </c:dLbl>
            <c:dLbl>
              <c:idx val="3"/>
              <c:layout>
                <c:manualLayout>
                  <c:x val="-0.11038688712070384"/>
                  <c:y val="-7.165746919171070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BF5-49DD-A447-E7B8AD38ED24}"/>
                </c:ext>
              </c:extLst>
            </c:dLbl>
            <c:dLbl>
              <c:idx val="4"/>
              <c:layout>
                <c:manualLayout>
                  <c:x val="-6.8835547601399372E-2"/>
                  <c:y val="-9.540454855698567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BF5-49DD-A447-E7B8AD38ED24}"/>
                </c:ext>
              </c:extLst>
            </c:dLbl>
            <c:dLbl>
              <c:idx val="6"/>
              <c:layout>
                <c:manualLayout>
                  <c:x val="-7.9825012074056317E-2"/>
                  <c:y val="-0.1007624970305881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BF5-49DD-A447-E7B8AD38ED2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B21-4C64-A36C-7EFE9384810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'Synth raccordement'!$B$39:$I$39</c:f>
              <c:strCache>
                <c:ptCount val="8"/>
                <c:pt idx="0">
                  <c:v>Réalisation Abidjan</c:v>
                </c:pt>
                <c:pt idx="1">
                  <c:v>Réalisation Bouake</c:v>
                </c:pt>
                <c:pt idx="2">
                  <c:v>Réalisation Yamoussoukro</c:v>
                </c:pt>
                <c:pt idx="3">
                  <c:v>Réalisation Divo</c:v>
                </c:pt>
                <c:pt idx="4">
                  <c:v>Réalisation Gagnoa</c:v>
                </c:pt>
                <c:pt idx="5">
                  <c:v>Réalisation San Pedro</c:v>
                </c:pt>
                <c:pt idx="6">
                  <c:v>Réalisation Katiola</c:v>
                </c:pt>
                <c:pt idx="7">
                  <c:v>Reliquat Objectifs Moov</c:v>
                </c:pt>
              </c:strCache>
            </c:strRef>
          </c:cat>
          <c:val>
            <c:numRef>
              <c:f>'Synth raccordement'!$B$40:$I$40</c:f>
              <c:numCache>
                <c:formatCode>General</c:formatCode>
                <c:ptCount val="8"/>
                <c:pt idx="0">
                  <c:v>52</c:v>
                </c:pt>
                <c:pt idx="1">
                  <c:v>31</c:v>
                </c:pt>
                <c:pt idx="2">
                  <c:v>69</c:v>
                </c:pt>
                <c:pt idx="3">
                  <c:v>10</c:v>
                </c:pt>
                <c:pt idx="4">
                  <c:v>16</c:v>
                </c:pt>
                <c:pt idx="5">
                  <c:v>36</c:v>
                </c:pt>
                <c:pt idx="6">
                  <c:v>12</c:v>
                </c:pt>
                <c:pt idx="7">
                  <c:v>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BF5-49DD-A447-E7B8AD38ED2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GLOBAL!$C$2</c:f>
              <c:strCache>
                <c:ptCount val="1"/>
                <c:pt idx="0">
                  <c:v>RACCORDE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88A-4631-9EE5-BAA4EE815F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88A-4631-9EE5-BAA4EE815F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88A-4631-9EE5-BAA4EE815F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88A-4631-9EE5-BAA4EE815F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88A-4631-9EE5-BAA4EE815FD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GLOBAL!$A$3:$A$7</c:f>
              <c:strCache>
                <c:ptCount val="5"/>
                <c:pt idx="0">
                  <c:v>Abidjan</c:v>
                </c:pt>
                <c:pt idx="1">
                  <c:v>Bouaké</c:v>
                </c:pt>
                <c:pt idx="2">
                  <c:v>Yamoussoukro</c:v>
                </c:pt>
                <c:pt idx="3">
                  <c:v>Divo</c:v>
                </c:pt>
                <c:pt idx="4">
                  <c:v>Gagnoa</c:v>
                </c:pt>
              </c:strCache>
            </c:strRef>
          </c:cat>
          <c:val>
            <c:numRef>
              <c:f>GLOBAL!$C$3:$C$7</c:f>
              <c:numCache>
                <c:formatCode>General</c:formatCode>
                <c:ptCount val="5"/>
                <c:pt idx="0">
                  <c:v>599</c:v>
                </c:pt>
                <c:pt idx="1">
                  <c:v>293</c:v>
                </c:pt>
                <c:pt idx="2">
                  <c:v>365</c:v>
                </c:pt>
                <c:pt idx="3">
                  <c:v>101</c:v>
                </c:pt>
                <c:pt idx="4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6D-4C68-BC19-ECA082A335A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GLOBAL!$B$2</c15:sqref>
                        </c15:formulaRef>
                      </c:ext>
                    </c:extLst>
                    <c:strCache>
                      <c:ptCount val="1"/>
                      <c:pt idx="0">
                        <c:v>INSTANCE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B-C88A-4631-9EE5-BAA4EE815FD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D-C88A-4631-9EE5-BAA4EE815FD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F-C88A-4631-9EE5-BAA4EE815FD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1-C88A-4631-9EE5-BAA4EE815FD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3-C88A-4631-9EE5-BAA4EE815FD5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GLOBAL!$A$3:$A$7</c15:sqref>
                        </c15:formulaRef>
                      </c:ext>
                    </c:extLst>
                    <c:strCache>
                      <c:ptCount val="5"/>
                      <c:pt idx="0">
                        <c:v>Abidjan</c:v>
                      </c:pt>
                      <c:pt idx="1">
                        <c:v>Bouaké</c:v>
                      </c:pt>
                      <c:pt idx="2">
                        <c:v>Yamoussoukro</c:v>
                      </c:pt>
                      <c:pt idx="3">
                        <c:v>Divo</c:v>
                      </c:pt>
                      <c:pt idx="4">
                        <c:v>Gagnoa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GLOBAL!$B$3:$B$7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558</c:v>
                      </c:pt>
                      <c:pt idx="1">
                        <c:v>316</c:v>
                      </c:pt>
                      <c:pt idx="2">
                        <c:v>333</c:v>
                      </c:pt>
                      <c:pt idx="3">
                        <c:v>96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A6D-4C68-BC19-ECA082A335AA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GLOBAL!$B$2</c:f>
              <c:strCache>
                <c:ptCount val="1"/>
                <c:pt idx="0">
                  <c:v>INSTANCE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B6A-489E-93E6-5F2A87CDC6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B6A-489E-93E6-5F2A87CDC6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B6A-489E-93E6-5F2A87CDC6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B6A-489E-93E6-5F2A87CDC6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B6A-489E-93E6-5F2A87CDC6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9F7-41A5-9072-D9AF9233AED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GLOBAL!$A$3:$A$8</c:f>
              <c:strCache>
                <c:ptCount val="6"/>
                <c:pt idx="0">
                  <c:v>Abidjan</c:v>
                </c:pt>
                <c:pt idx="1">
                  <c:v>Bouaké</c:v>
                </c:pt>
                <c:pt idx="2">
                  <c:v>Yamoussoukro</c:v>
                </c:pt>
                <c:pt idx="3">
                  <c:v>Divo</c:v>
                </c:pt>
                <c:pt idx="4">
                  <c:v>Gagnoa</c:v>
                </c:pt>
                <c:pt idx="5">
                  <c:v>SAN PEDRO</c:v>
                </c:pt>
              </c:strCache>
            </c:strRef>
          </c:cat>
          <c:val>
            <c:numRef>
              <c:f>GLOBAL!$B$3:$B$8</c:f>
              <c:numCache>
                <c:formatCode>General</c:formatCode>
                <c:ptCount val="6"/>
                <c:pt idx="0">
                  <c:v>558</c:v>
                </c:pt>
                <c:pt idx="1">
                  <c:v>316</c:v>
                </c:pt>
                <c:pt idx="2">
                  <c:v>333</c:v>
                </c:pt>
                <c:pt idx="3">
                  <c:v>96</c:v>
                </c:pt>
                <c:pt idx="4">
                  <c:v>0</c:v>
                </c:pt>
                <c:pt idx="5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B-4973-998C-EED7DFD02442}"/>
            </c:ext>
          </c:extLst>
        </c:ser>
        <c:ser>
          <c:idx val="1"/>
          <c:order val="1"/>
          <c:tx>
            <c:strRef>
              <c:f>GLOBAL!$C$2</c:f>
              <c:strCache>
                <c:ptCount val="1"/>
                <c:pt idx="0">
                  <c:v>RACCORDE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B6A-489E-93E6-5F2A87CDC6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B6A-489E-93E6-5F2A87CDC6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B6A-489E-93E6-5F2A87CDC6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B6A-489E-93E6-5F2A87CDC6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B6A-489E-93E6-5F2A87CDC6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9F7-41A5-9072-D9AF9233AED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GLOBAL!$A$3:$A$8</c:f>
              <c:strCache>
                <c:ptCount val="6"/>
                <c:pt idx="0">
                  <c:v>Abidjan</c:v>
                </c:pt>
                <c:pt idx="1">
                  <c:v>Bouaké</c:v>
                </c:pt>
                <c:pt idx="2">
                  <c:v>Yamoussoukro</c:v>
                </c:pt>
                <c:pt idx="3">
                  <c:v>Divo</c:v>
                </c:pt>
                <c:pt idx="4">
                  <c:v>Gagnoa</c:v>
                </c:pt>
                <c:pt idx="5">
                  <c:v>SAN PEDRO</c:v>
                </c:pt>
              </c:strCache>
            </c:strRef>
          </c:cat>
          <c:val>
            <c:numRef>
              <c:f>GLOBAL!$C$3:$C$8</c:f>
              <c:numCache>
                <c:formatCode>General</c:formatCode>
                <c:ptCount val="6"/>
                <c:pt idx="0">
                  <c:v>599</c:v>
                </c:pt>
                <c:pt idx="1">
                  <c:v>293</c:v>
                </c:pt>
                <c:pt idx="2">
                  <c:v>365</c:v>
                </c:pt>
                <c:pt idx="3">
                  <c:v>101</c:v>
                </c:pt>
                <c:pt idx="4">
                  <c:v>73</c:v>
                </c:pt>
                <c:pt idx="5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6B-4973-998C-EED7DFD0244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1589313</xdr:colOff>
      <xdr:row>27</xdr:row>
      <xdr:rowOff>95250</xdr:rowOff>
    </xdr:from>
    <xdr:to>
      <xdr:col>5</xdr:col>
      <xdr:colOff>2318657</xdr:colOff>
      <xdr:row>43</xdr:row>
      <xdr:rowOff>130628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FA61453B-CF4B-A433-C845-0CC953CDB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26670</xdr:colOff>
      <xdr:row>46</xdr:row>
      <xdr:rowOff>139082</xdr:rowOff>
    </xdr:from>
    <xdr:to>
      <xdr:col>7</xdr:col>
      <xdr:colOff>158705</xdr:colOff>
      <xdr:row>48</xdr:row>
      <xdr:rowOff>142654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D62362A-2E6F-48A2-AE74-7EA64C1DCD6E}"/>
            </a:ext>
          </a:extLst>
        </xdr:cNvPr>
        <xdr:cNvSpPr/>
      </xdr:nvSpPr>
      <xdr:spPr>
        <a:xfrm>
          <a:off x="2404110" y="14403722"/>
          <a:ext cx="4886915" cy="369332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ctr"/>
          <a:r>
            <a:rPr lang="fr-FR" b="1" i="1" u="none" strike="noStrike">
              <a:solidFill>
                <a:srgbClr val="F018C2"/>
              </a:solidFill>
              <a:effectLst/>
              <a:latin typeface="Calibri" panose="020F0502020204030204" pitchFamily="34" charset="0"/>
            </a:rPr>
            <a:t>1/ : Evolution par semaine des instances reçu S-07 </a:t>
          </a:r>
        </a:p>
      </xdr:txBody>
    </xdr:sp>
    <xdr:clientData/>
  </xdr:twoCellAnchor>
  <xdr:twoCellAnchor>
    <xdr:from>
      <xdr:col>5</xdr:col>
      <xdr:colOff>319570</xdr:colOff>
      <xdr:row>44</xdr:row>
      <xdr:rowOff>30480</xdr:rowOff>
    </xdr:from>
    <xdr:to>
      <xdr:col>9</xdr:col>
      <xdr:colOff>2290</xdr:colOff>
      <xdr:row>46</xdr:row>
      <xdr:rowOff>34052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305FF70-E407-47E2-BA87-A81AF9D8F223}"/>
            </a:ext>
          </a:extLst>
        </xdr:cNvPr>
        <xdr:cNvSpPr/>
      </xdr:nvSpPr>
      <xdr:spPr>
        <a:xfrm>
          <a:off x="5706910" y="9380220"/>
          <a:ext cx="3736560" cy="369332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ctr"/>
          <a:r>
            <a:rPr lang="fr-FR" b="1" i="1">
              <a:latin typeface="Calibri" panose="020F0502020204030204" pitchFamily="34" charset="0"/>
            </a:rPr>
            <a:t>Instances &amp; raccordements</a:t>
          </a:r>
          <a:endParaRPr lang="fr-FR" b="1" i="1" u="none" strike="noStrike">
            <a:effectLst/>
            <a:latin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1469572</xdr:colOff>
      <xdr:row>52</xdr:row>
      <xdr:rowOff>140970</xdr:rowOff>
    </xdr:from>
    <xdr:to>
      <xdr:col>5</xdr:col>
      <xdr:colOff>1981200</xdr:colOff>
      <xdr:row>67</xdr:row>
      <xdr:rowOff>140970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E7934CC2-ECCD-AE0C-BE0C-823B983D7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75367</xdr:colOff>
      <xdr:row>80</xdr:row>
      <xdr:rowOff>146668</xdr:rowOff>
    </xdr:from>
    <xdr:to>
      <xdr:col>7</xdr:col>
      <xdr:colOff>105847</xdr:colOff>
      <xdr:row>95</xdr:row>
      <xdr:rowOff>140906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2112B669-A49E-4CDF-0F34-82AC9CA42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701040</xdr:colOff>
      <xdr:row>103</xdr:row>
      <xdr:rowOff>57150</xdr:rowOff>
    </xdr:from>
    <xdr:to>
      <xdr:col>6</xdr:col>
      <xdr:colOff>689834</xdr:colOff>
      <xdr:row>118</xdr:row>
      <xdr:rowOff>57150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A6C8E9C-DF24-55C4-514E-E4FA96F82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152400</xdr:colOff>
      <xdr:row>47</xdr:row>
      <xdr:rowOff>27216</xdr:rowOff>
    </xdr:from>
    <xdr:to>
      <xdr:col>14</xdr:col>
      <xdr:colOff>1240971</xdr:colOff>
      <xdr:row>59</xdr:row>
      <xdr:rowOff>125188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893536</xdr:colOff>
      <xdr:row>55</xdr:row>
      <xdr:rowOff>111578</xdr:rowOff>
    </xdr:from>
    <xdr:to>
      <xdr:col>9</xdr:col>
      <xdr:colOff>630465</xdr:colOff>
      <xdr:row>67</xdr:row>
      <xdr:rowOff>106135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A2547707-58B9-9F60-AD66-CDF4839ED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159</xdr:row>
      <xdr:rowOff>0</xdr:rowOff>
    </xdr:from>
    <xdr:to>
      <xdr:col>5</xdr:col>
      <xdr:colOff>446733</xdr:colOff>
      <xdr:row>161</xdr:row>
      <xdr:rowOff>29692</xdr:rowOff>
    </xdr:to>
    <xdr:sp macro="" textlink="">
      <xdr:nvSpPr>
        <xdr:cNvPr id="13" name="Titr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/>
        </xdr:cNvSpPr>
      </xdr:nvSpPr>
      <xdr:spPr>
        <a:xfrm>
          <a:off x="4136571" y="57683400"/>
          <a:ext cx="5149362" cy="399806"/>
        </a:xfrm>
        <a:prstGeom prst="rect">
          <a:avLst/>
        </a:prstGeom>
        <a:solidFill>
          <a:schemeClr val="accent4"/>
        </a:solidFill>
      </xdr:spPr>
      <xdr:txBody>
        <a:bodyPr vert="horz" wrap="square" lIns="91440" tIns="45720" rIns="91440" bIns="45720" rtlCol="0" anchor="ctr">
          <a:normAutofit fontScale="97500" lnSpcReduction="10000"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800" b="1"/>
            <a:t>BILAN</a:t>
          </a:r>
          <a:r>
            <a:rPr lang="fr-FR" sz="2400" b="1"/>
            <a:t> </a:t>
          </a:r>
          <a:r>
            <a:rPr lang="fr-FR" sz="1800" b="1"/>
            <a:t>DES RACCORDEMENTS ITC DU MOIS DE FÉVRIER</a:t>
          </a:r>
        </a:p>
      </xdr:txBody>
    </xdr:sp>
    <xdr:clientData/>
  </xdr:twoCellAnchor>
  <xdr:twoCellAnchor>
    <xdr:from>
      <xdr:col>8</xdr:col>
      <xdr:colOff>0</xdr:colOff>
      <xdr:row>160</xdr:row>
      <xdr:rowOff>0</xdr:rowOff>
    </xdr:from>
    <xdr:to>
      <xdr:col>11</xdr:col>
      <xdr:colOff>163704</xdr:colOff>
      <xdr:row>162</xdr:row>
      <xdr:rowOff>29692</xdr:rowOff>
    </xdr:to>
    <xdr:sp macro="" textlink="">
      <xdr:nvSpPr>
        <xdr:cNvPr id="15" name="Titr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Grp="1"/>
        </xdr:cNvSpPr>
      </xdr:nvSpPr>
      <xdr:spPr>
        <a:xfrm>
          <a:off x="14652171" y="57868457"/>
          <a:ext cx="5149362" cy="39980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txBody>
        <a:bodyPr vert="horz" wrap="square" lIns="91440" tIns="45720" rIns="91440" bIns="45720" rtlCol="0" anchor="ctr">
          <a:normAutofit/>
        </a:bodyPr>
        <a:lstStyle>
          <a:lvl1pPr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fr-FR" sz="1800" b="1"/>
            <a:t>TRAITEMENT DES INSTANCES ITC DU MOIS DE FÉVRIER</a:t>
          </a:r>
        </a:p>
      </xdr:txBody>
    </xdr:sp>
    <xdr:clientData/>
  </xdr:twoCellAnchor>
  <xdr:twoCellAnchor>
    <xdr:from>
      <xdr:col>5</xdr:col>
      <xdr:colOff>38100</xdr:colOff>
      <xdr:row>75</xdr:row>
      <xdr:rowOff>19050</xdr:rowOff>
    </xdr:from>
    <xdr:to>
      <xdr:col>7</xdr:col>
      <xdr:colOff>747033</xdr:colOff>
      <xdr:row>93</xdr:row>
      <xdr:rowOff>123825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46909362-39F4-45F4-83F0-B2ACFE4A0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33</xdr:row>
      <xdr:rowOff>0</xdr:rowOff>
    </xdr:from>
    <xdr:to>
      <xdr:col>16</xdr:col>
      <xdr:colOff>468085</xdr:colOff>
      <xdr:row>45</xdr:row>
      <xdr:rowOff>16329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44652D9-28E3-4BF0-AB9F-17ABC04A1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1</xdr:row>
      <xdr:rowOff>41910</xdr:rowOff>
    </xdr:from>
    <xdr:to>
      <xdr:col>10</xdr:col>
      <xdr:colOff>205740</xdr:colOff>
      <xdr:row>12</xdr:row>
      <xdr:rowOff>140970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0ED64B9-20C7-C831-7EC0-A00E0E293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388620</xdr:colOff>
      <xdr:row>1</xdr:row>
      <xdr:rowOff>19050</xdr:rowOff>
    </xdr:from>
    <xdr:to>
      <xdr:col>16</xdr:col>
      <xdr:colOff>205740</xdr:colOff>
      <xdr:row>12</xdr:row>
      <xdr:rowOff>118110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9F1B677-5B21-A2B7-BEE7-8DD096F53C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">
  <rv s="0">
    <v>12</v>
    <v>08711</v>
    <v>0</v>
  </rv>
  <rv s="0">
    <v>12</v>
    <v>08599</v>
    <v>0</v>
  </rv>
  <rv s="0">
    <v>12</v>
    <v>0724797</v>
    <v>0</v>
  </rv>
  <rv s="0">
    <v>12</v>
    <v>0000265</v>
    <v>0</v>
  </rv>
  <rv s="0">
    <v>12</v>
    <v>067702</v>
    <v>0</v>
  </rv>
  <rv s="0">
    <v>12</v>
    <v>113107</v>
    <v>0</v>
  </rv>
  <rv s="0">
    <v>12</v>
    <v>068235</v>
    <v>0</v>
  </rv>
  <rv s="0">
    <v>12</v>
    <v>982578</v>
    <v>0</v>
  </rv>
  <rv s="0">
    <v>12</v>
    <v>1128288</v>
    <v>0</v>
  </rv>
  <rv s="0">
    <v>12</v>
    <v>08999972</v>
    <v>0</v>
  </rv>
  <rv s="0">
    <v>12</v>
    <v>098515</v>
    <v>0</v>
  </rv>
  <rv s="0">
    <v>12</v>
    <v>092122</v>
    <v>0</v>
  </rv>
  <rv s="0">
    <v>12</v>
    <v>100991</v>
    <v>0</v>
  </rv>
  <rv s="0">
    <v>12</v>
    <v>100896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298B-02FE-4CE2-ACBF-BB8DC2B95CE2}">
  <dimension ref="A1:L101"/>
  <sheetViews>
    <sheetView tabSelected="1" topLeftCell="A94" zoomScale="70" zoomScaleNormal="70" workbookViewId="0">
      <selection activeCell="D136" sqref="D136"/>
    </sheetView>
  </sheetViews>
  <sheetFormatPr baseColWidth="10" defaultRowHeight="14.4" x14ac:dyDescent="0.3"/>
  <cols>
    <col min="1" max="1" width="8.77734375" customWidth="1"/>
    <col min="2" max="2" width="36" customWidth="1"/>
    <col min="3" max="3" width="22.33203125" customWidth="1"/>
    <col min="4" max="4" width="28" customWidth="1"/>
    <col min="5" max="5" width="33.77734375" customWidth="1"/>
    <col min="6" max="6" width="37.5546875" customWidth="1"/>
    <col min="7" max="7" width="29.77734375" customWidth="1"/>
    <col min="8" max="8" width="26.5546875" customWidth="1"/>
    <col min="9" max="9" width="17.77734375" customWidth="1"/>
    <col min="10" max="10" width="31.6640625" customWidth="1"/>
    <col min="11" max="11" width="5.44140625" customWidth="1"/>
    <col min="12" max="12" width="20.33203125" customWidth="1"/>
  </cols>
  <sheetData>
    <row r="1" spans="1:12" ht="23.4" x14ac:dyDescent="0.3">
      <c r="C1" s="481" t="s">
        <v>4270</v>
      </c>
    </row>
    <row r="3" spans="1:12" ht="21" x14ac:dyDescent="0.4">
      <c r="B3" s="434" t="s">
        <v>61</v>
      </c>
      <c r="C3" s="435" t="s">
        <v>4150</v>
      </c>
      <c r="D3" s="435" t="s">
        <v>89</v>
      </c>
      <c r="E3" s="436" t="s">
        <v>106</v>
      </c>
      <c r="F3" s="436" t="s">
        <v>109</v>
      </c>
      <c r="G3" s="435" t="s">
        <v>4172</v>
      </c>
      <c r="H3" s="435" t="s">
        <v>4173</v>
      </c>
      <c r="I3" s="435" t="s">
        <v>4246</v>
      </c>
      <c r="J3" s="435" t="s">
        <v>4251</v>
      </c>
      <c r="L3" s="435" t="s">
        <v>4246</v>
      </c>
    </row>
    <row r="4" spans="1:12" ht="21" x14ac:dyDescent="0.4">
      <c r="A4" s="489"/>
      <c r="B4" s="437" t="s">
        <v>4146</v>
      </c>
      <c r="C4" s="438">
        <f>SUM(D4,E4,F4,G4,H4:J4)</f>
        <v>2656</v>
      </c>
      <c r="D4" s="439">
        <f>SUM(D6-D5)</f>
        <v>1064</v>
      </c>
      <c r="E4" s="439">
        <f t="shared" ref="E4:J4" si="0">SUM(E6-E5)</f>
        <v>520</v>
      </c>
      <c r="F4" s="439">
        <f t="shared" si="0"/>
        <v>189</v>
      </c>
      <c r="G4" s="439">
        <f t="shared" si="0"/>
        <v>66</v>
      </c>
      <c r="H4" s="439">
        <f t="shared" si="0"/>
        <v>12</v>
      </c>
      <c r="I4" s="439">
        <f t="shared" si="0"/>
        <v>768</v>
      </c>
      <c r="J4" s="439">
        <f t="shared" si="0"/>
        <v>37</v>
      </c>
    </row>
    <row r="5" spans="1:12" ht="21" x14ac:dyDescent="0.4">
      <c r="A5" s="491"/>
      <c r="B5" s="437" t="s">
        <v>4147</v>
      </c>
      <c r="C5" s="438">
        <f>SUM(D5,E5,F5,G5,H5:J5)</f>
        <v>343</v>
      </c>
      <c r="D5" s="440">
        <v>92</v>
      </c>
      <c r="E5" s="405">
        <v>33</v>
      </c>
      <c r="F5" s="405">
        <v>71</v>
      </c>
      <c r="G5" s="440">
        <v>11</v>
      </c>
      <c r="H5" s="440">
        <v>12</v>
      </c>
      <c r="I5" s="441">
        <v>109</v>
      </c>
      <c r="J5" s="441">
        <v>15</v>
      </c>
      <c r="L5" s="441" t="e">
        <f>+VLOOKUP(L3,#REF!,2,0)</f>
        <v>#REF!</v>
      </c>
    </row>
    <row r="6" spans="1:12" ht="21" x14ac:dyDescent="0.4">
      <c r="A6" s="489"/>
      <c r="B6" s="442" t="s">
        <v>4271</v>
      </c>
      <c r="C6" s="443">
        <f t="shared" ref="C6" si="1">SUM(D6,E6,F6,G6,H6:J6)</f>
        <v>2999</v>
      </c>
      <c r="D6" s="439">
        <f>SUM(D7,D8)</f>
        <v>1156</v>
      </c>
      <c r="E6" s="439">
        <f t="shared" ref="E6:J6" si="2">SUM(E7,E8)</f>
        <v>553</v>
      </c>
      <c r="F6" s="439">
        <f t="shared" si="2"/>
        <v>260</v>
      </c>
      <c r="G6" s="439">
        <f t="shared" si="2"/>
        <v>77</v>
      </c>
      <c r="H6" s="439">
        <f t="shared" si="2"/>
        <v>24</v>
      </c>
      <c r="I6" s="439">
        <f t="shared" si="2"/>
        <v>877</v>
      </c>
      <c r="J6" s="439">
        <f t="shared" si="2"/>
        <v>52</v>
      </c>
      <c r="L6" s="439" t="e">
        <f>SUM(L7:L8)</f>
        <v>#REF!</v>
      </c>
    </row>
    <row r="7" spans="1:12" ht="21" x14ac:dyDescent="0.4">
      <c r="A7" s="491"/>
      <c r="B7" s="444" t="s">
        <v>4155</v>
      </c>
      <c r="C7" s="445">
        <f>SUM(D7,E7,F7,G7,H7:J7)</f>
        <v>293</v>
      </c>
      <c r="D7" s="376">
        <v>103</v>
      </c>
      <c r="E7" s="376">
        <v>44</v>
      </c>
      <c r="F7" s="376">
        <v>81</v>
      </c>
      <c r="G7" s="376">
        <v>13</v>
      </c>
      <c r="H7" s="376">
        <v>7</v>
      </c>
      <c r="I7" s="376">
        <v>30</v>
      </c>
      <c r="J7" s="376">
        <v>15</v>
      </c>
      <c r="L7" s="446" t="e">
        <f>+VLOOKUP(L3,#REF!,2,0)</f>
        <v>#REF!</v>
      </c>
    </row>
    <row r="8" spans="1:12" ht="21" x14ac:dyDescent="0.4">
      <c r="A8" s="491"/>
      <c r="B8" s="442" t="s">
        <v>4151</v>
      </c>
      <c r="C8" s="443">
        <f>SUM(D8,E8,F8,G8,H8:J8)</f>
        <v>2706</v>
      </c>
      <c r="D8" s="439">
        <f>SUM(D9,D10)</f>
        <v>1053</v>
      </c>
      <c r="E8" s="439">
        <f t="shared" ref="E8:J8" si="3">SUM(E9,E10)</f>
        <v>509</v>
      </c>
      <c r="F8" s="439">
        <f t="shared" si="3"/>
        <v>179</v>
      </c>
      <c r="G8" s="439">
        <f t="shared" si="3"/>
        <v>64</v>
      </c>
      <c r="H8" s="439">
        <f t="shared" si="3"/>
        <v>17</v>
      </c>
      <c r="I8" s="439">
        <f t="shared" si="3"/>
        <v>847</v>
      </c>
      <c r="J8" s="439">
        <f t="shared" si="3"/>
        <v>37</v>
      </c>
      <c r="L8" s="439" t="e">
        <f>+VLOOKUP(L3,#REF!,2,0)</f>
        <v>#REF!</v>
      </c>
    </row>
    <row r="9" spans="1:12" ht="21" x14ac:dyDescent="0.4">
      <c r="A9" s="491"/>
      <c r="B9" s="437" t="s">
        <v>4148</v>
      </c>
      <c r="C9" s="438">
        <f>SUM(D9,E9,F9,G9,H9:J9)</f>
        <v>1710</v>
      </c>
      <c r="D9" s="438">
        <v>956</v>
      </c>
      <c r="E9" s="438">
        <v>443</v>
      </c>
      <c r="F9" s="438">
        <v>155</v>
      </c>
      <c r="G9" s="438">
        <v>61</v>
      </c>
      <c r="H9" s="438">
        <v>11</v>
      </c>
      <c r="I9" s="447">
        <v>47</v>
      </c>
      <c r="J9" s="447">
        <v>37</v>
      </c>
    </row>
    <row r="10" spans="1:12" ht="21" x14ac:dyDescent="0.4">
      <c r="A10" s="489"/>
      <c r="B10" s="437" t="s">
        <v>4149</v>
      </c>
      <c r="C10" s="438">
        <f>SUM(D10,E10,F10,G10,H10:J10)</f>
        <v>996</v>
      </c>
      <c r="D10" s="438">
        <v>97</v>
      </c>
      <c r="E10" s="438">
        <v>66</v>
      </c>
      <c r="F10" s="438">
        <v>24</v>
      </c>
      <c r="G10" s="438">
        <v>3</v>
      </c>
      <c r="H10" s="438">
        <v>6</v>
      </c>
      <c r="I10" s="438">
        <v>800</v>
      </c>
      <c r="J10" s="438">
        <v>0</v>
      </c>
    </row>
    <row r="12" spans="1:12" ht="26.4" thickBot="1" x14ac:dyDescent="0.55000000000000004">
      <c r="C12" s="448" t="s">
        <v>4266</v>
      </c>
    </row>
    <row r="13" spans="1:12" ht="18.600000000000001" thickBot="1" x14ac:dyDescent="0.4">
      <c r="B13" s="501" t="s">
        <v>4153</v>
      </c>
      <c r="C13" s="502"/>
      <c r="D13" s="502"/>
      <c r="E13" s="502"/>
      <c r="F13" s="502"/>
      <c r="G13" s="502"/>
      <c r="H13" s="503"/>
      <c r="I13" s="503"/>
      <c r="J13" s="504"/>
    </row>
    <row r="14" spans="1:12" ht="21" x14ac:dyDescent="0.4">
      <c r="B14" s="449" t="s">
        <v>61</v>
      </c>
      <c r="C14" s="436" t="s">
        <v>4152</v>
      </c>
      <c r="D14" s="435"/>
      <c r="E14" s="436"/>
      <c r="F14" s="436"/>
      <c r="G14" s="492"/>
      <c r="H14" s="435"/>
      <c r="I14" s="435"/>
      <c r="J14" s="435"/>
    </row>
    <row r="15" spans="1:12" ht="18" x14ac:dyDescent="0.35">
      <c r="A15" s="489"/>
      <c r="B15" s="450" t="s">
        <v>66</v>
      </c>
      <c r="C15" s="438">
        <f t="shared" ref="C15:C18" si="4">SUM(D15,E15,F15,G15,H15:J15)</f>
        <v>85</v>
      </c>
      <c r="D15" s="438">
        <v>13</v>
      </c>
      <c r="E15" s="438">
        <v>53</v>
      </c>
      <c r="F15" s="438">
        <v>12</v>
      </c>
      <c r="G15" s="493">
        <v>0</v>
      </c>
      <c r="H15" s="495">
        <v>1</v>
      </c>
      <c r="I15" s="495">
        <v>6</v>
      </c>
      <c r="J15" s="495">
        <v>0</v>
      </c>
    </row>
    <row r="16" spans="1:12" ht="18" x14ac:dyDescent="0.35">
      <c r="A16" s="489"/>
      <c r="B16" s="450" t="s">
        <v>3305</v>
      </c>
      <c r="C16" s="438">
        <f t="shared" si="4"/>
        <v>58</v>
      </c>
      <c r="D16" s="438">
        <v>58</v>
      </c>
      <c r="E16" s="438">
        <v>0</v>
      </c>
      <c r="F16" s="438">
        <v>0</v>
      </c>
      <c r="G16" s="493">
        <v>0</v>
      </c>
      <c r="H16" s="495">
        <v>0</v>
      </c>
      <c r="I16" s="495">
        <v>0</v>
      </c>
      <c r="J16" s="495">
        <v>0</v>
      </c>
    </row>
    <row r="17" spans="1:10" ht="18" x14ac:dyDescent="0.35">
      <c r="A17" s="489"/>
      <c r="B17" s="451" t="s">
        <v>63</v>
      </c>
      <c r="C17" s="438">
        <f t="shared" si="4"/>
        <v>837</v>
      </c>
      <c r="D17" s="438">
        <v>14</v>
      </c>
      <c r="E17" s="438">
        <v>13</v>
      </c>
      <c r="F17" s="438">
        <v>12</v>
      </c>
      <c r="G17" s="493">
        <v>0</v>
      </c>
      <c r="H17" s="495">
        <v>5</v>
      </c>
      <c r="I17" s="495">
        <v>793</v>
      </c>
      <c r="J17" s="495">
        <v>0</v>
      </c>
    </row>
    <row r="18" spans="1:10" ht="18" x14ac:dyDescent="0.35">
      <c r="A18" s="489"/>
      <c r="B18" s="452" t="s">
        <v>4161</v>
      </c>
      <c r="C18" s="438">
        <f t="shared" si="4"/>
        <v>16</v>
      </c>
      <c r="D18" s="438">
        <v>12</v>
      </c>
      <c r="E18" s="438">
        <v>0</v>
      </c>
      <c r="F18" s="438">
        <v>0</v>
      </c>
      <c r="G18" s="493">
        <v>3</v>
      </c>
      <c r="H18" s="495">
        <v>0</v>
      </c>
      <c r="I18" s="495">
        <v>1</v>
      </c>
      <c r="J18" s="495">
        <v>0</v>
      </c>
    </row>
    <row r="19" spans="1:10" ht="18" x14ac:dyDescent="0.35">
      <c r="B19" s="453" t="s">
        <v>4154</v>
      </c>
      <c r="C19" s="443">
        <f>SUM(D19,E19,F19,G19,H19:J19)</f>
        <v>996</v>
      </c>
      <c r="D19" s="454">
        <f>SUM(D15:D18)</f>
        <v>97</v>
      </c>
      <c r="E19" s="454">
        <f t="shared" ref="E19:J19" si="5">SUM(E15:E18)</f>
        <v>66</v>
      </c>
      <c r="F19" s="454">
        <f t="shared" si="5"/>
        <v>24</v>
      </c>
      <c r="G19" s="494">
        <f t="shared" si="5"/>
        <v>3</v>
      </c>
      <c r="H19" s="439">
        <f t="shared" si="5"/>
        <v>6</v>
      </c>
      <c r="I19" s="439">
        <f t="shared" si="5"/>
        <v>800</v>
      </c>
      <c r="J19" s="439">
        <f t="shared" si="5"/>
        <v>0</v>
      </c>
    </row>
    <row r="20" spans="1:10" ht="18.600000000000001" thickBot="1" x14ac:dyDescent="0.4">
      <c r="B20" s="505" t="s">
        <v>4284</v>
      </c>
      <c r="C20" s="505"/>
      <c r="D20" s="505"/>
      <c r="E20" s="505"/>
      <c r="F20" s="505"/>
      <c r="G20" s="505"/>
      <c r="H20" s="505"/>
      <c r="I20" s="505"/>
      <c r="J20" s="505"/>
    </row>
    <row r="21" spans="1:10" s="497" customFormat="1" ht="18.600000000000001" thickBot="1" x14ac:dyDescent="0.4">
      <c r="B21" s="500" t="s">
        <v>4283</v>
      </c>
      <c r="C21" s="498">
        <f t="shared" ref="C21" si="6">SUM(D21,E21,F21,G21,H21:J21)</f>
        <v>84</v>
      </c>
      <c r="D21" s="499">
        <v>56</v>
      </c>
      <c r="E21" s="499">
        <v>23</v>
      </c>
      <c r="F21" s="499">
        <v>5</v>
      </c>
      <c r="G21" s="499">
        <v>0</v>
      </c>
      <c r="H21" s="499">
        <v>0</v>
      </c>
      <c r="I21" s="499">
        <v>0</v>
      </c>
      <c r="J21" s="499">
        <v>0</v>
      </c>
    </row>
    <row r="23" spans="1:10" ht="23.4" x14ac:dyDescent="0.45">
      <c r="B23" s="455" t="s">
        <v>4277</v>
      </c>
    </row>
    <row r="25" spans="1:10" ht="21" x14ac:dyDescent="0.3">
      <c r="B25" s="456" t="s">
        <v>4164</v>
      </c>
      <c r="C25" s="457" t="s">
        <v>4165</v>
      </c>
      <c r="D25" s="458" t="s">
        <v>4166</v>
      </c>
      <c r="E25" s="458" t="s">
        <v>4174</v>
      </c>
      <c r="F25" s="458" t="s">
        <v>4175</v>
      </c>
      <c r="G25" s="459" t="s">
        <v>4247</v>
      </c>
      <c r="H25" s="459" t="s">
        <v>4252</v>
      </c>
      <c r="I25" s="460" t="s">
        <v>4167</v>
      </c>
      <c r="J25" s="457" t="s">
        <v>4167</v>
      </c>
    </row>
    <row r="26" spans="1:10" ht="27.6" customHeight="1" x14ac:dyDescent="0.4">
      <c r="A26" s="489"/>
      <c r="B26" s="376">
        <v>103</v>
      </c>
      <c r="C26" s="376">
        <v>44</v>
      </c>
      <c r="D26" s="376">
        <v>81</v>
      </c>
      <c r="E26" s="376">
        <v>13</v>
      </c>
      <c r="F26" s="376">
        <v>7</v>
      </c>
      <c r="G26" s="376">
        <v>30</v>
      </c>
      <c r="H26" s="376">
        <v>15</v>
      </c>
      <c r="I26" s="461">
        <v>307</v>
      </c>
      <c r="J26" s="462" t="s">
        <v>4276</v>
      </c>
    </row>
    <row r="27" spans="1:10" ht="21" x14ac:dyDescent="0.4">
      <c r="B27" s="482"/>
      <c r="C27" s="483"/>
      <c r="D27" s="483"/>
      <c r="E27" s="483"/>
      <c r="F27" s="482"/>
      <c r="G27" s="483"/>
      <c r="H27" s="483"/>
      <c r="I27" s="484"/>
      <c r="J27" s="485"/>
    </row>
    <row r="50" spans="2:10" x14ac:dyDescent="0.3">
      <c r="F50" t="s">
        <v>4272</v>
      </c>
      <c r="G50" s="288"/>
      <c r="H50">
        <f>B52+C52+D52+F52+G52</f>
        <v>292</v>
      </c>
      <c r="I50">
        <v>363</v>
      </c>
    </row>
    <row r="51" spans="2:10" ht="21" x14ac:dyDescent="0.3">
      <c r="B51" s="457" t="s">
        <v>4176</v>
      </c>
      <c r="C51" s="457" t="s">
        <v>4177</v>
      </c>
      <c r="D51" s="457" t="s">
        <v>68</v>
      </c>
      <c r="E51" s="457" t="s">
        <v>4178</v>
      </c>
      <c r="F51" s="457" t="s">
        <v>4179</v>
      </c>
      <c r="G51" s="457" t="s">
        <v>4180</v>
      </c>
      <c r="H51" s="457" t="s">
        <v>4181</v>
      </c>
    </row>
    <row r="52" spans="2:10" ht="21" x14ac:dyDescent="0.4">
      <c r="B52" s="463">
        <v>10</v>
      </c>
      <c r="C52" s="463">
        <v>43</v>
      </c>
      <c r="D52" s="463">
        <v>29</v>
      </c>
      <c r="E52" s="463">
        <v>0</v>
      </c>
      <c r="F52" s="463">
        <v>65</v>
      </c>
      <c r="G52" s="463">
        <v>145</v>
      </c>
      <c r="H52" s="462" t="s">
        <v>4286</v>
      </c>
    </row>
    <row r="54" spans="2:10" ht="23.4" x14ac:dyDescent="0.3">
      <c r="J54" s="464" t="s">
        <v>4267</v>
      </c>
    </row>
    <row r="55" spans="2:10" ht="23.4" x14ac:dyDescent="0.3">
      <c r="J55" s="465" t="s">
        <v>4279</v>
      </c>
    </row>
    <row r="56" spans="2:10" ht="23.4" x14ac:dyDescent="0.3">
      <c r="J56" s="465" t="s">
        <v>4285</v>
      </c>
    </row>
    <row r="57" spans="2:10" ht="23.4" x14ac:dyDescent="0.3">
      <c r="J57" s="465" t="s">
        <v>4280</v>
      </c>
    </row>
    <row r="58" spans="2:10" ht="23.4" x14ac:dyDescent="0.3">
      <c r="J58" s="465" t="s">
        <v>4281</v>
      </c>
    </row>
    <row r="59" spans="2:10" ht="23.4" x14ac:dyDescent="0.3">
      <c r="I59" s="457" t="s">
        <v>4181</v>
      </c>
      <c r="J59" s="465" t="s">
        <v>4287</v>
      </c>
    </row>
    <row r="60" spans="2:10" ht="23.4" x14ac:dyDescent="0.3">
      <c r="J60" s="465" t="s">
        <v>4273</v>
      </c>
    </row>
    <row r="61" spans="2:10" ht="23.4" x14ac:dyDescent="0.45">
      <c r="I61" s="457" t="s">
        <v>4179</v>
      </c>
      <c r="J61" s="466" t="s">
        <v>4282</v>
      </c>
    </row>
    <row r="70" spans="2:6" ht="23.4" x14ac:dyDescent="0.45">
      <c r="B70" s="455" t="s">
        <v>4275</v>
      </c>
    </row>
    <row r="71" spans="2:6" x14ac:dyDescent="0.3">
      <c r="D71" s="489"/>
      <c r="F71" s="490"/>
    </row>
    <row r="72" spans="2:6" ht="18" x14ac:dyDescent="0.3">
      <c r="C72" s="467" t="s">
        <v>4274</v>
      </c>
      <c r="D72" s="467" t="s">
        <v>4157</v>
      </c>
      <c r="E72" s="467" t="s">
        <v>4158</v>
      </c>
      <c r="F72" s="467" t="s">
        <v>4159</v>
      </c>
    </row>
    <row r="73" spans="2:6" ht="18" x14ac:dyDescent="0.35">
      <c r="C73" s="496">
        <v>46062</v>
      </c>
      <c r="D73" s="468">
        <v>31</v>
      </c>
      <c r="E73" s="468">
        <v>65</v>
      </c>
      <c r="F73" s="468">
        <v>65</v>
      </c>
    </row>
    <row r="74" spans="2:6" ht="18" x14ac:dyDescent="0.35">
      <c r="C74" s="496">
        <v>46063</v>
      </c>
      <c r="D74" s="468">
        <v>123</v>
      </c>
      <c r="E74" s="468">
        <v>58</v>
      </c>
      <c r="F74" s="468">
        <v>58</v>
      </c>
    </row>
    <row r="75" spans="2:6" ht="18" x14ac:dyDescent="0.35">
      <c r="C75" s="496">
        <v>46064</v>
      </c>
      <c r="D75" s="468">
        <v>48</v>
      </c>
      <c r="E75" s="468">
        <v>46</v>
      </c>
      <c r="F75" s="468">
        <v>46</v>
      </c>
    </row>
    <row r="76" spans="2:6" ht="18" x14ac:dyDescent="0.35">
      <c r="C76" s="496">
        <v>46065</v>
      </c>
      <c r="D76" s="468">
        <v>44</v>
      </c>
      <c r="E76" s="468">
        <v>48</v>
      </c>
      <c r="F76" s="468">
        <v>48</v>
      </c>
    </row>
    <row r="77" spans="2:6" ht="18" x14ac:dyDescent="0.35">
      <c r="C77" s="496">
        <v>46066</v>
      </c>
      <c r="D77" s="468">
        <v>13</v>
      </c>
      <c r="E77" s="468">
        <v>46</v>
      </c>
      <c r="F77" s="468">
        <v>46</v>
      </c>
    </row>
    <row r="78" spans="2:6" ht="18" x14ac:dyDescent="0.35">
      <c r="C78" s="496">
        <v>46067</v>
      </c>
      <c r="D78" s="468">
        <v>104</v>
      </c>
      <c r="E78" s="468">
        <v>30</v>
      </c>
      <c r="F78" s="468">
        <v>30</v>
      </c>
    </row>
    <row r="79" spans="2:6" ht="18" x14ac:dyDescent="0.35">
      <c r="C79" s="496">
        <v>46068</v>
      </c>
      <c r="D79" s="468">
        <v>0</v>
      </c>
      <c r="E79" s="468">
        <v>0</v>
      </c>
      <c r="F79" s="468">
        <v>0</v>
      </c>
    </row>
    <row r="80" spans="2:6" ht="18" x14ac:dyDescent="0.3">
      <c r="C80" s="468" t="s">
        <v>148</v>
      </c>
      <c r="D80" s="469">
        <f>SUM(D73:D79)</f>
        <v>363</v>
      </c>
      <c r="E80" s="469">
        <f>SUM(E73:E79)</f>
        <v>293</v>
      </c>
      <c r="F80" s="469">
        <f t="shared" ref="F80" si="7">SUM(F73:F79)</f>
        <v>293</v>
      </c>
    </row>
    <row r="97" spans="1:10" ht="23.4" x14ac:dyDescent="0.45">
      <c r="B97" s="455" t="s">
        <v>4278</v>
      </c>
    </row>
    <row r="98" spans="1:10" ht="15" thickBot="1" x14ac:dyDescent="0.35">
      <c r="C98" s="288"/>
      <c r="E98" s="288"/>
      <c r="F98" s="288"/>
      <c r="G98" s="288"/>
      <c r="I98" s="288"/>
      <c r="J98" s="288"/>
    </row>
    <row r="99" spans="1:10" ht="22.8" thickBot="1" x14ac:dyDescent="0.35">
      <c r="B99" s="478" t="s">
        <v>4182</v>
      </c>
      <c r="C99" s="479" t="s">
        <v>4250</v>
      </c>
      <c r="D99" s="479" t="s">
        <v>4243</v>
      </c>
      <c r="E99" s="479" t="s">
        <v>4156</v>
      </c>
      <c r="F99" s="479" t="s">
        <v>4171</v>
      </c>
      <c r="G99" s="479" t="s">
        <v>4255</v>
      </c>
      <c r="H99" s="479" t="s">
        <v>4244</v>
      </c>
      <c r="I99" s="479" t="s">
        <v>4245</v>
      </c>
      <c r="J99" s="480" t="s">
        <v>4249</v>
      </c>
    </row>
    <row r="100" spans="1:10" ht="22.8" thickBot="1" x14ac:dyDescent="0.35">
      <c r="A100" s="470" t="s">
        <v>4268</v>
      </c>
      <c r="B100" s="475">
        <v>19</v>
      </c>
      <c r="C100" s="476">
        <v>15</v>
      </c>
      <c r="D100" s="476">
        <v>0</v>
      </c>
      <c r="E100" s="476">
        <v>14</v>
      </c>
      <c r="F100" s="476">
        <v>11</v>
      </c>
      <c r="G100" s="476">
        <v>18</v>
      </c>
      <c r="H100" s="476">
        <v>0</v>
      </c>
      <c r="I100" s="476">
        <v>19</v>
      </c>
      <c r="J100" s="477">
        <v>7</v>
      </c>
    </row>
    <row r="101" spans="1:10" ht="24" thickBot="1" x14ac:dyDescent="0.5">
      <c r="A101" s="471" t="s">
        <v>4269</v>
      </c>
      <c r="B101" s="472">
        <v>29</v>
      </c>
      <c r="C101" s="473">
        <v>23</v>
      </c>
      <c r="D101" s="473">
        <v>0</v>
      </c>
      <c r="E101" s="473">
        <v>25</v>
      </c>
      <c r="F101" s="473">
        <v>24</v>
      </c>
      <c r="G101" s="473">
        <v>29</v>
      </c>
      <c r="H101" s="473">
        <v>0</v>
      </c>
      <c r="I101" s="473">
        <v>29</v>
      </c>
      <c r="J101" s="474">
        <v>12</v>
      </c>
    </row>
  </sheetData>
  <mergeCells count="2">
    <mergeCell ref="B13:J13"/>
    <mergeCell ref="B20:J20"/>
  </mergeCells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71"/>
  <sheetViews>
    <sheetView zoomScale="70" zoomScaleNormal="70" workbookViewId="0">
      <pane ySplit="2" topLeftCell="A3" activePane="bottomLeft" state="frozen"/>
      <selection activeCell="B11" sqref="B11:J11"/>
      <selection pane="bottomLeft" activeCell="B11" sqref="B11:J11"/>
    </sheetView>
  </sheetViews>
  <sheetFormatPr baseColWidth="10" defaultRowHeight="14.4" x14ac:dyDescent="0.3"/>
  <cols>
    <col min="1" max="1" width="20.77734375" customWidth="1"/>
    <col min="2" max="2" width="30.77734375" customWidth="1"/>
    <col min="3" max="3" width="29.44140625" customWidth="1"/>
    <col min="4" max="4" width="35.109375" customWidth="1"/>
    <col min="5" max="6" width="31" customWidth="1"/>
    <col min="7" max="7" width="29.21875" customWidth="1"/>
    <col min="8" max="8" width="28.33203125" customWidth="1"/>
    <col min="9" max="9" width="28.88671875" customWidth="1"/>
    <col min="10" max="10" width="18.33203125" customWidth="1"/>
    <col min="11" max="11" width="21.44140625" customWidth="1"/>
    <col min="12" max="12" width="20.109375" customWidth="1"/>
    <col min="13" max="14" width="25.33203125" customWidth="1"/>
    <col min="15" max="15" width="28.88671875" bestFit="1" customWidth="1"/>
    <col min="16" max="16" width="12.77734375" bestFit="1" customWidth="1"/>
    <col min="18" max="18" width="29.21875" customWidth="1"/>
    <col min="19" max="19" width="36" customWidth="1"/>
    <col min="22" max="22" width="14.88671875" bestFit="1" customWidth="1"/>
  </cols>
  <sheetData>
    <row r="2" spans="2:10" ht="21" x14ac:dyDescent="0.4">
      <c r="B2" s="321" t="s">
        <v>61</v>
      </c>
      <c r="C2" s="322" t="s">
        <v>4150</v>
      </c>
      <c r="D2" s="322" t="s">
        <v>4144</v>
      </c>
      <c r="E2" s="318" t="s">
        <v>4145</v>
      </c>
      <c r="F2" s="318" t="s">
        <v>4160</v>
      </c>
      <c r="G2" s="322" t="s">
        <v>4198</v>
      </c>
      <c r="H2" s="322" t="s">
        <v>4199</v>
      </c>
      <c r="I2" s="322" t="s">
        <v>4246</v>
      </c>
      <c r="J2" s="322" t="s">
        <v>4251</v>
      </c>
    </row>
    <row r="3" spans="2:10" ht="21" x14ac:dyDescent="0.4">
      <c r="B3" s="333" t="s">
        <v>4146</v>
      </c>
      <c r="C3" s="334">
        <f t="shared" ref="C3:C8" si="0">SUM(D3,E3,F3,G3,H3:J3)</f>
        <v>1827</v>
      </c>
      <c r="D3" s="324">
        <f>SUM(D5-D4)</f>
        <v>1007</v>
      </c>
      <c r="E3" s="324">
        <f t="shared" ref="E3:J3" si="1">SUM(E5-E4)</f>
        <v>469</v>
      </c>
      <c r="F3" s="324">
        <f t="shared" si="1"/>
        <v>224</v>
      </c>
      <c r="G3" s="324">
        <f t="shared" si="1"/>
        <v>70</v>
      </c>
      <c r="H3" s="324">
        <f t="shared" si="1"/>
        <v>19</v>
      </c>
      <c r="I3" s="324">
        <f t="shared" si="1"/>
        <v>23</v>
      </c>
      <c r="J3" s="324">
        <f t="shared" si="1"/>
        <v>15</v>
      </c>
    </row>
    <row r="4" spans="2:10" ht="21" x14ac:dyDescent="0.4">
      <c r="B4" s="333" t="s">
        <v>4147</v>
      </c>
      <c r="C4" s="334">
        <f t="shared" si="0"/>
        <v>330</v>
      </c>
      <c r="D4" s="335">
        <v>89</v>
      </c>
      <c r="E4" s="405">
        <v>40</v>
      </c>
      <c r="F4" s="405">
        <v>118</v>
      </c>
      <c r="G4" s="335">
        <v>13</v>
      </c>
      <c r="H4" s="335">
        <v>12</v>
      </c>
      <c r="I4" s="427">
        <v>40</v>
      </c>
      <c r="J4" s="427">
        <v>18</v>
      </c>
    </row>
    <row r="5" spans="2:10" ht="38.4" customHeight="1" x14ac:dyDescent="0.4">
      <c r="B5" s="323" t="s">
        <v>4253</v>
      </c>
      <c r="C5" s="317">
        <f t="shared" si="0"/>
        <v>2157</v>
      </c>
      <c r="D5" s="324">
        <v>1096</v>
      </c>
      <c r="E5" s="324">
        <v>509</v>
      </c>
      <c r="F5" s="324">
        <v>342</v>
      </c>
      <c r="G5" s="324">
        <v>83</v>
      </c>
      <c r="H5" s="324">
        <v>31</v>
      </c>
      <c r="I5" s="324">
        <v>63</v>
      </c>
      <c r="J5" s="324">
        <v>33</v>
      </c>
    </row>
    <row r="6" spans="2:10" ht="21" x14ac:dyDescent="0.4">
      <c r="B6" s="336" t="s">
        <v>4155</v>
      </c>
      <c r="C6" s="433">
        <f>SUM(D6,E6,F6,G6,H6:J6)</f>
        <v>226</v>
      </c>
      <c r="D6" s="376">
        <v>52</v>
      </c>
      <c r="E6" s="406">
        <v>31</v>
      </c>
      <c r="F6" s="406">
        <v>69</v>
      </c>
      <c r="G6" s="406">
        <v>10</v>
      </c>
      <c r="H6" s="376">
        <v>16</v>
      </c>
      <c r="I6" s="429">
        <v>36</v>
      </c>
      <c r="J6" s="429">
        <v>12</v>
      </c>
    </row>
    <row r="7" spans="2:10" ht="21" x14ac:dyDescent="0.4">
      <c r="B7" s="323" t="s">
        <v>4151</v>
      </c>
      <c r="C7" s="317">
        <f t="shared" si="0"/>
        <v>1931</v>
      </c>
      <c r="D7" s="324">
        <v>1044</v>
      </c>
      <c r="E7" s="324">
        <v>478</v>
      </c>
      <c r="F7" s="324">
        <v>273</v>
      </c>
      <c r="G7" s="324">
        <v>73</v>
      </c>
      <c r="H7" s="324">
        <v>15</v>
      </c>
      <c r="I7" s="324">
        <v>27</v>
      </c>
      <c r="J7" s="324">
        <v>21</v>
      </c>
    </row>
    <row r="8" spans="2:10" ht="21" x14ac:dyDescent="0.4">
      <c r="B8" s="333" t="s">
        <v>4148</v>
      </c>
      <c r="C8" s="334">
        <f t="shared" si="0"/>
        <v>1540</v>
      </c>
      <c r="D8" s="334">
        <v>901</v>
      </c>
      <c r="E8" s="334">
        <v>423</v>
      </c>
      <c r="F8" s="334">
        <v>126</v>
      </c>
      <c r="G8" s="334">
        <v>62</v>
      </c>
      <c r="H8" s="334">
        <v>13</v>
      </c>
      <c r="I8" s="428">
        <v>4</v>
      </c>
      <c r="J8" s="428">
        <v>11</v>
      </c>
    </row>
    <row r="9" spans="2:10" ht="25.8" customHeight="1" x14ac:dyDescent="0.4">
      <c r="B9" s="333" t="s">
        <v>4149</v>
      </c>
      <c r="C9" s="334">
        <f>C7-C8</f>
        <v>391</v>
      </c>
      <c r="D9" s="334">
        <f t="shared" ref="D9:J9" si="2">D7-D8</f>
        <v>143</v>
      </c>
      <c r="E9" s="334">
        <f t="shared" si="2"/>
        <v>55</v>
      </c>
      <c r="F9" s="334">
        <f t="shared" si="2"/>
        <v>147</v>
      </c>
      <c r="G9" s="334">
        <f t="shared" si="2"/>
        <v>11</v>
      </c>
      <c r="H9" s="334">
        <f t="shared" si="2"/>
        <v>2</v>
      </c>
      <c r="I9" s="334">
        <f t="shared" si="2"/>
        <v>23</v>
      </c>
      <c r="J9" s="334">
        <f t="shared" si="2"/>
        <v>10</v>
      </c>
    </row>
    <row r="10" spans="2:10" ht="15" thickBot="1" x14ac:dyDescent="0.35"/>
    <row r="11" spans="2:10" ht="18.600000000000001" thickBot="1" x14ac:dyDescent="0.4">
      <c r="B11" s="501" t="s">
        <v>4153</v>
      </c>
      <c r="C11" s="502"/>
      <c r="D11" s="502"/>
      <c r="E11" s="502"/>
      <c r="F11" s="502"/>
      <c r="G11" s="502"/>
      <c r="H11" s="502"/>
      <c r="I11" s="502"/>
      <c r="J11" s="513"/>
    </row>
    <row r="12" spans="2:10" ht="22.05" customHeight="1" x14ac:dyDescent="0.4">
      <c r="B12" s="486" t="s">
        <v>61</v>
      </c>
      <c r="C12" s="487" t="s">
        <v>4152</v>
      </c>
      <c r="D12" s="488"/>
      <c r="E12" s="487"/>
      <c r="F12" s="487"/>
      <c r="G12" s="488"/>
      <c r="H12" s="488"/>
      <c r="I12" s="488"/>
      <c r="J12" s="488"/>
    </row>
    <row r="13" spans="2:10" ht="22.05" customHeight="1" x14ac:dyDescent="0.35">
      <c r="B13" s="338" t="s">
        <v>66</v>
      </c>
      <c r="C13" s="334">
        <f>SUM(D13,E13,F13,G13,H13:J13)</f>
        <v>197</v>
      </c>
      <c r="D13" s="334">
        <v>59</v>
      </c>
      <c r="E13" s="334">
        <v>28</v>
      </c>
      <c r="F13" s="334">
        <v>98</v>
      </c>
      <c r="G13" s="334">
        <v>1</v>
      </c>
      <c r="H13" s="334">
        <v>0</v>
      </c>
      <c r="I13" s="334">
        <v>6</v>
      </c>
      <c r="J13" s="334">
        <v>5</v>
      </c>
    </row>
    <row r="14" spans="2:10" ht="22.05" customHeight="1" x14ac:dyDescent="0.35">
      <c r="B14" s="338" t="s">
        <v>3305</v>
      </c>
      <c r="C14" s="334">
        <f>SUM(D14,E14,F14,G14,H14:J14)</f>
        <v>29</v>
      </c>
      <c r="D14" s="334">
        <v>29</v>
      </c>
      <c r="E14" s="334">
        <v>0</v>
      </c>
      <c r="F14" s="334">
        <v>0</v>
      </c>
      <c r="G14" s="334">
        <v>0</v>
      </c>
      <c r="H14" s="334">
        <v>0</v>
      </c>
      <c r="I14" s="334">
        <v>0</v>
      </c>
      <c r="J14" s="334">
        <v>0</v>
      </c>
    </row>
    <row r="15" spans="2:10" ht="22.05" customHeight="1" x14ac:dyDescent="0.35">
      <c r="B15" s="339" t="s">
        <v>63</v>
      </c>
      <c r="C15" s="334">
        <f>SUM(D15,E15,F15,G15,H15:J15)</f>
        <v>132</v>
      </c>
      <c r="D15" s="340">
        <v>32</v>
      </c>
      <c r="E15" s="340">
        <v>27</v>
      </c>
      <c r="F15" s="340">
        <v>49</v>
      </c>
      <c r="G15" s="340">
        <v>7</v>
      </c>
      <c r="H15" s="340">
        <v>1</v>
      </c>
      <c r="I15" s="340">
        <v>11</v>
      </c>
      <c r="J15" s="340">
        <v>5</v>
      </c>
    </row>
    <row r="16" spans="2:10" ht="22.05" customHeight="1" x14ac:dyDescent="0.35">
      <c r="B16" s="341" t="s">
        <v>4161</v>
      </c>
      <c r="C16" s="334">
        <f>SUM(D16,E16,F16,G16,H16:J16)</f>
        <v>33</v>
      </c>
      <c r="D16" s="334">
        <v>23</v>
      </c>
      <c r="E16" s="334">
        <v>0</v>
      </c>
      <c r="F16" s="334">
        <v>0</v>
      </c>
      <c r="G16" s="334">
        <v>3</v>
      </c>
      <c r="H16" s="337">
        <v>1</v>
      </c>
      <c r="I16" s="337">
        <v>6</v>
      </c>
      <c r="J16" s="337">
        <v>0</v>
      </c>
    </row>
    <row r="17" spans="2:10" ht="22.05" customHeight="1" x14ac:dyDescent="0.35">
      <c r="B17" s="328" t="s">
        <v>4154</v>
      </c>
      <c r="C17" s="317">
        <f>SUM(D17,E17,F17,G17,H17:J17)</f>
        <v>391</v>
      </c>
      <c r="D17" s="329">
        <f>SUM(D13:D16)</f>
        <v>143</v>
      </c>
      <c r="E17" s="329">
        <f t="shared" ref="E17:J17" si="3">SUM(E13:E16)</f>
        <v>55</v>
      </c>
      <c r="F17" s="329">
        <f t="shared" si="3"/>
        <v>147</v>
      </c>
      <c r="G17" s="329">
        <f t="shared" si="3"/>
        <v>11</v>
      </c>
      <c r="H17" s="329">
        <f t="shared" si="3"/>
        <v>2</v>
      </c>
      <c r="I17" s="329">
        <f t="shared" si="3"/>
        <v>23</v>
      </c>
      <c r="J17" s="329">
        <f t="shared" si="3"/>
        <v>10</v>
      </c>
    </row>
    <row r="20" spans="2:10" ht="22.05" customHeight="1" x14ac:dyDescent="0.4">
      <c r="B20" s="327" t="s">
        <v>61</v>
      </c>
      <c r="C20" s="319" t="s">
        <v>4152</v>
      </c>
      <c r="D20" s="322" t="s">
        <v>4144</v>
      </c>
      <c r="E20" s="318" t="s">
        <v>4145</v>
      </c>
      <c r="F20" s="318" t="s">
        <v>4160</v>
      </c>
      <c r="G20" s="322" t="s">
        <v>4198</v>
      </c>
      <c r="H20" s="322" t="s">
        <v>4199</v>
      </c>
      <c r="I20" s="322" t="s">
        <v>4248</v>
      </c>
      <c r="J20" s="322" t="s">
        <v>4251</v>
      </c>
    </row>
    <row r="21" spans="2:10" ht="22.05" customHeight="1" x14ac:dyDescent="0.35">
      <c r="B21" s="320" t="s">
        <v>77</v>
      </c>
      <c r="C21" s="317">
        <f>SUM(D21,E21,F21,G21,H21:J21)</f>
        <v>0</v>
      </c>
      <c r="D21" s="317"/>
      <c r="E21" s="317"/>
      <c r="F21" s="317"/>
      <c r="G21" s="317"/>
      <c r="H21" s="317"/>
      <c r="I21" s="317"/>
      <c r="J21" s="317"/>
    </row>
    <row r="22" spans="2:10" ht="22.05" customHeight="1" x14ac:dyDescent="0.35">
      <c r="B22" s="338" t="s">
        <v>4162</v>
      </c>
      <c r="C22" s="334">
        <f>SUM(D22,E22,F22,G22,H22:J22)</f>
        <v>0</v>
      </c>
      <c r="D22" s="334"/>
      <c r="E22" s="334"/>
      <c r="F22" s="334"/>
      <c r="G22" s="334"/>
      <c r="H22" s="334"/>
      <c r="I22" s="334"/>
      <c r="J22" s="334"/>
    </row>
    <row r="23" spans="2:10" ht="22.05" customHeight="1" x14ac:dyDescent="0.35">
      <c r="B23" s="338" t="s">
        <v>83</v>
      </c>
      <c r="C23" s="334">
        <f t="shared" ref="C23:C30" si="4">SUM(D23,E23,F23,G23,H23:J23)</f>
        <v>0</v>
      </c>
      <c r="D23" s="334"/>
      <c r="E23" s="334"/>
      <c r="F23" s="334"/>
      <c r="G23" s="334"/>
      <c r="H23" s="334"/>
      <c r="I23" s="334"/>
      <c r="J23" s="334"/>
    </row>
    <row r="24" spans="2:10" ht="22.05" customHeight="1" x14ac:dyDescent="0.35">
      <c r="B24" s="338" t="s">
        <v>41</v>
      </c>
      <c r="C24" s="334">
        <f t="shared" si="4"/>
        <v>0</v>
      </c>
      <c r="D24" s="334"/>
      <c r="E24" s="334"/>
      <c r="F24" s="334"/>
      <c r="G24" s="334"/>
      <c r="H24" s="334"/>
      <c r="I24" s="334"/>
      <c r="J24" s="334"/>
    </row>
    <row r="25" spans="2:10" ht="22.05" customHeight="1" x14ac:dyDescent="0.35">
      <c r="B25" s="338" t="s">
        <v>67</v>
      </c>
      <c r="C25" s="334">
        <f t="shared" si="4"/>
        <v>0</v>
      </c>
      <c r="D25" s="334"/>
      <c r="E25" s="334"/>
      <c r="F25" s="334"/>
      <c r="G25" s="334"/>
      <c r="H25" s="334"/>
      <c r="I25" s="334"/>
      <c r="J25" s="334"/>
    </row>
    <row r="26" spans="2:10" ht="22.05" customHeight="1" x14ac:dyDescent="0.35">
      <c r="B26" s="338" t="s">
        <v>70</v>
      </c>
      <c r="C26" s="334">
        <f t="shared" si="4"/>
        <v>0</v>
      </c>
      <c r="D26" s="334"/>
      <c r="E26" s="334"/>
      <c r="F26" s="334"/>
      <c r="G26" s="334"/>
      <c r="H26" s="334"/>
      <c r="I26" s="334"/>
      <c r="J26" s="334"/>
    </row>
    <row r="27" spans="2:10" ht="22.05" customHeight="1" x14ac:dyDescent="0.35">
      <c r="B27" s="338" t="s">
        <v>4168</v>
      </c>
      <c r="C27" s="334">
        <f t="shared" si="4"/>
        <v>0</v>
      </c>
      <c r="D27" s="334"/>
      <c r="E27" s="334"/>
      <c r="F27" s="334"/>
      <c r="G27" s="334"/>
      <c r="H27" s="334"/>
      <c r="I27" s="334"/>
      <c r="J27" s="334"/>
    </row>
    <row r="28" spans="2:10" ht="22.05" customHeight="1" x14ac:dyDescent="0.35">
      <c r="B28" s="338" t="s">
        <v>4169</v>
      </c>
      <c r="C28" s="334">
        <f t="shared" si="4"/>
        <v>0</v>
      </c>
      <c r="D28" s="334"/>
      <c r="E28" s="334"/>
      <c r="F28" s="334"/>
      <c r="G28" s="334"/>
      <c r="H28" s="334"/>
      <c r="I28" s="334"/>
      <c r="J28" s="334"/>
    </row>
    <row r="29" spans="2:10" ht="22.05" customHeight="1" x14ac:dyDescent="0.35">
      <c r="B29" s="338" t="s">
        <v>4163</v>
      </c>
      <c r="C29" s="334">
        <f t="shared" si="4"/>
        <v>0</v>
      </c>
      <c r="D29" s="334"/>
      <c r="E29" s="334"/>
      <c r="F29" s="334"/>
      <c r="G29" s="334"/>
      <c r="H29" s="334"/>
      <c r="I29" s="334"/>
      <c r="J29" s="334"/>
    </row>
    <row r="30" spans="2:10" ht="22.05" customHeight="1" x14ac:dyDescent="0.35">
      <c r="B30" s="342" t="s">
        <v>4170</v>
      </c>
      <c r="C30" s="334">
        <f t="shared" si="4"/>
        <v>0</v>
      </c>
      <c r="D30" s="334"/>
      <c r="E30" s="334"/>
      <c r="F30" s="334"/>
      <c r="G30" s="334"/>
      <c r="H30" s="334"/>
      <c r="I30" s="334"/>
      <c r="J30" s="334"/>
    </row>
    <row r="31" spans="2:10" ht="22.05" customHeight="1" x14ac:dyDescent="0.35">
      <c r="B31" s="320" t="s">
        <v>4154</v>
      </c>
      <c r="C31" s="317">
        <f>SUM(D31,E31,F31,G31,H31:J31)</f>
        <v>0</v>
      </c>
      <c r="D31" s="329">
        <f t="shared" ref="D31:H31" si="5">SUM(D22:D30)</f>
        <v>0</v>
      </c>
      <c r="E31" s="329">
        <f t="shared" si="5"/>
        <v>0</v>
      </c>
      <c r="F31" s="329">
        <f t="shared" si="5"/>
        <v>0</v>
      </c>
      <c r="G31" s="329">
        <f t="shared" si="5"/>
        <v>0</v>
      </c>
      <c r="H31" s="329">
        <f t="shared" si="5"/>
        <v>0</v>
      </c>
      <c r="I31" s="329">
        <f>SUM(I22:I30)</f>
        <v>0</v>
      </c>
      <c r="J31" s="329">
        <f>SUM(J22:J30)</f>
        <v>0</v>
      </c>
    </row>
    <row r="35" spans="2:10" ht="21" x14ac:dyDescent="0.4">
      <c r="B35" s="316" t="s">
        <v>4151</v>
      </c>
      <c r="C35" s="317">
        <f>SUM(D35,E35,F35,G35,H35:J35)</f>
        <v>391</v>
      </c>
      <c r="D35" s="337">
        <f t="shared" ref="D35:J35" si="6">SUM(D31,D17)</f>
        <v>143</v>
      </c>
      <c r="E35" s="337">
        <f t="shared" si="6"/>
        <v>55</v>
      </c>
      <c r="F35" s="337">
        <f t="shared" si="6"/>
        <v>147</v>
      </c>
      <c r="G35" s="337">
        <f t="shared" si="6"/>
        <v>11</v>
      </c>
      <c r="H35" s="337">
        <f t="shared" si="6"/>
        <v>2</v>
      </c>
      <c r="I35" s="337">
        <f t="shared" si="6"/>
        <v>23</v>
      </c>
      <c r="J35" s="337">
        <f t="shared" si="6"/>
        <v>10</v>
      </c>
    </row>
    <row r="36" spans="2:10" x14ac:dyDescent="0.3">
      <c r="D36" s="331"/>
    </row>
    <row r="39" spans="2:10" ht="37.200000000000003" customHeight="1" x14ac:dyDescent="0.3">
      <c r="B39" s="425" t="s">
        <v>4164</v>
      </c>
      <c r="C39" s="325" t="s">
        <v>4165</v>
      </c>
      <c r="D39" s="343" t="s">
        <v>4166</v>
      </c>
      <c r="E39" s="343" t="s">
        <v>4174</v>
      </c>
      <c r="F39" s="343" t="s">
        <v>4175</v>
      </c>
      <c r="G39" s="426" t="s">
        <v>4247</v>
      </c>
      <c r="H39" s="426" t="s">
        <v>4252</v>
      </c>
      <c r="I39" s="344" t="s">
        <v>4167</v>
      </c>
      <c r="J39" s="325" t="s">
        <v>4167</v>
      </c>
    </row>
    <row r="40" spans="2:10" ht="42" customHeight="1" x14ac:dyDescent="0.4">
      <c r="B40" s="376">
        <v>52</v>
      </c>
      <c r="C40" s="406">
        <v>31</v>
      </c>
      <c r="D40" s="406">
        <v>69</v>
      </c>
      <c r="E40" s="406">
        <v>10</v>
      </c>
      <c r="F40" s="376">
        <v>16</v>
      </c>
      <c r="G40" s="429">
        <v>36</v>
      </c>
      <c r="H40" s="429">
        <v>12</v>
      </c>
      <c r="I40" s="345">
        <v>374</v>
      </c>
      <c r="J40" s="362" t="s">
        <v>4264</v>
      </c>
    </row>
    <row r="42" spans="2:10" x14ac:dyDescent="0.3">
      <c r="G42" s="326"/>
    </row>
    <row r="50" spans="2:10" s="17" customFormat="1" ht="37.799999999999997" customHeight="1" x14ac:dyDescent="0.3">
      <c r="B50" s="330" t="s">
        <v>4182</v>
      </c>
      <c r="C50" s="330" t="s">
        <v>4250</v>
      </c>
      <c r="D50" s="330" t="s">
        <v>4243</v>
      </c>
      <c r="E50" s="330" t="s">
        <v>4156</v>
      </c>
      <c r="F50" s="330" t="s">
        <v>4171</v>
      </c>
      <c r="G50" s="330" t="s">
        <v>4255</v>
      </c>
      <c r="H50" s="330" t="s">
        <v>4244</v>
      </c>
      <c r="I50" s="330" t="s">
        <v>4245</v>
      </c>
      <c r="J50" s="330" t="s">
        <v>4249</v>
      </c>
    </row>
    <row r="51" spans="2:10" ht="64.2" customHeight="1" x14ac:dyDescent="0.3">
      <c r="B51" s="332"/>
      <c r="C51" s="332"/>
      <c r="D51" s="332"/>
      <c r="E51" s="332"/>
      <c r="F51" s="332"/>
      <c r="G51" s="332"/>
      <c r="H51" s="332"/>
      <c r="I51" s="332"/>
      <c r="J51" s="332"/>
    </row>
    <row r="52" spans="2:10" ht="31.8" customHeight="1" x14ac:dyDescent="0.45">
      <c r="B52" s="346"/>
      <c r="C52" s="346"/>
      <c r="D52" s="346"/>
      <c r="E52" s="346"/>
      <c r="F52" s="346"/>
      <c r="G52" s="346"/>
      <c r="H52" s="346"/>
      <c r="I52" s="346"/>
      <c r="J52" s="346"/>
    </row>
    <row r="56" spans="2:10" ht="36" x14ac:dyDescent="0.3">
      <c r="B56" s="420" t="s">
        <v>4254</v>
      </c>
      <c r="C56" s="420" t="s">
        <v>4157</v>
      </c>
      <c r="D56" s="420" t="s">
        <v>4158</v>
      </c>
      <c r="E56" s="420" t="s">
        <v>4159</v>
      </c>
      <c r="F56" s="347"/>
    </row>
    <row r="57" spans="2:10" ht="18" x14ac:dyDescent="0.35">
      <c r="B57" s="421" t="s">
        <v>4257</v>
      </c>
      <c r="C57" s="423">
        <v>85</v>
      </c>
      <c r="D57" s="423">
        <v>82</v>
      </c>
      <c r="E57" s="423">
        <v>82</v>
      </c>
      <c r="F57" s="348"/>
    </row>
    <row r="58" spans="2:10" ht="18" x14ac:dyDescent="0.35">
      <c r="B58" s="421" t="s">
        <v>4258</v>
      </c>
      <c r="C58" s="424">
        <v>97</v>
      </c>
      <c r="D58" s="423">
        <v>71</v>
      </c>
      <c r="E58" s="423">
        <v>71</v>
      </c>
      <c r="F58" s="348"/>
    </row>
    <row r="59" spans="2:10" ht="18" x14ac:dyDescent="0.35">
      <c r="B59" s="421" t="s">
        <v>4259</v>
      </c>
      <c r="C59" s="424">
        <v>86</v>
      </c>
      <c r="D59" s="424">
        <v>44</v>
      </c>
      <c r="E59" s="424">
        <v>44</v>
      </c>
      <c r="F59" s="348"/>
    </row>
    <row r="60" spans="2:10" ht="18" x14ac:dyDescent="0.35">
      <c r="B60" s="421" t="s">
        <v>4260</v>
      </c>
      <c r="C60" s="423">
        <v>0</v>
      </c>
      <c r="D60" s="424">
        <v>0</v>
      </c>
      <c r="E60" s="424">
        <v>0</v>
      </c>
      <c r="F60" s="348"/>
    </row>
    <row r="61" spans="2:10" ht="18" x14ac:dyDescent="0.35">
      <c r="B61" s="421" t="s">
        <v>4261</v>
      </c>
      <c r="C61" s="423">
        <v>22</v>
      </c>
      <c r="D61" s="423">
        <v>4</v>
      </c>
      <c r="E61" s="423">
        <v>4</v>
      </c>
      <c r="F61" s="348"/>
    </row>
    <row r="62" spans="2:10" ht="18" x14ac:dyDescent="0.35">
      <c r="B62" s="421" t="s">
        <v>4262</v>
      </c>
      <c r="C62" s="422">
        <v>40</v>
      </c>
      <c r="D62" s="422">
        <v>25</v>
      </c>
      <c r="E62" s="422">
        <v>25</v>
      </c>
      <c r="F62" s="348"/>
    </row>
    <row r="63" spans="2:10" ht="18" x14ac:dyDescent="0.35">
      <c r="B63" s="421" t="s">
        <v>4263</v>
      </c>
      <c r="C63" s="422">
        <v>0</v>
      </c>
      <c r="D63" s="422">
        <v>0</v>
      </c>
      <c r="E63" s="422">
        <v>0</v>
      </c>
      <c r="F63" s="348"/>
    </row>
    <row r="64" spans="2:10" ht="18" x14ac:dyDescent="0.3">
      <c r="B64" s="422" t="s">
        <v>148</v>
      </c>
      <c r="C64" s="350">
        <f>SUM(C57:C63)</f>
        <v>330</v>
      </c>
      <c r="D64" s="350">
        <f>SUM(D57:D63)</f>
        <v>226</v>
      </c>
      <c r="E64" s="350">
        <f t="shared" ref="E64" si="7">SUM(E57:E63)</f>
        <v>226</v>
      </c>
      <c r="F64" s="349"/>
    </row>
    <row r="72" spans="2:8" ht="21" x14ac:dyDescent="0.3">
      <c r="B72" s="325" t="s">
        <v>4176</v>
      </c>
      <c r="C72" s="325" t="s">
        <v>4177</v>
      </c>
      <c r="D72" s="325" t="s">
        <v>68</v>
      </c>
      <c r="E72" s="325" t="s">
        <v>4178</v>
      </c>
      <c r="F72" s="325" t="s">
        <v>4179</v>
      </c>
      <c r="G72" s="325" t="s">
        <v>4180</v>
      </c>
      <c r="H72" s="325" t="s">
        <v>4181</v>
      </c>
    </row>
    <row r="73" spans="2:8" ht="47.4" customHeight="1" x14ac:dyDescent="0.4">
      <c r="B73" s="404">
        <v>14</v>
      </c>
      <c r="C73" s="404">
        <v>137</v>
      </c>
      <c r="D73" s="404">
        <v>1</v>
      </c>
      <c r="E73" s="404">
        <v>32</v>
      </c>
      <c r="F73" s="404">
        <v>74</v>
      </c>
      <c r="G73" s="404">
        <v>72</v>
      </c>
      <c r="H73" s="362" t="s">
        <v>4256</v>
      </c>
    </row>
    <row r="74" spans="2:8" ht="30.6" customHeight="1" x14ac:dyDescent="0.3"/>
    <row r="75" spans="2:8" ht="30.6" customHeight="1" x14ac:dyDescent="0.3"/>
    <row r="76" spans="2:8" ht="28.8" customHeight="1" x14ac:dyDescent="0.3"/>
    <row r="127" spans="4:12" ht="15" thickBot="1" x14ac:dyDescent="0.35"/>
    <row r="128" spans="4:12" ht="24" thickBot="1" x14ac:dyDescent="0.35">
      <c r="D128" s="363"/>
      <c r="E128" s="514" t="s">
        <v>4201</v>
      </c>
      <c r="F128" s="515"/>
      <c r="G128" s="516" t="s">
        <v>4203</v>
      </c>
      <c r="H128" s="515"/>
      <c r="I128" s="517" t="s">
        <v>4202</v>
      </c>
      <c r="J128" s="517"/>
      <c r="K128" s="518" t="s">
        <v>4208</v>
      </c>
      <c r="L128" s="519"/>
    </row>
    <row r="129" spans="4:12" ht="23.4" x14ac:dyDescent="0.3">
      <c r="D129" s="384" t="s">
        <v>4183</v>
      </c>
      <c r="E129" s="385" t="s">
        <v>4207</v>
      </c>
      <c r="F129" s="386" t="s">
        <v>4204</v>
      </c>
      <c r="G129" s="385" t="s">
        <v>4207</v>
      </c>
      <c r="H129" s="386" t="s">
        <v>4204</v>
      </c>
      <c r="I129" s="385" t="s">
        <v>4207</v>
      </c>
      <c r="J129" s="386" t="s">
        <v>4204</v>
      </c>
      <c r="K129" s="387" t="s">
        <v>4205</v>
      </c>
      <c r="L129" s="386" t="s">
        <v>4206</v>
      </c>
    </row>
    <row r="130" spans="4:12" ht="23.4" x14ac:dyDescent="0.45">
      <c r="D130" s="366" t="s">
        <v>4144</v>
      </c>
      <c r="E130" s="370">
        <v>344</v>
      </c>
      <c r="F130" s="377">
        <v>345</v>
      </c>
      <c r="G130" s="372">
        <v>347</v>
      </c>
      <c r="H130" s="379">
        <v>300</v>
      </c>
      <c r="I130" s="370">
        <v>326</v>
      </c>
      <c r="J130" s="377">
        <v>232</v>
      </c>
      <c r="K130" s="374">
        <v>1017</v>
      </c>
      <c r="L130" s="381">
        <v>877</v>
      </c>
    </row>
    <row r="131" spans="4:12" ht="23.4" x14ac:dyDescent="0.45">
      <c r="D131" s="366" t="s">
        <v>4197</v>
      </c>
      <c r="E131" s="370">
        <v>151</v>
      </c>
      <c r="F131" s="377">
        <v>154</v>
      </c>
      <c r="G131" s="372">
        <v>187</v>
      </c>
      <c r="H131" s="379">
        <v>152</v>
      </c>
      <c r="I131" s="370">
        <v>233</v>
      </c>
      <c r="J131" s="377">
        <v>180</v>
      </c>
      <c r="K131" s="374">
        <v>571</v>
      </c>
      <c r="L131" s="382">
        <v>486</v>
      </c>
    </row>
    <row r="132" spans="4:12" ht="23.4" x14ac:dyDescent="0.45">
      <c r="D132" s="366" t="s">
        <v>4160</v>
      </c>
      <c r="E132" s="370">
        <v>272</v>
      </c>
      <c r="F132" s="377">
        <v>289</v>
      </c>
      <c r="G132" s="372">
        <v>372</v>
      </c>
      <c r="H132" s="379">
        <v>374</v>
      </c>
      <c r="I132" s="370">
        <v>325</v>
      </c>
      <c r="J132" s="377">
        <v>326</v>
      </c>
      <c r="K132" s="374">
        <v>969</v>
      </c>
      <c r="L132" s="382">
        <v>989</v>
      </c>
    </row>
    <row r="133" spans="4:12" ht="23.4" x14ac:dyDescent="0.45">
      <c r="D133" s="366" t="s">
        <v>4198</v>
      </c>
      <c r="E133" s="370">
        <v>46</v>
      </c>
      <c r="F133" s="377">
        <v>10</v>
      </c>
      <c r="G133" s="372">
        <v>129</v>
      </c>
      <c r="H133" s="379">
        <v>132</v>
      </c>
      <c r="I133" s="370">
        <v>143</v>
      </c>
      <c r="J133" s="377">
        <v>108</v>
      </c>
      <c r="K133" s="374">
        <v>318</v>
      </c>
      <c r="L133" s="382">
        <v>250</v>
      </c>
    </row>
    <row r="134" spans="4:12" ht="24" thickBot="1" x14ac:dyDescent="0.5">
      <c r="D134" s="367" t="s">
        <v>4199</v>
      </c>
      <c r="E134" s="371">
        <v>0</v>
      </c>
      <c r="F134" s="378">
        <v>0</v>
      </c>
      <c r="G134" s="373">
        <v>69</v>
      </c>
      <c r="H134" s="380">
        <v>59</v>
      </c>
      <c r="I134" s="371">
        <v>80</v>
      </c>
      <c r="J134" s="378">
        <v>76</v>
      </c>
      <c r="K134" s="375">
        <v>149</v>
      </c>
      <c r="L134" s="383">
        <v>135</v>
      </c>
    </row>
    <row r="135" spans="4:12" ht="24" thickBot="1" x14ac:dyDescent="0.5">
      <c r="D135" s="368" t="s">
        <v>2518</v>
      </c>
      <c r="E135" s="364">
        <f>SUM(E130:E134)</f>
        <v>813</v>
      </c>
      <c r="F135" s="365">
        <f>SUM(F130:F134)</f>
        <v>798</v>
      </c>
      <c r="G135" s="364">
        <f t="shared" ref="G135:J135" si="8">SUM(G130:G134)</f>
        <v>1104</v>
      </c>
      <c r="H135" s="365">
        <f t="shared" si="8"/>
        <v>1017</v>
      </c>
      <c r="I135" s="364">
        <f t="shared" si="8"/>
        <v>1107</v>
      </c>
      <c r="J135" s="365">
        <f t="shared" si="8"/>
        <v>922</v>
      </c>
      <c r="K135" s="369">
        <f t="shared" ref="K135" si="9">SUM(K130:K134)</f>
        <v>3024</v>
      </c>
      <c r="L135" s="365">
        <f t="shared" ref="L135" si="10">SUM(L130:L134)</f>
        <v>2737</v>
      </c>
    </row>
    <row r="164" spans="3:20" x14ac:dyDescent="0.3">
      <c r="C164" s="351" t="s">
        <v>4183</v>
      </c>
      <c r="D164" s="351" t="s">
        <v>4184</v>
      </c>
      <c r="E164" s="351" t="s">
        <v>4185</v>
      </c>
      <c r="H164" s="509" t="s">
        <v>7</v>
      </c>
      <c r="I164" s="509" t="s">
        <v>4186</v>
      </c>
      <c r="J164" s="509" t="s">
        <v>4187</v>
      </c>
      <c r="K164" s="509" t="s">
        <v>4188</v>
      </c>
      <c r="L164" s="509" t="s">
        <v>63</v>
      </c>
      <c r="M164" s="511" t="s">
        <v>4189</v>
      </c>
      <c r="N164" s="512"/>
      <c r="O164" s="506" t="s">
        <v>4190</v>
      </c>
      <c r="P164" s="507"/>
      <c r="Q164" s="507"/>
      <c r="R164" s="507"/>
      <c r="S164" s="508"/>
      <c r="T164" s="509" t="s">
        <v>4191</v>
      </c>
    </row>
    <row r="165" spans="3:20" ht="48" x14ac:dyDescent="0.3">
      <c r="C165" s="352" t="s">
        <v>89</v>
      </c>
      <c r="D165" s="352">
        <v>347</v>
      </c>
      <c r="E165" s="352">
        <v>300</v>
      </c>
      <c r="H165" s="510"/>
      <c r="I165" s="510"/>
      <c r="J165" s="510"/>
      <c r="K165" s="510"/>
      <c r="L165" s="510"/>
      <c r="M165" s="354" t="s">
        <v>65</v>
      </c>
      <c r="N165" s="354" t="s">
        <v>68</v>
      </c>
      <c r="O165" s="354" t="s">
        <v>4192</v>
      </c>
      <c r="P165" s="354" t="s">
        <v>4193</v>
      </c>
      <c r="Q165" s="354" t="s">
        <v>4194</v>
      </c>
      <c r="R165" s="354" t="s">
        <v>4195</v>
      </c>
      <c r="S165" s="354" t="s">
        <v>4196</v>
      </c>
      <c r="T165" s="510"/>
    </row>
    <row r="166" spans="3:20" x14ac:dyDescent="0.3">
      <c r="C166" s="352" t="s">
        <v>106</v>
      </c>
      <c r="D166" s="352">
        <v>187</v>
      </c>
      <c r="E166" s="352">
        <v>152</v>
      </c>
      <c r="H166" s="355" t="s">
        <v>4144</v>
      </c>
      <c r="I166" s="356">
        <v>347</v>
      </c>
      <c r="J166" s="357">
        <v>255</v>
      </c>
      <c r="K166" s="356">
        <v>300</v>
      </c>
      <c r="L166" s="358">
        <v>0</v>
      </c>
      <c r="M166" s="359">
        <v>9</v>
      </c>
      <c r="N166" s="359">
        <v>18</v>
      </c>
      <c r="O166" s="359">
        <v>0</v>
      </c>
      <c r="P166" s="359">
        <v>11</v>
      </c>
      <c r="Q166" s="359">
        <v>7</v>
      </c>
      <c r="R166" s="359">
        <v>6</v>
      </c>
      <c r="S166" s="359">
        <v>8</v>
      </c>
      <c r="T166" s="358">
        <v>59</v>
      </c>
    </row>
    <row r="167" spans="3:20" x14ac:dyDescent="0.3">
      <c r="C167" s="352" t="s">
        <v>109</v>
      </c>
      <c r="D167" s="352">
        <v>372</v>
      </c>
      <c r="E167" s="352">
        <v>374</v>
      </c>
      <c r="H167" s="355" t="s">
        <v>4197</v>
      </c>
      <c r="I167" s="356">
        <v>187</v>
      </c>
      <c r="J167" s="356">
        <v>142</v>
      </c>
      <c r="K167" s="356">
        <v>152</v>
      </c>
      <c r="L167" s="358">
        <v>7</v>
      </c>
      <c r="M167" s="359">
        <v>6</v>
      </c>
      <c r="N167" s="359">
        <v>15</v>
      </c>
      <c r="O167" s="360">
        <v>0</v>
      </c>
      <c r="P167" s="359">
        <v>0</v>
      </c>
      <c r="Q167" s="359">
        <v>1</v>
      </c>
      <c r="R167" s="359">
        <v>0</v>
      </c>
      <c r="S167" s="359">
        <v>6</v>
      </c>
      <c r="T167" s="358">
        <v>28</v>
      </c>
    </row>
    <row r="168" spans="3:20" x14ac:dyDescent="0.3">
      <c r="C168" s="352" t="s">
        <v>4172</v>
      </c>
      <c r="D168" s="352">
        <v>129</v>
      </c>
      <c r="E168" s="352">
        <v>132</v>
      </c>
      <c r="H168" s="355" t="s">
        <v>4160</v>
      </c>
      <c r="I168" s="356">
        <v>372</v>
      </c>
      <c r="J168" s="356">
        <v>311</v>
      </c>
      <c r="K168" s="356">
        <v>374</v>
      </c>
      <c r="L168" s="358">
        <v>2</v>
      </c>
      <c r="M168" s="359">
        <v>29</v>
      </c>
      <c r="N168" s="359">
        <v>10</v>
      </c>
      <c r="O168" s="360">
        <v>0</v>
      </c>
      <c r="P168" s="359">
        <v>1</v>
      </c>
      <c r="Q168" s="359">
        <v>2</v>
      </c>
      <c r="R168" s="359">
        <v>0</v>
      </c>
      <c r="S168" s="359">
        <v>0</v>
      </c>
      <c r="T168" s="358">
        <v>42</v>
      </c>
    </row>
    <row r="169" spans="3:20" x14ac:dyDescent="0.3">
      <c r="C169" s="352" t="s">
        <v>4173</v>
      </c>
      <c r="D169" s="352">
        <v>69</v>
      </c>
      <c r="E169" s="352">
        <v>59</v>
      </c>
      <c r="H169" s="355" t="s">
        <v>4198</v>
      </c>
      <c r="I169" s="356">
        <v>129</v>
      </c>
      <c r="J169" s="356">
        <v>101</v>
      </c>
      <c r="K169" s="356">
        <v>132</v>
      </c>
      <c r="L169" s="358">
        <v>0</v>
      </c>
      <c r="M169" s="359">
        <v>2</v>
      </c>
      <c r="N169" s="359">
        <v>0</v>
      </c>
      <c r="O169" s="360">
        <v>0</v>
      </c>
      <c r="P169" s="359">
        <v>1</v>
      </c>
      <c r="Q169" s="359">
        <v>3</v>
      </c>
      <c r="R169" s="359">
        <v>0</v>
      </c>
      <c r="S169" s="359">
        <v>9</v>
      </c>
      <c r="T169" s="358">
        <v>15</v>
      </c>
    </row>
    <row r="170" spans="3:20" x14ac:dyDescent="0.3">
      <c r="C170" s="353" t="s">
        <v>148</v>
      </c>
      <c r="D170" s="353">
        <v>1104</v>
      </c>
      <c r="E170" s="353">
        <v>1017</v>
      </c>
      <c r="H170" s="355" t="s">
        <v>4199</v>
      </c>
      <c r="I170" s="356">
        <v>69</v>
      </c>
      <c r="J170" s="356">
        <v>59</v>
      </c>
      <c r="K170" s="356">
        <v>59</v>
      </c>
      <c r="L170" s="358">
        <v>0</v>
      </c>
      <c r="M170" s="359">
        <v>3</v>
      </c>
      <c r="N170" s="359">
        <v>0</v>
      </c>
      <c r="O170" s="360">
        <v>0</v>
      </c>
      <c r="P170" s="359">
        <v>2</v>
      </c>
      <c r="Q170" s="359">
        <v>0</v>
      </c>
      <c r="R170" s="359">
        <v>0</v>
      </c>
      <c r="S170" s="359">
        <v>5</v>
      </c>
      <c r="T170" s="358">
        <v>10</v>
      </c>
    </row>
    <row r="171" spans="3:20" x14ac:dyDescent="0.3">
      <c r="H171" s="361" t="s">
        <v>4200</v>
      </c>
      <c r="I171" s="357">
        <v>1104</v>
      </c>
      <c r="J171" s="357">
        <v>868</v>
      </c>
      <c r="K171" s="357">
        <v>1017</v>
      </c>
      <c r="L171" s="357">
        <v>9</v>
      </c>
      <c r="M171" s="357">
        <v>49</v>
      </c>
      <c r="N171" s="357">
        <v>43</v>
      </c>
      <c r="O171" s="357">
        <v>0</v>
      </c>
      <c r="P171" s="357">
        <v>15</v>
      </c>
      <c r="Q171" s="357">
        <v>13</v>
      </c>
      <c r="R171" s="357">
        <v>6</v>
      </c>
      <c r="S171" s="357">
        <v>28</v>
      </c>
      <c r="T171" s="357">
        <v>154</v>
      </c>
    </row>
  </sheetData>
  <mergeCells count="13">
    <mergeCell ref="B11:J11"/>
    <mergeCell ref="E128:F128"/>
    <mergeCell ref="G128:H128"/>
    <mergeCell ref="I128:J128"/>
    <mergeCell ref="K128:L128"/>
    <mergeCell ref="O164:S164"/>
    <mergeCell ref="T164:T165"/>
    <mergeCell ref="H164:H165"/>
    <mergeCell ref="I164:I165"/>
    <mergeCell ref="J164:J165"/>
    <mergeCell ref="K164:K165"/>
    <mergeCell ref="L164:L165"/>
    <mergeCell ref="M164:N164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5AC7-25DB-4895-8978-C11D7F2B7422}">
  <dimension ref="A1:H195"/>
  <sheetViews>
    <sheetView zoomScale="85" zoomScaleNormal="85" workbookViewId="0">
      <selection activeCell="B11" sqref="B11:J11"/>
    </sheetView>
  </sheetViews>
  <sheetFormatPr baseColWidth="10" defaultRowHeight="14.4" x14ac:dyDescent="0.3"/>
  <cols>
    <col min="1" max="1" width="24.21875" bestFit="1" customWidth="1"/>
    <col min="2" max="2" width="13.6640625" bestFit="1" customWidth="1"/>
    <col min="3" max="3" width="14.77734375" bestFit="1" customWidth="1"/>
  </cols>
  <sheetData>
    <row r="1" spans="1:3" ht="24" thickBot="1" x14ac:dyDescent="0.35">
      <c r="A1" s="363"/>
      <c r="B1" s="523" t="s">
        <v>4208</v>
      </c>
      <c r="C1" s="519"/>
    </row>
    <row r="2" spans="1:3" ht="24" thickBot="1" x14ac:dyDescent="0.35">
      <c r="A2" s="416" t="s">
        <v>4183</v>
      </c>
      <c r="B2" s="412" t="s">
        <v>4205</v>
      </c>
      <c r="C2" s="407" t="s">
        <v>4206</v>
      </c>
    </row>
    <row r="3" spans="1:3" ht="23.4" x14ac:dyDescent="0.45">
      <c r="A3" s="417" t="s">
        <v>4144</v>
      </c>
      <c r="B3" s="413">
        <v>558</v>
      </c>
      <c r="C3" s="409">
        <v>599</v>
      </c>
    </row>
    <row r="4" spans="1:3" ht="23.4" x14ac:dyDescent="0.45">
      <c r="A4" s="417" t="s">
        <v>4197</v>
      </c>
      <c r="B4" s="414">
        <v>316</v>
      </c>
      <c r="C4" s="410">
        <v>293</v>
      </c>
    </row>
    <row r="5" spans="1:3" ht="23.4" x14ac:dyDescent="0.45">
      <c r="A5" s="417" t="s">
        <v>4160</v>
      </c>
      <c r="B5" s="414">
        <v>333</v>
      </c>
      <c r="C5" s="410">
        <v>365</v>
      </c>
    </row>
    <row r="6" spans="1:3" ht="23.4" x14ac:dyDescent="0.45">
      <c r="A6" s="417" t="s">
        <v>4198</v>
      </c>
      <c r="B6" s="414">
        <v>96</v>
      </c>
      <c r="C6" s="410">
        <v>101</v>
      </c>
    </row>
    <row r="7" spans="1:3" ht="24" thickBot="1" x14ac:dyDescent="0.5">
      <c r="A7" s="418" t="s">
        <v>4199</v>
      </c>
      <c r="B7" s="415" t="s">
        <v>4265</v>
      </c>
      <c r="C7" s="411">
        <v>73</v>
      </c>
    </row>
    <row r="8" spans="1:3" ht="24" thickBot="1" x14ac:dyDescent="0.5">
      <c r="A8" s="430" t="s">
        <v>4246</v>
      </c>
      <c r="B8" s="431">
        <v>170</v>
      </c>
      <c r="C8" s="432">
        <v>104</v>
      </c>
    </row>
    <row r="9" spans="1:3" ht="24" thickBot="1" x14ac:dyDescent="0.5">
      <c r="A9" s="419" t="s">
        <v>2518</v>
      </c>
      <c r="B9" s="408">
        <f>SUM(B3:B8)</f>
        <v>1473</v>
      </c>
      <c r="C9" s="365">
        <f>SUM(C3:C8)</f>
        <v>1535</v>
      </c>
    </row>
    <row r="21" spans="2:8" ht="15" thickBot="1" x14ac:dyDescent="0.35"/>
    <row r="22" spans="2:8" ht="18.600000000000001" thickBot="1" x14ac:dyDescent="0.4">
      <c r="B22" s="524" t="s">
        <v>4209</v>
      </c>
      <c r="C22" s="525"/>
      <c r="D22" s="525"/>
      <c r="E22" s="525"/>
      <c r="F22" s="525"/>
      <c r="G22" s="526"/>
      <c r="H22" s="388">
        <v>45752</v>
      </c>
    </row>
    <row r="23" spans="2:8" ht="29.4" thickBot="1" x14ac:dyDescent="0.35">
      <c r="B23" s="389" t="s">
        <v>4210</v>
      </c>
      <c r="C23" s="390" t="s">
        <v>4144</v>
      </c>
      <c r="D23" s="390" t="s">
        <v>4197</v>
      </c>
      <c r="E23" s="390" t="s">
        <v>4160</v>
      </c>
      <c r="F23" s="390" t="s">
        <v>4198</v>
      </c>
      <c r="G23" s="390" t="s">
        <v>4199</v>
      </c>
      <c r="H23" s="391" t="s">
        <v>4154</v>
      </c>
    </row>
    <row r="24" spans="2:8" ht="15" thickBot="1" x14ac:dyDescent="0.35">
      <c r="B24" s="392" t="s">
        <v>4211</v>
      </c>
      <c r="C24" s="520"/>
      <c r="D24" s="521"/>
      <c r="E24" s="521"/>
      <c r="F24" s="521"/>
      <c r="G24" s="522"/>
      <c r="H24" s="393"/>
    </row>
    <row r="25" spans="2:8" ht="29.4" thickBot="1" x14ac:dyDescent="0.35">
      <c r="B25" s="394" t="s">
        <v>4212</v>
      </c>
      <c r="C25" s="395">
        <v>66</v>
      </c>
      <c r="D25" s="395">
        <v>65</v>
      </c>
      <c r="E25" s="395">
        <v>66</v>
      </c>
      <c r="F25" s="395">
        <v>23</v>
      </c>
      <c r="G25" s="395">
        <v>20</v>
      </c>
      <c r="H25" s="395">
        <v>240</v>
      </c>
    </row>
    <row r="26" spans="2:8" ht="15" thickBot="1" x14ac:dyDescent="0.35">
      <c r="B26" s="396" t="s">
        <v>4213</v>
      </c>
      <c r="C26" s="397">
        <v>14</v>
      </c>
      <c r="D26" s="397">
        <v>18</v>
      </c>
      <c r="E26" s="397">
        <v>8</v>
      </c>
      <c r="F26" s="397">
        <v>9</v>
      </c>
      <c r="G26" s="397">
        <v>6</v>
      </c>
      <c r="H26" s="398"/>
    </row>
    <row r="27" spans="2:8" ht="15" thickBot="1" x14ac:dyDescent="0.35">
      <c r="B27" s="396" t="s">
        <v>4214</v>
      </c>
      <c r="C27" s="397">
        <v>4</v>
      </c>
      <c r="D27" s="397">
        <v>4</v>
      </c>
      <c r="E27" s="397">
        <v>11</v>
      </c>
      <c r="F27" s="397">
        <v>0</v>
      </c>
      <c r="G27" s="397">
        <v>0</v>
      </c>
      <c r="H27" s="398"/>
    </row>
    <row r="28" spans="2:8" ht="15" thickBot="1" x14ac:dyDescent="0.35">
      <c r="B28" s="396" t="s">
        <v>4215</v>
      </c>
      <c r="C28" s="397">
        <v>0</v>
      </c>
      <c r="D28" s="397">
        <v>0</v>
      </c>
      <c r="E28" s="397">
        <v>0</v>
      </c>
      <c r="F28" s="397">
        <v>0</v>
      </c>
      <c r="G28" s="397">
        <v>0</v>
      </c>
      <c r="H28" s="398"/>
    </row>
    <row r="29" spans="2:8" ht="15" thickBot="1" x14ac:dyDescent="0.35">
      <c r="B29" s="396" t="s">
        <v>4216</v>
      </c>
      <c r="C29" s="397">
        <v>9</v>
      </c>
      <c r="D29" s="397">
        <v>5</v>
      </c>
      <c r="E29" s="397">
        <v>6</v>
      </c>
      <c r="F29" s="397">
        <v>0</v>
      </c>
      <c r="G29" s="397">
        <v>1</v>
      </c>
      <c r="H29" s="398"/>
    </row>
    <row r="30" spans="2:8" ht="15" thickBot="1" x14ac:dyDescent="0.35">
      <c r="B30" s="396" t="s">
        <v>4217</v>
      </c>
      <c r="C30" s="397">
        <v>16</v>
      </c>
      <c r="D30" s="397">
        <v>14</v>
      </c>
      <c r="E30" s="397">
        <v>13</v>
      </c>
      <c r="F30" s="397">
        <v>11</v>
      </c>
      <c r="G30" s="397">
        <v>6</v>
      </c>
      <c r="H30" s="398"/>
    </row>
    <row r="31" spans="2:8" ht="15" thickBot="1" x14ac:dyDescent="0.35">
      <c r="B31" s="396" t="s">
        <v>4218</v>
      </c>
      <c r="C31" s="397">
        <v>13</v>
      </c>
      <c r="D31" s="397">
        <v>12</v>
      </c>
      <c r="E31" s="397">
        <v>11</v>
      </c>
      <c r="F31" s="397">
        <v>2</v>
      </c>
      <c r="G31" s="397">
        <v>4</v>
      </c>
      <c r="H31" s="398"/>
    </row>
    <row r="32" spans="2:8" ht="15" thickBot="1" x14ac:dyDescent="0.35">
      <c r="B32" s="396" t="s">
        <v>4219</v>
      </c>
      <c r="C32" s="397">
        <v>10</v>
      </c>
      <c r="D32" s="397">
        <v>12</v>
      </c>
      <c r="E32" s="397">
        <v>17</v>
      </c>
      <c r="F32" s="397">
        <v>1</v>
      </c>
      <c r="G32" s="397">
        <v>3</v>
      </c>
      <c r="H32" s="398"/>
    </row>
    <row r="33" spans="2:8" ht="58.2" thickBot="1" x14ac:dyDescent="0.35">
      <c r="B33" s="394" t="s">
        <v>4220</v>
      </c>
      <c r="C33" s="399"/>
      <c r="D33" s="399"/>
      <c r="E33" s="399"/>
      <c r="F33" s="399"/>
      <c r="G33" s="399"/>
      <c r="H33" s="399"/>
    </row>
    <row r="34" spans="2:8" ht="15" thickBot="1" x14ac:dyDescent="0.35">
      <c r="B34" s="396" t="s">
        <v>4213</v>
      </c>
      <c r="C34" s="397">
        <v>31</v>
      </c>
      <c r="D34" s="397">
        <v>4</v>
      </c>
      <c r="E34" s="397">
        <v>0</v>
      </c>
      <c r="F34" s="397">
        <v>24</v>
      </c>
      <c r="G34" s="397">
        <v>3</v>
      </c>
      <c r="H34" s="398"/>
    </row>
    <row r="35" spans="2:8" ht="15" thickBot="1" x14ac:dyDescent="0.35">
      <c r="B35" s="396" t="s">
        <v>4214</v>
      </c>
      <c r="C35" s="397">
        <v>31</v>
      </c>
      <c r="D35" s="397">
        <v>4</v>
      </c>
      <c r="E35" s="397">
        <v>0</v>
      </c>
      <c r="F35" s="397">
        <v>24</v>
      </c>
      <c r="G35" s="397">
        <v>3</v>
      </c>
      <c r="H35" s="398"/>
    </row>
    <row r="36" spans="2:8" ht="15" thickBot="1" x14ac:dyDescent="0.35">
      <c r="B36" s="396" t="s">
        <v>4215</v>
      </c>
      <c r="C36" s="397">
        <v>31</v>
      </c>
      <c r="D36" s="397">
        <v>4</v>
      </c>
      <c r="E36" s="397">
        <v>0</v>
      </c>
      <c r="F36" s="397">
        <v>24</v>
      </c>
      <c r="G36" s="397">
        <v>3</v>
      </c>
      <c r="H36" s="398"/>
    </row>
    <row r="37" spans="2:8" ht="15" thickBot="1" x14ac:dyDescent="0.35">
      <c r="B37" s="396" t="s">
        <v>4216</v>
      </c>
      <c r="C37" s="397">
        <v>22</v>
      </c>
      <c r="D37" s="397">
        <v>14</v>
      </c>
      <c r="E37" s="397">
        <v>4</v>
      </c>
      <c r="F37" s="397">
        <v>21</v>
      </c>
      <c r="G37" s="397">
        <v>7</v>
      </c>
      <c r="H37" s="398"/>
    </row>
    <row r="38" spans="2:8" ht="15" thickBot="1" x14ac:dyDescent="0.35">
      <c r="B38" s="396" t="s">
        <v>4217</v>
      </c>
      <c r="C38" s="397">
        <v>30</v>
      </c>
      <c r="D38" s="397">
        <v>2</v>
      </c>
      <c r="E38" s="397">
        <v>1</v>
      </c>
      <c r="F38" s="397">
        <v>21</v>
      </c>
      <c r="G38" s="397">
        <v>2</v>
      </c>
      <c r="H38" s="398"/>
    </row>
    <row r="39" spans="2:8" ht="15" thickBot="1" x14ac:dyDescent="0.35">
      <c r="B39" s="396" t="s">
        <v>4218</v>
      </c>
      <c r="C39" s="397">
        <v>34</v>
      </c>
      <c r="D39" s="397">
        <v>7</v>
      </c>
      <c r="E39" s="397">
        <v>18</v>
      </c>
      <c r="F39" s="397">
        <v>17</v>
      </c>
      <c r="G39" s="397">
        <v>5</v>
      </c>
      <c r="H39" s="398"/>
    </row>
    <row r="40" spans="2:8" ht="15" thickBot="1" x14ac:dyDescent="0.35">
      <c r="B40" s="396" t="s">
        <v>4219</v>
      </c>
      <c r="C40" s="397">
        <v>28</v>
      </c>
      <c r="D40" s="397">
        <v>17</v>
      </c>
      <c r="E40" s="397">
        <v>31</v>
      </c>
      <c r="F40" s="397">
        <v>15</v>
      </c>
      <c r="G40" s="397">
        <v>7</v>
      </c>
      <c r="H40" s="398"/>
    </row>
    <row r="41" spans="2:8" ht="29.4" thickBot="1" x14ac:dyDescent="0.35">
      <c r="B41" s="394" t="s">
        <v>4221</v>
      </c>
      <c r="C41" s="399"/>
      <c r="D41" s="399"/>
      <c r="E41" s="399"/>
      <c r="F41" s="399"/>
      <c r="G41" s="399"/>
      <c r="H41" s="399"/>
    </row>
    <row r="42" spans="2:8" ht="15" thickBot="1" x14ac:dyDescent="0.35">
      <c r="B42" s="396" t="s">
        <v>4213</v>
      </c>
      <c r="C42" s="397">
        <v>3</v>
      </c>
      <c r="D42" s="397">
        <v>13</v>
      </c>
      <c r="E42" s="397">
        <v>10</v>
      </c>
      <c r="F42" s="397">
        <v>1</v>
      </c>
      <c r="G42" s="397">
        <v>6</v>
      </c>
      <c r="H42" s="398"/>
    </row>
    <row r="43" spans="2:8" ht="15" thickBot="1" x14ac:dyDescent="0.35">
      <c r="B43" s="396" t="s">
        <v>4214</v>
      </c>
      <c r="C43" s="397">
        <v>0</v>
      </c>
      <c r="D43" s="397">
        <v>0</v>
      </c>
      <c r="E43" s="397">
        <v>0</v>
      </c>
      <c r="F43" s="397">
        <v>0</v>
      </c>
      <c r="G43" s="397">
        <v>0</v>
      </c>
      <c r="H43" s="398"/>
    </row>
    <row r="44" spans="2:8" ht="15" thickBot="1" x14ac:dyDescent="0.35">
      <c r="B44" s="396" t="s">
        <v>4215</v>
      </c>
      <c r="C44" s="397">
        <v>0</v>
      </c>
      <c r="D44" s="397">
        <v>0</v>
      </c>
      <c r="E44" s="397">
        <v>0</v>
      </c>
      <c r="F44" s="397">
        <v>0</v>
      </c>
      <c r="G44" s="397">
        <v>0</v>
      </c>
      <c r="H44" s="398"/>
    </row>
    <row r="45" spans="2:8" ht="15" thickBot="1" x14ac:dyDescent="0.35">
      <c r="B45" s="396" t="s">
        <v>4216</v>
      </c>
      <c r="C45" s="397">
        <v>20</v>
      </c>
      <c r="D45" s="397">
        <v>4</v>
      </c>
      <c r="E45" s="397">
        <v>16</v>
      </c>
      <c r="F45" s="397">
        <v>12</v>
      </c>
      <c r="G45" s="397">
        <v>1</v>
      </c>
      <c r="H45" s="398"/>
    </row>
    <row r="46" spans="2:8" ht="15" thickBot="1" x14ac:dyDescent="0.35">
      <c r="B46" s="396" t="s">
        <v>4217</v>
      </c>
      <c r="C46" s="397">
        <v>15</v>
      </c>
      <c r="D46" s="397">
        <v>4</v>
      </c>
      <c r="E46" s="397">
        <v>12</v>
      </c>
      <c r="F46" s="397">
        <v>7</v>
      </c>
      <c r="G46" s="397">
        <v>3</v>
      </c>
      <c r="H46" s="398"/>
    </row>
    <row r="47" spans="2:8" ht="15" thickBot="1" x14ac:dyDescent="0.35">
      <c r="B47" s="396" t="s">
        <v>4218</v>
      </c>
      <c r="C47" s="397">
        <v>14</v>
      </c>
      <c r="D47" s="397">
        <v>10</v>
      </c>
      <c r="E47" s="397">
        <v>11</v>
      </c>
      <c r="F47" s="397">
        <v>3</v>
      </c>
      <c r="G47" s="397">
        <v>8</v>
      </c>
      <c r="H47" s="398"/>
    </row>
    <row r="48" spans="2:8" ht="15" thickBot="1" x14ac:dyDescent="0.35">
      <c r="B48" s="396" t="s">
        <v>4219</v>
      </c>
      <c r="C48" s="397">
        <v>8</v>
      </c>
      <c r="D48" s="397">
        <v>16</v>
      </c>
      <c r="E48" s="397">
        <v>20</v>
      </c>
      <c r="F48" s="397">
        <v>0</v>
      </c>
      <c r="G48" s="397">
        <v>3</v>
      </c>
      <c r="H48" s="398"/>
    </row>
    <row r="49" spans="2:8" ht="29.4" thickBot="1" x14ac:dyDescent="0.35">
      <c r="B49" s="394" t="s">
        <v>4222</v>
      </c>
      <c r="C49" s="399"/>
      <c r="D49" s="399"/>
      <c r="E49" s="399"/>
      <c r="F49" s="399"/>
      <c r="G49" s="399"/>
      <c r="H49" s="399"/>
    </row>
    <row r="50" spans="2:8" ht="15" thickBot="1" x14ac:dyDescent="0.35">
      <c r="B50" s="396" t="s">
        <v>4213</v>
      </c>
      <c r="C50" s="397">
        <v>19</v>
      </c>
      <c r="D50" s="397">
        <v>4</v>
      </c>
      <c r="E50" s="397">
        <v>0</v>
      </c>
      <c r="F50" s="397">
        <v>23</v>
      </c>
      <c r="G50" s="397">
        <v>3</v>
      </c>
      <c r="H50" s="398"/>
    </row>
    <row r="51" spans="2:8" ht="15" thickBot="1" x14ac:dyDescent="0.35">
      <c r="B51" s="396" t="s">
        <v>4214</v>
      </c>
      <c r="C51" s="397">
        <v>0</v>
      </c>
      <c r="D51" s="397">
        <v>0</v>
      </c>
      <c r="E51" s="397">
        <v>0</v>
      </c>
      <c r="F51" s="397">
        <v>0</v>
      </c>
      <c r="G51" s="397">
        <v>0</v>
      </c>
      <c r="H51" s="398"/>
    </row>
    <row r="52" spans="2:8" ht="15" thickBot="1" x14ac:dyDescent="0.35">
      <c r="B52" s="396" t="s">
        <v>4215</v>
      </c>
      <c r="C52" s="397">
        <v>0</v>
      </c>
      <c r="D52" s="397">
        <v>0</v>
      </c>
      <c r="E52" s="397">
        <v>0</v>
      </c>
      <c r="F52" s="397">
        <v>0</v>
      </c>
      <c r="G52" s="397">
        <v>0</v>
      </c>
      <c r="H52" s="398"/>
    </row>
    <row r="53" spans="2:8" ht="15" thickBot="1" x14ac:dyDescent="0.35">
      <c r="B53" s="396" t="s">
        <v>4216</v>
      </c>
      <c r="C53" s="397">
        <v>12</v>
      </c>
      <c r="D53" s="397">
        <v>14</v>
      </c>
      <c r="E53" s="397">
        <v>4</v>
      </c>
      <c r="F53" s="397">
        <v>19</v>
      </c>
      <c r="G53" s="397">
        <v>7</v>
      </c>
      <c r="H53" s="398"/>
    </row>
    <row r="54" spans="2:8" ht="15" thickBot="1" x14ac:dyDescent="0.35">
      <c r="B54" s="396" t="s">
        <v>4217</v>
      </c>
      <c r="C54" s="397">
        <v>17</v>
      </c>
      <c r="D54" s="397">
        <v>2</v>
      </c>
      <c r="E54" s="397">
        <v>1</v>
      </c>
      <c r="F54" s="397">
        <v>17</v>
      </c>
      <c r="G54" s="397">
        <v>2</v>
      </c>
      <c r="H54" s="398"/>
    </row>
    <row r="55" spans="2:8" ht="15" thickBot="1" x14ac:dyDescent="0.35">
      <c r="B55" s="396" t="s">
        <v>4218</v>
      </c>
      <c r="C55" s="400">
        <v>26</v>
      </c>
      <c r="D55" s="397">
        <v>7</v>
      </c>
      <c r="E55" s="397">
        <v>18</v>
      </c>
      <c r="F55" s="397">
        <v>12</v>
      </c>
      <c r="G55" s="397">
        <v>4</v>
      </c>
      <c r="H55" s="398"/>
    </row>
    <row r="56" spans="2:8" ht="15" thickBot="1" x14ac:dyDescent="0.35">
      <c r="B56" s="396" t="s">
        <v>4219</v>
      </c>
      <c r="C56" s="397">
        <v>20</v>
      </c>
      <c r="D56" s="397">
        <v>17</v>
      </c>
      <c r="E56" s="397">
        <v>31</v>
      </c>
      <c r="F56" s="397">
        <v>8</v>
      </c>
      <c r="G56" s="397">
        <v>7</v>
      </c>
      <c r="H56" s="398"/>
    </row>
    <row r="57" spans="2:8" ht="29.4" thickBot="1" x14ac:dyDescent="0.35">
      <c r="B57" s="394" t="s">
        <v>4223</v>
      </c>
      <c r="C57" s="399"/>
      <c r="D57" s="399"/>
      <c r="E57" s="399"/>
      <c r="F57" s="399"/>
      <c r="G57" s="399"/>
      <c r="H57" s="399"/>
    </row>
    <row r="58" spans="2:8" ht="15" thickBot="1" x14ac:dyDescent="0.35">
      <c r="B58" s="396" t="s">
        <v>4213</v>
      </c>
      <c r="C58" s="397">
        <v>11</v>
      </c>
      <c r="D58" s="397">
        <v>7</v>
      </c>
      <c r="E58" s="397">
        <v>4</v>
      </c>
      <c r="F58" s="397">
        <v>3</v>
      </c>
      <c r="G58" s="397">
        <v>3</v>
      </c>
      <c r="H58" s="398"/>
    </row>
    <row r="59" spans="2:8" ht="15" thickBot="1" x14ac:dyDescent="0.35">
      <c r="B59" s="396" t="s">
        <v>4214</v>
      </c>
      <c r="C59" s="397">
        <v>0</v>
      </c>
      <c r="D59" s="397">
        <v>0</v>
      </c>
      <c r="E59" s="397">
        <v>0</v>
      </c>
      <c r="F59" s="397">
        <v>0</v>
      </c>
      <c r="G59" s="397">
        <v>0</v>
      </c>
      <c r="H59" s="398"/>
    </row>
    <row r="60" spans="2:8" ht="15" thickBot="1" x14ac:dyDescent="0.35">
      <c r="B60" s="396" t="s">
        <v>4215</v>
      </c>
      <c r="C60" s="397">
        <v>0</v>
      </c>
      <c r="D60" s="397">
        <v>0</v>
      </c>
      <c r="E60" s="397">
        <v>0</v>
      </c>
      <c r="F60" s="397">
        <v>1</v>
      </c>
      <c r="G60" s="397">
        <v>0</v>
      </c>
      <c r="H60" s="398"/>
    </row>
    <row r="61" spans="2:8" ht="15" thickBot="1" x14ac:dyDescent="0.35">
      <c r="B61" s="396" t="s">
        <v>4216</v>
      </c>
      <c r="C61" s="397">
        <v>6</v>
      </c>
      <c r="D61" s="397">
        <v>14</v>
      </c>
      <c r="E61" s="397">
        <v>3</v>
      </c>
      <c r="F61" s="397">
        <v>10</v>
      </c>
      <c r="G61" s="397">
        <v>5</v>
      </c>
      <c r="H61" s="398"/>
    </row>
    <row r="62" spans="2:8" ht="15" thickBot="1" x14ac:dyDescent="0.35">
      <c r="B62" s="396" t="s">
        <v>4217</v>
      </c>
      <c r="C62" s="397">
        <v>12</v>
      </c>
      <c r="D62" s="397">
        <v>10</v>
      </c>
      <c r="E62" s="397">
        <v>34</v>
      </c>
      <c r="F62" s="397">
        <v>7</v>
      </c>
      <c r="G62" s="397">
        <v>3</v>
      </c>
      <c r="H62" s="398"/>
    </row>
    <row r="63" spans="2:8" ht="15" thickBot="1" x14ac:dyDescent="0.35">
      <c r="B63" s="396" t="s">
        <v>4218</v>
      </c>
      <c r="C63" s="397">
        <v>12</v>
      </c>
      <c r="D63" s="397">
        <v>13</v>
      </c>
      <c r="E63" s="397">
        <v>5</v>
      </c>
      <c r="F63" s="397">
        <v>6</v>
      </c>
      <c r="G63" s="397">
        <v>2</v>
      </c>
      <c r="H63" s="398"/>
    </row>
    <row r="64" spans="2:8" ht="15" thickBot="1" x14ac:dyDescent="0.35">
      <c r="B64" s="396" t="s">
        <v>4219</v>
      </c>
      <c r="C64" s="397">
        <v>13</v>
      </c>
      <c r="D64" s="397">
        <v>11</v>
      </c>
      <c r="E64" s="397">
        <v>1</v>
      </c>
      <c r="F64" s="397">
        <v>5</v>
      </c>
      <c r="G64" s="397">
        <v>4</v>
      </c>
      <c r="H64" s="398"/>
    </row>
    <row r="65" spans="2:8" ht="15" thickBot="1" x14ac:dyDescent="0.35">
      <c r="B65" s="401" t="s">
        <v>4224</v>
      </c>
      <c r="C65" s="520"/>
      <c r="D65" s="521"/>
      <c r="E65" s="521"/>
      <c r="F65" s="521"/>
      <c r="G65" s="522"/>
      <c r="H65" s="393"/>
    </row>
    <row r="66" spans="2:8" ht="29.4" thickBot="1" x14ac:dyDescent="0.35">
      <c r="B66" s="394" t="s">
        <v>4225</v>
      </c>
      <c r="C66" s="398"/>
      <c r="D66" s="398"/>
      <c r="E66" s="398"/>
      <c r="F66" s="398"/>
      <c r="G66" s="398"/>
      <c r="H66" s="398"/>
    </row>
    <row r="67" spans="2:8" ht="15" thickBot="1" x14ac:dyDescent="0.35">
      <c r="B67" s="396" t="s">
        <v>4213</v>
      </c>
      <c r="C67" s="397">
        <v>4</v>
      </c>
      <c r="D67" s="397">
        <v>1</v>
      </c>
      <c r="E67" s="397">
        <v>2</v>
      </c>
      <c r="F67" s="397">
        <v>2</v>
      </c>
      <c r="G67" s="397">
        <v>0</v>
      </c>
      <c r="H67" s="398"/>
    </row>
    <row r="68" spans="2:8" ht="15" thickBot="1" x14ac:dyDescent="0.35">
      <c r="B68" s="396" t="s">
        <v>4214</v>
      </c>
      <c r="C68" s="397">
        <v>4</v>
      </c>
      <c r="D68" s="397">
        <v>4</v>
      </c>
      <c r="E68" s="397">
        <v>11</v>
      </c>
      <c r="F68" s="397">
        <v>0</v>
      </c>
      <c r="G68" s="397">
        <v>0</v>
      </c>
      <c r="H68" s="398"/>
    </row>
    <row r="69" spans="2:8" ht="15" thickBot="1" x14ac:dyDescent="0.35">
      <c r="B69" s="396" t="s">
        <v>4215</v>
      </c>
      <c r="C69" s="397">
        <v>2</v>
      </c>
      <c r="D69" s="397">
        <v>0</v>
      </c>
      <c r="E69" s="397">
        <v>11</v>
      </c>
      <c r="F69" s="397">
        <v>0</v>
      </c>
      <c r="G69" s="397">
        <v>0</v>
      </c>
      <c r="H69" s="398"/>
    </row>
    <row r="70" spans="2:8" ht="15" thickBot="1" x14ac:dyDescent="0.35">
      <c r="B70" s="396" t="s">
        <v>4216</v>
      </c>
      <c r="C70" s="397">
        <v>0</v>
      </c>
      <c r="D70" s="397">
        <v>0</v>
      </c>
      <c r="E70" s="397">
        <v>0</v>
      </c>
      <c r="F70" s="397">
        <v>0</v>
      </c>
      <c r="G70" s="397">
        <v>0</v>
      </c>
      <c r="H70" s="398"/>
    </row>
    <row r="71" spans="2:8" ht="15" thickBot="1" x14ac:dyDescent="0.35">
      <c r="B71" s="396" t="s">
        <v>4217</v>
      </c>
      <c r="C71" s="397">
        <v>3</v>
      </c>
      <c r="D71" s="397">
        <v>3</v>
      </c>
      <c r="E71" s="397">
        <v>2</v>
      </c>
      <c r="F71" s="397">
        <v>0</v>
      </c>
      <c r="G71" s="397">
        <v>0</v>
      </c>
      <c r="H71" s="398"/>
    </row>
    <row r="72" spans="2:8" ht="15" thickBot="1" x14ac:dyDescent="0.35">
      <c r="B72" s="396" t="s">
        <v>4218</v>
      </c>
      <c r="C72" s="397">
        <v>6</v>
      </c>
      <c r="D72" s="397">
        <v>13</v>
      </c>
      <c r="E72" s="397">
        <v>5</v>
      </c>
      <c r="F72" s="397">
        <v>5</v>
      </c>
      <c r="G72" s="397">
        <v>3</v>
      </c>
      <c r="H72" s="398"/>
    </row>
    <row r="73" spans="2:8" ht="15" thickBot="1" x14ac:dyDescent="0.35">
      <c r="B73" s="396" t="s">
        <v>4219</v>
      </c>
      <c r="C73" s="397">
        <v>3</v>
      </c>
      <c r="D73" s="397">
        <v>10</v>
      </c>
      <c r="E73" s="397">
        <v>4</v>
      </c>
      <c r="F73" s="397">
        <v>0</v>
      </c>
      <c r="G73" s="397">
        <v>2</v>
      </c>
      <c r="H73" s="398"/>
    </row>
    <row r="74" spans="2:8" ht="29.4" thickBot="1" x14ac:dyDescent="0.35">
      <c r="B74" s="394" t="s">
        <v>4226</v>
      </c>
      <c r="C74" s="399"/>
      <c r="D74" s="399"/>
      <c r="E74" s="399"/>
      <c r="F74" s="399"/>
      <c r="G74" s="399"/>
      <c r="H74" s="399"/>
    </row>
    <row r="75" spans="2:8" ht="15" thickBot="1" x14ac:dyDescent="0.35">
      <c r="B75" s="396" t="s">
        <v>4213</v>
      </c>
      <c r="C75" s="397">
        <v>1</v>
      </c>
      <c r="D75" s="397">
        <v>0</v>
      </c>
      <c r="E75" s="397">
        <v>2</v>
      </c>
      <c r="F75" s="397">
        <v>4</v>
      </c>
      <c r="G75" s="397">
        <v>0</v>
      </c>
      <c r="H75" s="398"/>
    </row>
    <row r="76" spans="2:8" ht="15" thickBot="1" x14ac:dyDescent="0.35">
      <c r="B76" s="396" t="s">
        <v>4214</v>
      </c>
      <c r="C76" s="397">
        <v>5</v>
      </c>
      <c r="D76" s="397">
        <v>1</v>
      </c>
      <c r="E76" s="397">
        <v>2</v>
      </c>
      <c r="F76" s="397">
        <v>2</v>
      </c>
      <c r="G76" s="397">
        <v>0</v>
      </c>
      <c r="H76" s="398"/>
    </row>
    <row r="77" spans="2:8" ht="15" thickBot="1" x14ac:dyDescent="0.35">
      <c r="B77" s="396" t="s">
        <v>4215</v>
      </c>
      <c r="C77" s="397">
        <v>11</v>
      </c>
      <c r="D77" s="397">
        <v>2</v>
      </c>
      <c r="E77" s="397">
        <v>2</v>
      </c>
      <c r="F77" s="397">
        <v>14</v>
      </c>
      <c r="G77" s="397">
        <v>0</v>
      </c>
      <c r="H77" s="398"/>
    </row>
    <row r="78" spans="2:8" ht="15" thickBot="1" x14ac:dyDescent="0.35">
      <c r="B78" s="396" t="s">
        <v>4216</v>
      </c>
      <c r="C78" s="397">
        <v>14</v>
      </c>
      <c r="D78" s="397">
        <v>2</v>
      </c>
      <c r="E78" s="397">
        <v>13</v>
      </c>
      <c r="F78" s="397">
        <v>14</v>
      </c>
      <c r="G78" s="397">
        <v>0</v>
      </c>
      <c r="H78" s="398"/>
    </row>
    <row r="79" spans="2:8" ht="15" thickBot="1" x14ac:dyDescent="0.35">
      <c r="B79" s="396" t="s">
        <v>4217</v>
      </c>
      <c r="C79" s="397">
        <v>1</v>
      </c>
      <c r="D79" s="397">
        <v>1</v>
      </c>
      <c r="E79" s="397">
        <v>2</v>
      </c>
      <c r="F79" s="397">
        <v>5</v>
      </c>
      <c r="G79" s="397">
        <v>0</v>
      </c>
      <c r="H79" s="398"/>
    </row>
    <row r="80" spans="2:8" ht="15" thickBot="1" x14ac:dyDescent="0.35">
      <c r="B80" s="396" t="s">
        <v>4218</v>
      </c>
      <c r="C80" s="397">
        <v>0</v>
      </c>
      <c r="D80" s="397">
        <v>0</v>
      </c>
      <c r="E80" s="397">
        <v>3</v>
      </c>
      <c r="F80" s="397">
        <v>5</v>
      </c>
      <c r="G80" s="397">
        <v>0</v>
      </c>
      <c r="H80" s="398"/>
    </row>
    <row r="81" spans="2:8" ht="15" thickBot="1" x14ac:dyDescent="0.35">
      <c r="B81" s="396" t="s">
        <v>4219</v>
      </c>
      <c r="C81" s="397">
        <v>2</v>
      </c>
      <c r="D81" s="397">
        <v>6</v>
      </c>
      <c r="E81" s="397">
        <v>4</v>
      </c>
      <c r="F81" s="397">
        <v>7</v>
      </c>
      <c r="G81" s="397">
        <v>1</v>
      </c>
      <c r="H81" s="398"/>
    </row>
    <row r="82" spans="2:8" ht="15" thickBot="1" x14ac:dyDescent="0.35">
      <c r="B82" s="402" t="s">
        <v>4227</v>
      </c>
      <c r="C82" s="399"/>
      <c r="D82" s="399"/>
      <c r="E82" s="399"/>
      <c r="F82" s="399"/>
      <c r="G82" s="399"/>
      <c r="H82" s="399"/>
    </row>
    <row r="83" spans="2:8" ht="15" thickBot="1" x14ac:dyDescent="0.35">
      <c r="B83" s="396" t="s">
        <v>4213</v>
      </c>
      <c r="C83" s="397">
        <v>0</v>
      </c>
      <c r="D83" s="397">
        <v>0</v>
      </c>
      <c r="E83" s="397">
        <v>0</v>
      </c>
      <c r="F83" s="397">
        <v>0</v>
      </c>
      <c r="G83" s="397">
        <v>0</v>
      </c>
      <c r="H83" s="398"/>
    </row>
    <row r="84" spans="2:8" ht="15" thickBot="1" x14ac:dyDescent="0.35">
      <c r="B84" s="396" t="s">
        <v>4214</v>
      </c>
      <c r="C84" s="397">
        <v>0</v>
      </c>
      <c r="D84" s="397">
        <v>0</v>
      </c>
      <c r="E84" s="397">
        <v>0</v>
      </c>
      <c r="F84" s="397">
        <v>0</v>
      </c>
      <c r="G84" s="397">
        <v>0</v>
      </c>
      <c r="H84" s="398"/>
    </row>
    <row r="85" spans="2:8" ht="15" thickBot="1" x14ac:dyDescent="0.35">
      <c r="B85" s="396" t="s">
        <v>4215</v>
      </c>
      <c r="C85" s="397">
        <v>0</v>
      </c>
      <c r="D85" s="397">
        <v>0</v>
      </c>
      <c r="E85" s="397">
        <v>0</v>
      </c>
      <c r="F85" s="397">
        <v>0</v>
      </c>
      <c r="G85" s="397">
        <v>0</v>
      </c>
      <c r="H85" s="398"/>
    </row>
    <row r="86" spans="2:8" ht="15" thickBot="1" x14ac:dyDescent="0.35">
      <c r="B86" s="396" t="s">
        <v>4216</v>
      </c>
      <c r="C86" s="397">
        <v>0</v>
      </c>
      <c r="D86" s="397">
        <v>0</v>
      </c>
      <c r="E86" s="397">
        <v>0</v>
      </c>
      <c r="F86" s="397">
        <v>0</v>
      </c>
      <c r="G86" s="397">
        <v>0</v>
      </c>
      <c r="H86" s="398"/>
    </row>
    <row r="87" spans="2:8" ht="15" thickBot="1" x14ac:dyDescent="0.35">
      <c r="B87" s="396" t="s">
        <v>4217</v>
      </c>
      <c r="C87" s="397">
        <v>0</v>
      </c>
      <c r="D87" s="397">
        <v>0</v>
      </c>
      <c r="E87" s="397">
        <v>0</v>
      </c>
      <c r="F87" s="397">
        <v>0</v>
      </c>
      <c r="G87" s="397">
        <v>0</v>
      </c>
      <c r="H87" s="398"/>
    </row>
    <row r="88" spans="2:8" ht="15" thickBot="1" x14ac:dyDescent="0.35">
      <c r="B88" s="396" t="s">
        <v>4218</v>
      </c>
      <c r="C88" s="397">
        <v>0</v>
      </c>
      <c r="D88" s="397">
        <v>0</v>
      </c>
      <c r="E88" s="397">
        <v>0</v>
      </c>
      <c r="F88" s="397">
        <v>0</v>
      </c>
      <c r="G88" s="397">
        <v>0</v>
      </c>
      <c r="H88" s="398"/>
    </row>
    <row r="89" spans="2:8" ht="15" thickBot="1" x14ac:dyDescent="0.35">
      <c r="B89" s="396" t="s">
        <v>4219</v>
      </c>
      <c r="C89" s="397">
        <v>0</v>
      </c>
      <c r="D89" s="397">
        <v>0</v>
      </c>
      <c r="E89" s="397">
        <v>0</v>
      </c>
      <c r="F89" s="397">
        <v>0</v>
      </c>
      <c r="G89" s="397">
        <v>0</v>
      </c>
      <c r="H89" s="398"/>
    </row>
    <row r="90" spans="2:8" ht="29.4" thickBot="1" x14ac:dyDescent="0.35">
      <c r="B90" s="394" t="s">
        <v>4228</v>
      </c>
      <c r="C90" s="399"/>
      <c r="D90" s="399"/>
      <c r="E90" s="399"/>
      <c r="F90" s="399"/>
      <c r="G90" s="399"/>
      <c r="H90" s="399"/>
    </row>
    <row r="91" spans="2:8" ht="15" thickBot="1" x14ac:dyDescent="0.35">
      <c r="B91" s="396" t="s">
        <v>4213</v>
      </c>
      <c r="C91" s="397">
        <v>530</v>
      </c>
      <c r="D91" s="397">
        <v>225</v>
      </c>
      <c r="E91" s="397">
        <v>82</v>
      </c>
      <c r="F91" s="397">
        <v>10</v>
      </c>
      <c r="G91" s="397">
        <v>27</v>
      </c>
      <c r="H91" s="398"/>
    </row>
    <row r="92" spans="2:8" ht="15" thickBot="1" x14ac:dyDescent="0.35">
      <c r="B92" s="396" t="s">
        <v>4214</v>
      </c>
      <c r="C92" s="397">
        <v>530</v>
      </c>
      <c r="D92" s="397">
        <v>225</v>
      </c>
      <c r="E92" s="397">
        <v>82</v>
      </c>
      <c r="F92" s="397">
        <v>10</v>
      </c>
      <c r="G92" s="397">
        <v>27</v>
      </c>
      <c r="H92" s="398"/>
    </row>
    <row r="93" spans="2:8" ht="15" thickBot="1" x14ac:dyDescent="0.35">
      <c r="B93" s="396" t="s">
        <v>4215</v>
      </c>
      <c r="C93" s="397">
        <v>530</v>
      </c>
      <c r="D93" s="397">
        <v>225</v>
      </c>
      <c r="E93" s="397">
        <v>82</v>
      </c>
      <c r="F93" s="397">
        <v>10</v>
      </c>
      <c r="G93" s="397">
        <v>27</v>
      </c>
      <c r="H93" s="398"/>
    </row>
    <row r="94" spans="2:8" ht="15" thickBot="1" x14ac:dyDescent="0.35">
      <c r="B94" s="396" t="s">
        <v>4216</v>
      </c>
      <c r="C94" s="397">
        <v>527</v>
      </c>
      <c r="D94" s="397">
        <v>260</v>
      </c>
      <c r="E94" s="397">
        <v>92</v>
      </c>
      <c r="F94" s="397">
        <v>35</v>
      </c>
      <c r="G94" s="397">
        <v>9</v>
      </c>
      <c r="H94" s="398"/>
    </row>
    <row r="95" spans="2:8" ht="15" thickBot="1" x14ac:dyDescent="0.35">
      <c r="B95" s="396" t="s">
        <v>4217</v>
      </c>
      <c r="C95" s="397">
        <v>522</v>
      </c>
      <c r="D95" s="397">
        <v>263</v>
      </c>
      <c r="E95" s="397">
        <v>98</v>
      </c>
      <c r="F95" s="397">
        <v>27</v>
      </c>
      <c r="G95" s="397">
        <v>9</v>
      </c>
      <c r="H95" s="398"/>
    </row>
    <row r="96" spans="2:8" ht="15" thickBot="1" x14ac:dyDescent="0.35">
      <c r="B96" s="396" t="s">
        <v>4218</v>
      </c>
      <c r="C96" s="397">
        <v>522</v>
      </c>
      <c r="D96" s="397">
        <v>262</v>
      </c>
      <c r="E96" s="397">
        <v>61</v>
      </c>
      <c r="F96" s="397">
        <v>33</v>
      </c>
      <c r="G96" s="397">
        <v>10</v>
      </c>
      <c r="H96" s="398"/>
    </row>
    <row r="97" spans="2:8" ht="15" thickBot="1" x14ac:dyDescent="0.35">
      <c r="B97" s="396" t="s">
        <v>4219</v>
      </c>
      <c r="C97" s="397">
        <v>521</v>
      </c>
      <c r="D97" s="397">
        <v>250</v>
      </c>
      <c r="E97" s="397">
        <v>53</v>
      </c>
      <c r="F97" s="397">
        <v>31</v>
      </c>
      <c r="G97" s="397">
        <v>10</v>
      </c>
      <c r="H97" s="398"/>
    </row>
    <row r="98" spans="2:8" ht="15" thickBot="1" x14ac:dyDescent="0.35">
      <c r="B98" s="394" t="s">
        <v>4229</v>
      </c>
      <c r="C98" s="395">
        <v>3</v>
      </c>
      <c r="D98" s="395">
        <v>0</v>
      </c>
      <c r="E98" s="395">
        <v>3</v>
      </c>
      <c r="F98" s="395">
        <v>0</v>
      </c>
      <c r="G98" s="395">
        <v>0</v>
      </c>
      <c r="H98" s="395">
        <v>6</v>
      </c>
    </row>
    <row r="99" spans="2:8" ht="15" thickBot="1" x14ac:dyDescent="0.35">
      <c r="B99" s="396" t="s">
        <v>4213</v>
      </c>
      <c r="C99" s="403">
        <v>0</v>
      </c>
      <c r="D99" s="403">
        <v>0</v>
      </c>
      <c r="E99" s="403">
        <v>0</v>
      </c>
      <c r="F99" s="403">
        <v>0</v>
      </c>
      <c r="G99" s="403">
        <v>0.09</v>
      </c>
      <c r="H99" s="403">
        <v>0.02</v>
      </c>
    </row>
    <row r="100" spans="2:8" ht="15" thickBot="1" x14ac:dyDescent="0.35">
      <c r="B100" s="396" t="s">
        <v>4214</v>
      </c>
      <c r="C100" s="403">
        <v>0</v>
      </c>
      <c r="D100" s="403">
        <v>0</v>
      </c>
      <c r="E100" s="403">
        <v>0</v>
      </c>
      <c r="F100" s="403">
        <v>0</v>
      </c>
      <c r="G100" s="403">
        <v>0</v>
      </c>
      <c r="H100" s="403">
        <v>0</v>
      </c>
    </row>
    <row r="101" spans="2:8" ht="15" thickBot="1" x14ac:dyDescent="0.35">
      <c r="B101" s="396" t="s">
        <v>4215</v>
      </c>
      <c r="C101" s="403">
        <v>0</v>
      </c>
      <c r="D101" s="403">
        <v>0</v>
      </c>
      <c r="E101" s="403">
        <v>0</v>
      </c>
      <c r="F101" s="403">
        <v>0</v>
      </c>
      <c r="G101" s="403">
        <v>0</v>
      </c>
      <c r="H101" s="403">
        <v>0</v>
      </c>
    </row>
    <row r="102" spans="2:8" ht="15" thickBot="1" x14ac:dyDescent="0.35">
      <c r="B102" s="396" t="s">
        <v>4216</v>
      </c>
      <c r="C102" s="403">
        <v>0</v>
      </c>
      <c r="D102" s="403">
        <v>0</v>
      </c>
      <c r="E102" s="403">
        <v>0</v>
      </c>
      <c r="F102" s="403">
        <v>0</v>
      </c>
      <c r="G102" s="403">
        <v>0</v>
      </c>
      <c r="H102" s="403">
        <v>0</v>
      </c>
    </row>
    <row r="103" spans="2:8" ht="15" thickBot="1" x14ac:dyDescent="0.35">
      <c r="B103" s="396" t="s">
        <v>4217</v>
      </c>
      <c r="C103" s="403">
        <v>0</v>
      </c>
      <c r="D103" s="403">
        <v>0</v>
      </c>
      <c r="E103" s="403">
        <v>0</v>
      </c>
      <c r="F103" s="403">
        <v>0</v>
      </c>
      <c r="G103" s="403">
        <v>0</v>
      </c>
      <c r="H103" s="403">
        <v>0</v>
      </c>
    </row>
    <row r="104" spans="2:8" ht="15" thickBot="1" x14ac:dyDescent="0.35">
      <c r="B104" s="396" t="s">
        <v>4218</v>
      </c>
      <c r="C104" s="403">
        <v>0</v>
      </c>
      <c r="D104" s="403">
        <v>0</v>
      </c>
      <c r="E104" s="403">
        <v>0</v>
      </c>
      <c r="F104" s="403">
        <v>0</v>
      </c>
      <c r="G104" s="403">
        <v>0</v>
      </c>
      <c r="H104" s="403">
        <v>0</v>
      </c>
    </row>
    <row r="105" spans="2:8" ht="15" thickBot="1" x14ac:dyDescent="0.35">
      <c r="B105" s="396" t="s">
        <v>4219</v>
      </c>
      <c r="C105" s="403">
        <v>0</v>
      </c>
      <c r="D105" s="403">
        <v>0</v>
      </c>
      <c r="E105" s="403">
        <v>0</v>
      </c>
      <c r="F105" s="403">
        <v>0</v>
      </c>
      <c r="G105" s="403">
        <v>0</v>
      </c>
      <c r="H105" s="403">
        <v>0</v>
      </c>
    </row>
    <row r="106" spans="2:8" ht="15" thickBot="1" x14ac:dyDescent="0.35">
      <c r="B106" s="394" t="s">
        <v>4230</v>
      </c>
      <c r="C106" s="395">
        <v>3</v>
      </c>
      <c r="D106" s="395">
        <v>0</v>
      </c>
      <c r="E106" s="395">
        <v>6</v>
      </c>
      <c r="F106" s="395">
        <v>0</v>
      </c>
      <c r="G106" s="395">
        <v>0</v>
      </c>
      <c r="H106" s="395">
        <v>9</v>
      </c>
    </row>
    <row r="107" spans="2:8" ht="15" thickBot="1" x14ac:dyDescent="0.35">
      <c r="B107" s="396" t="s">
        <v>4213</v>
      </c>
      <c r="C107" s="403">
        <v>0</v>
      </c>
      <c r="D107" s="403">
        <v>0</v>
      </c>
      <c r="E107" s="403">
        <v>0</v>
      </c>
      <c r="F107" s="403">
        <v>0</v>
      </c>
      <c r="G107" s="403">
        <v>0.09</v>
      </c>
      <c r="H107" s="398"/>
    </row>
    <row r="108" spans="2:8" ht="15" thickBot="1" x14ac:dyDescent="0.35">
      <c r="B108" s="396" t="s">
        <v>4214</v>
      </c>
      <c r="C108" s="403">
        <v>0</v>
      </c>
      <c r="D108" s="403">
        <v>0</v>
      </c>
      <c r="E108" s="403">
        <v>0</v>
      </c>
      <c r="F108" s="403">
        <v>0</v>
      </c>
      <c r="G108" s="403">
        <v>0</v>
      </c>
      <c r="H108" s="398"/>
    </row>
    <row r="109" spans="2:8" ht="15" thickBot="1" x14ac:dyDescent="0.35">
      <c r="B109" s="396" t="s">
        <v>4215</v>
      </c>
      <c r="C109" s="403">
        <v>0</v>
      </c>
      <c r="D109" s="403">
        <v>0</v>
      </c>
      <c r="E109" s="403">
        <v>0</v>
      </c>
      <c r="F109" s="403">
        <v>0</v>
      </c>
      <c r="G109" s="403">
        <v>0</v>
      </c>
      <c r="H109" s="398"/>
    </row>
    <row r="110" spans="2:8" ht="15" thickBot="1" x14ac:dyDescent="0.35">
      <c r="B110" s="396" t="s">
        <v>4216</v>
      </c>
      <c r="C110" s="403">
        <v>0</v>
      </c>
      <c r="D110" s="403">
        <v>0</v>
      </c>
      <c r="E110" s="403">
        <v>0</v>
      </c>
      <c r="F110" s="403">
        <v>0</v>
      </c>
      <c r="G110" s="403">
        <v>0</v>
      </c>
      <c r="H110" s="398"/>
    </row>
    <row r="111" spans="2:8" ht="15" thickBot="1" x14ac:dyDescent="0.35">
      <c r="B111" s="396" t="s">
        <v>4217</v>
      </c>
      <c r="C111" s="403">
        <v>0</v>
      </c>
      <c r="D111" s="403">
        <v>0</v>
      </c>
      <c r="E111" s="403">
        <v>0</v>
      </c>
      <c r="F111" s="403">
        <v>0</v>
      </c>
      <c r="G111" s="403">
        <v>0</v>
      </c>
      <c r="H111" s="398"/>
    </row>
    <row r="112" spans="2:8" ht="15" thickBot="1" x14ac:dyDescent="0.35">
      <c r="B112" s="396" t="s">
        <v>4218</v>
      </c>
      <c r="C112" s="403">
        <v>0</v>
      </c>
      <c r="D112" s="403">
        <v>0</v>
      </c>
      <c r="E112" s="403">
        <v>0</v>
      </c>
      <c r="F112" s="403">
        <v>0</v>
      </c>
      <c r="G112" s="403">
        <v>0</v>
      </c>
      <c r="H112" s="398"/>
    </row>
    <row r="113" spans="2:8" ht="15" thickBot="1" x14ac:dyDescent="0.35">
      <c r="B113" s="396" t="s">
        <v>4219</v>
      </c>
      <c r="C113" s="403">
        <v>0</v>
      </c>
      <c r="D113" s="403">
        <v>0</v>
      </c>
      <c r="E113" s="403">
        <v>0</v>
      </c>
      <c r="F113" s="403">
        <v>0</v>
      </c>
      <c r="G113" s="403">
        <v>0</v>
      </c>
      <c r="H113" s="398"/>
    </row>
    <row r="114" spans="2:8" ht="15" thickBot="1" x14ac:dyDescent="0.35">
      <c r="B114" s="394" t="s">
        <v>4231</v>
      </c>
      <c r="C114" s="399"/>
      <c r="D114" s="399"/>
      <c r="E114" s="399"/>
      <c r="F114" s="399"/>
      <c r="G114" s="399"/>
      <c r="H114" s="399"/>
    </row>
    <row r="115" spans="2:8" ht="15" thickBot="1" x14ac:dyDescent="0.35">
      <c r="B115" s="396" t="s">
        <v>4213</v>
      </c>
      <c r="C115" s="403">
        <v>0</v>
      </c>
      <c r="D115" s="403">
        <v>0</v>
      </c>
      <c r="E115" s="403">
        <v>0</v>
      </c>
      <c r="F115" s="403">
        <v>0</v>
      </c>
      <c r="G115" s="403">
        <v>0.18</v>
      </c>
      <c r="H115" s="398"/>
    </row>
    <row r="116" spans="2:8" ht="15" thickBot="1" x14ac:dyDescent="0.35">
      <c r="B116" s="396" t="s">
        <v>4214</v>
      </c>
      <c r="C116" s="403">
        <v>0</v>
      </c>
      <c r="D116" s="403">
        <v>0</v>
      </c>
      <c r="E116" s="403">
        <v>0</v>
      </c>
      <c r="F116" s="403">
        <v>0</v>
      </c>
      <c r="G116" s="403">
        <v>0</v>
      </c>
      <c r="H116" s="398"/>
    </row>
    <row r="117" spans="2:8" ht="15" thickBot="1" x14ac:dyDescent="0.35">
      <c r="B117" s="396" t="s">
        <v>4215</v>
      </c>
      <c r="C117" s="403">
        <v>0</v>
      </c>
      <c r="D117" s="403">
        <v>0</v>
      </c>
      <c r="E117" s="403">
        <v>0</v>
      </c>
      <c r="F117" s="403">
        <v>0</v>
      </c>
      <c r="G117" s="403">
        <v>0</v>
      </c>
      <c r="H117" s="398"/>
    </row>
    <row r="118" spans="2:8" ht="15" thickBot="1" x14ac:dyDescent="0.35">
      <c r="B118" s="396" t="s">
        <v>4216</v>
      </c>
      <c r="C118" s="403">
        <v>0</v>
      </c>
      <c r="D118" s="403">
        <v>0</v>
      </c>
      <c r="E118" s="403">
        <v>0</v>
      </c>
      <c r="F118" s="403">
        <v>0</v>
      </c>
      <c r="G118" s="403">
        <v>0</v>
      </c>
      <c r="H118" s="398"/>
    </row>
    <row r="119" spans="2:8" ht="15" thickBot="1" x14ac:dyDescent="0.35">
      <c r="B119" s="396" t="s">
        <v>4217</v>
      </c>
      <c r="C119" s="403">
        <v>0</v>
      </c>
      <c r="D119" s="403">
        <v>0</v>
      </c>
      <c r="E119" s="403">
        <v>0</v>
      </c>
      <c r="F119" s="403">
        <v>0</v>
      </c>
      <c r="G119" s="403">
        <v>0</v>
      </c>
      <c r="H119" s="398"/>
    </row>
    <row r="120" spans="2:8" ht="15" thickBot="1" x14ac:dyDescent="0.35">
      <c r="B120" s="396" t="s">
        <v>4218</v>
      </c>
      <c r="C120" s="403">
        <v>0</v>
      </c>
      <c r="D120" s="403">
        <v>0</v>
      </c>
      <c r="E120" s="403">
        <v>0</v>
      </c>
      <c r="F120" s="403">
        <v>0</v>
      </c>
      <c r="G120" s="403">
        <v>0</v>
      </c>
      <c r="H120" s="398"/>
    </row>
    <row r="121" spans="2:8" ht="15" thickBot="1" x14ac:dyDescent="0.35">
      <c r="B121" s="396" t="s">
        <v>4219</v>
      </c>
      <c r="C121" s="403">
        <v>0</v>
      </c>
      <c r="D121" s="403">
        <v>0</v>
      </c>
      <c r="E121" s="403">
        <v>0</v>
      </c>
      <c r="F121" s="403">
        <v>0</v>
      </c>
      <c r="G121" s="403">
        <v>0</v>
      </c>
      <c r="H121" s="398"/>
    </row>
    <row r="122" spans="2:8" ht="15" thickBot="1" x14ac:dyDescent="0.35">
      <c r="B122" s="394" t="s">
        <v>4232</v>
      </c>
      <c r="C122" s="395">
        <v>4</v>
      </c>
      <c r="D122" s="395">
        <v>0</v>
      </c>
      <c r="E122" s="395">
        <v>4</v>
      </c>
      <c r="F122" s="395">
        <v>1</v>
      </c>
      <c r="G122" s="395">
        <v>2</v>
      </c>
      <c r="H122" s="395">
        <v>11</v>
      </c>
    </row>
    <row r="123" spans="2:8" ht="15" thickBot="1" x14ac:dyDescent="0.35">
      <c r="B123" s="396" t="s">
        <v>4213</v>
      </c>
      <c r="C123" s="403">
        <v>0</v>
      </c>
      <c r="D123" s="403">
        <v>0</v>
      </c>
      <c r="E123" s="403">
        <v>0</v>
      </c>
      <c r="F123" s="403">
        <v>0</v>
      </c>
      <c r="G123" s="403">
        <v>0</v>
      </c>
      <c r="H123" s="398"/>
    </row>
    <row r="124" spans="2:8" ht="15" thickBot="1" x14ac:dyDescent="0.35">
      <c r="B124" s="396" t="s">
        <v>4214</v>
      </c>
      <c r="C124" s="403">
        <v>0</v>
      </c>
      <c r="D124" s="403">
        <v>0</v>
      </c>
      <c r="E124" s="403">
        <v>0</v>
      </c>
      <c r="F124" s="403">
        <v>0</v>
      </c>
      <c r="G124" s="403">
        <v>0</v>
      </c>
      <c r="H124" s="398"/>
    </row>
    <row r="125" spans="2:8" ht="15" thickBot="1" x14ac:dyDescent="0.35">
      <c r="B125" s="396" t="s">
        <v>4215</v>
      </c>
      <c r="C125" s="403">
        <v>0</v>
      </c>
      <c r="D125" s="403">
        <v>0</v>
      </c>
      <c r="E125" s="403">
        <v>0</v>
      </c>
      <c r="F125" s="403">
        <v>0</v>
      </c>
      <c r="G125" s="403">
        <v>0</v>
      </c>
      <c r="H125" s="398"/>
    </row>
    <row r="126" spans="2:8" ht="15" thickBot="1" x14ac:dyDescent="0.35">
      <c r="B126" s="396" t="s">
        <v>4216</v>
      </c>
      <c r="C126" s="403">
        <v>0</v>
      </c>
      <c r="D126" s="403">
        <v>0</v>
      </c>
      <c r="E126" s="403">
        <v>0</v>
      </c>
      <c r="F126" s="403">
        <v>0</v>
      </c>
      <c r="G126" s="403">
        <v>0</v>
      </c>
      <c r="H126" s="398"/>
    </row>
    <row r="127" spans="2:8" ht="15" thickBot="1" x14ac:dyDescent="0.35">
      <c r="B127" s="396" t="s">
        <v>4217</v>
      </c>
      <c r="C127" s="403">
        <v>0</v>
      </c>
      <c r="D127" s="403">
        <v>0</v>
      </c>
      <c r="E127" s="403">
        <v>0</v>
      </c>
      <c r="F127" s="403">
        <v>0</v>
      </c>
      <c r="G127" s="403">
        <v>0</v>
      </c>
      <c r="H127" s="398"/>
    </row>
    <row r="128" spans="2:8" ht="15" thickBot="1" x14ac:dyDescent="0.35">
      <c r="B128" s="396" t="s">
        <v>4218</v>
      </c>
      <c r="C128" s="403">
        <v>0</v>
      </c>
      <c r="D128" s="403">
        <v>0</v>
      </c>
      <c r="E128" s="403">
        <v>0</v>
      </c>
      <c r="F128" s="403">
        <v>0</v>
      </c>
      <c r="G128" s="403">
        <v>0</v>
      </c>
      <c r="H128" s="398"/>
    </row>
    <row r="129" spans="2:8" ht="15" thickBot="1" x14ac:dyDescent="0.35">
      <c r="B129" s="396" t="s">
        <v>4219</v>
      </c>
      <c r="C129" s="403">
        <v>0</v>
      </c>
      <c r="D129" s="403">
        <v>0</v>
      </c>
      <c r="E129" s="403">
        <v>0</v>
      </c>
      <c r="F129" s="403">
        <v>0</v>
      </c>
      <c r="G129" s="403">
        <v>0</v>
      </c>
      <c r="H129" s="398"/>
    </row>
    <row r="130" spans="2:8" ht="15" thickBot="1" x14ac:dyDescent="0.35">
      <c r="B130" s="394" t="s">
        <v>4233</v>
      </c>
      <c r="C130" s="395">
        <v>0</v>
      </c>
      <c r="D130" s="395">
        <v>0</v>
      </c>
      <c r="E130" s="395">
        <v>3</v>
      </c>
      <c r="F130" s="395">
        <v>2</v>
      </c>
      <c r="G130" s="395">
        <v>1</v>
      </c>
      <c r="H130" s="395">
        <v>6</v>
      </c>
    </row>
    <row r="131" spans="2:8" ht="15" thickBot="1" x14ac:dyDescent="0.35">
      <c r="B131" s="396" t="s">
        <v>4213</v>
      </c>
      <c r="C131" s="403">
        <v>0</v>
      </c>
      <c r="D131" s="403">
        <v>0</v>
      </c>
      <c r="E131" s="403">
        <v>0</v>
      </c>
      <c r="F131" s="403">
        <v>0</v>
      </c>
      <c r="G131" s="403">
        <v>0</v>
      </c>
      <c r="H131" s="398"/>
    </row>
    <row r="132" spans="2:8" ht="15" thickBot="1" x14ac:dyDescent="0.35">
      <c r="B132" s="396" t="s">
        <v>4214</v>
      </c>
      <c r="C132" s="403">
        <v>0</v>
      </c>
      <c r="D132" s="403">
        <v>0</v>
      </c>
      <c r="E132" s="403">
        <v>0</v>
      </c>
      <c r="F132" s="403">
        <v>0</v>
      </c>
      <c r="G132" s="403">
        <v>0</v>
      </c>
      <c r="H132" s="398"/>
    </row>
    <row r="133" spans="2:8" ht="15" thickBot="1" x14ac:dyDescent="0.35">
      <c r="B133" s="396" t="s">
        <v>4215</v>
      </c>
      <c r="C133" s="403">
        <v>0</v>
      </c>
      <c r="D133" s="403">
        <v>0</v>
      </c>
      <c r="E133" s="403">
        <v>0</v>
      </c>
      <c r="F133" s="403">
        <v>0</v>
      </c>
      <c r="G133" s="403">
        <v>0</v>
      </c>
      <c r="H133" s="398"/>
    </row>
    <row r="134" spans="2:8" ht="15" thickBot="1" x14ac:dyDescent="0.35">
      <c r="B134" s="396" t="s">
        <v>4216</v>
      </c>
      <c r="C134" s="403">
        <v>0</v>
      </c>
      <c r="D134" s="403">
        <v>0</v>
      </c>
      <c r="E134" s="403">
        <v>0</v>
      </c>
      <c r="F134" s="403">
        <v>0</v>
      </c>
      <c r="G134" s="403">
        <v>0</v>
      </c>
      <c r="H134" s="398"/>
    </row>
    <row r="135" spans="2:8" ht="15" thickBot="1" x14ac:dyDescent="0.35">
      <c r="B135" s="396" t="s">
        <v>4217</v>
      </c>
      <c r="C135" s="403">
        <v>0</v>
      </c>
      <c r="D135" s="403">
        <v>0</v>
      </c>
      <c r="E135" s="403">
        <v>0</v>
      </c>
      <c r="F135" s="403">
        <v>0</v>
      </c>
      <c r="G135" s="403">
        <v>0</v>
      </c>
      <c r="H135" s="398"/>
    </row>
    <row r="136" spans="2:8" ht="15" thickBot="1" x14ac:dyDescent="0.35">
      <c r="B136" s="396" t="s">
        <v>4218</v>
      </c>
      <c r="C136" s="403">
        <v>0</v>
      </c>
      <c r="D136" s="403">
        <v>0</v>
      </c>
      <c r="E136" s="403">
        <v>0</v>
      </c>
      <c r="F136" s="403">
        <v>0</v>
      </c>
      <c r="G136" s="403">
        <v>0</v>
      </c>
      <c r="H136" s="398"/>
    </row>
    <row r="137" spans="2:8" ht="15" thickBot="1" x14ac:dyDescent="0.35">
      <c r="B137" s="396" t="s">
        <v>4219</v>
      </c>
      <c r="C137" s="403">
        <v>0</v>
      </c>
      <c r="D137" s="403">
        <v>0</v>
      </c>
      <c r="E137" s="403">
        <v>0</v>
      </c>
      <c r="F137" s="403">
        <v>0</v>
      </c>
      <c r="G137" s="403">
        <v>0</v>
      </c>
      <c r="H137" s="398"/>
    </row>
    <row r="138" spans="2:8" ht="15" thickBot="1" x14ac:dyDescent="0.35">
      <c r="B138" s="401" t="s">
        <v>4234</v>
      </c>
      <c r="C138" s="527"/>
      <c r="D138" s="528"/>
      <c r="E138" s="528"/>
      <c r="F138" s="528"/>
      <c r="G138" s="529"/>
      <c r="H138" s="397">
        <v>0</v>
      </c>
    </row>
    <row r="139" spans="2:8" ht="15" thickBot="1" x14ac:dyDescent="0.35">
      <c r="B139" s="394" t="s">
        <v>4235</v>
      </c>
      <c r="C139" s="395">
        <v>10</v>
      </c>
      <c r="D139" s="395">
        <v>0</v>
      </c>
      <c r="E139" s="395">
        <v>16</v>
      </c>
      <c r="F139" s="395">
        <v>3</v>
      </c>
      <c r="G139" s="395">
        <v>3</v>
      </c>
      <c r="H139" s="395">
        <v>32</v>
      </c>
    </row>
    <row r="140" spans="2:8" ht="15" thickBot="1" x14ac:dyDescent="0.35">
      <c r="B140" s="396" t="s">
        <v>4213</v>
      </c>
      <c r="C140" s="397">
        <v>11</v>
      </c>
      <c r="D140" s="397">
        <v>7</v>
      </c>
      <c r="E140" s="397">
        <v>4</v>
      </c>
      <c r="F140" s="397">
        <v>3</v>
      </c>
      <c r="G140" s="397">
        <v>3</v>
      </c>
      <c r="H140" s="398"/>
    </row>
    <row r="141" spans="2:8" ht="15" thickBot="1" x14ac:dyDescent="0.35">
      <c r="B141" s="396" t="s">
        <v>4214</v>
      </c>
      <c r="C141" s="397">
        <v>0</v>
      </c>
      <c r="D141" s="397">
        <v>0</v>
      </c>
      <c r="E141" s="397">
        <v>0</v>
      </c>
      <c r="F141" s="397">
        <v>0</v>
      </c>
      <c r="G141" s="397">
        <v>0</v>
      </c>
      <c r="H141" s="398"/>
    </row>
    <row r="142" spans="2:8" ht="15" thickBot="1" x14ac:dyDescent="0.35">
      <c r="B142" s="396" t="s">
        <v>4215</v>
      </c>
      <c r="C142" s="397">
        <v>0</v>
      </c>
      <c r="D142" s="397">
        <v>0</v>
      </c>
      <c r="E142" s="397">
        <v>0</v>
      </c>
      <c r="F142" s="397">
        <v>1</v>
      </c>
      <c r="G142" s="397">
        <v>0</v>
      </c>
      <c r="H142" s="398"/>
    </row>
    <row r="143" spans="2:8" ht="15" thickBot="1" x14ac:dyDescent="0.35">
      <c r="B143" s="396" t="s">
        <v>4216</v>
      </c>
      <c r="C143" s="397">
        <v>6</v>
      </c>
      <c r="D143" s="397">
        <v>14</v>
      </c>
      <c r="E143" s="397">
        <v>3</v>
      </c>
      <c r="F143" s="397">
        <v>10</v>
      </c>
      <c r="G143" s="397">
        <v>5</v>
      </c>
      <c r="H143" s="398"/>
    </row>
    <row r="144" spans="2:8" ht="15" thickBot="1" x14ac:dyDescent="0.35">
      <c r="B144" s="396" t="s">
        <v>4217</v>
      </c>
      <c r="C144" s="397">
        <v>10</v>
      </c>
      <c r="D144" s="397">
        <v>10</v>
      </c>
      <c r="E144" s="397">
        <v>34</v>
      </c>
      <c r="F144" s="397">
        <v>7</v>
      </c>
      <c r="G144" s="397">
        <v>3</v>
      </c>
      <c r="H144" s="398"/>
    </row>
    <row r="145" spans="2:8" ht="15" thickBot="1" x14ac:dyDescent="0.35">
      <c r="B145" s="396" t="s">
        <v>4218</v>
      </c>
      <c r="C145" s="397">
        <v>16</v>
      </c>
      <c r="D145" s="397">
        <v>13</v>
      </c>
      <c r="E145" s="397">
        <v>5</v>
      </c>
      <c r="F145" s="397">
        <v>6</v>
      </c>
      <c r="G145" s="397">
        <v>2</v>
      </c>
      <c r="H145" s="398"/>
    </row>
    <row r="146" spans="2:8" ht="15" thickBot="1" x14ac:dyDescent="0.35">
      <c r="B146" s="396" t="s">
        <v>4219</v>
      </c>
      <c r="C146" s="397">
        <v>12</v>
      </c>
      <c r="D146" s="397">
        <v>11</v>
      </c>
      <c r="E146" s="397">
        <v>1</v>
      </c>
      <c r="F146" s="397">
        <v>5</v>
      </c>
      <c r="G146" s="397">
        <v>4</v>
      </c>
      <c r="H146" s="398"/>
    </row>
    <row r="147" spans="2:8" ht="15" thickBot="1" x14ac:dyDescent="0.35">
      <c r="B147" s="394" t="s">
        <v>4236</v>
      </c>
      <c r="C147" s="399"/>
      <c r="D147" s="399"/>
      <c r="E147" s="399"/>
      <c r="F147" s="399"/>
      <c r="G147" s="399"/>
      <c r="H147" s="395">
        <v>32</v>
      </c>
    </row>
    <row r="148" spans="2:8" ht="15" thickBot="1" x14ac:dyDescent="0.35">
      <c r="B148" s="396" t="s">
        <v>4213</v>
      </c>
      <c r="C148" s="397">
        <v>11</v>
      </c>
      <c r="D148" s="397">
        <v>7</v>
      </c>
      <c r="E148" s="397">
        <v>4</v>
      </c>
      <c r="F148" s="397">
        <v>3</v>
      </c>
      <c r="G148" s="397">
        <v>3</v>
      </c>
      <c r="H148" s="398"/>
    </row>
    <row r="149" spans="2:8" ht="15" thickBot="1" x14ac:dyDescent="0.35">
      <c r="B149" s="396" t="s">
        <v>4214</v>
      </c>
      <c r="C149" s="397">
        <v>0</v>
      </c>
      <c r="D149" s="397">
        <v>0</v>
      </c>
      <c r="E149" s="397">
        <v>0</v>
      </c>
      <c r="F149" s="397">
        <v>0</v>
      </c>
      <c r="G149" s="397">
        <v>0</v>
      </c>
      <c r="H149" s="398"/>
    </row>
    <row r="150" spans="2:8" ht="15" thickBot="1" x14ac:dyDescent="0.35">
      <c r="B150" s="396" t="s">
        <v>4215</v>
      </c>
      <c r="C150" s="397">
        <v>0</v>
      </c>
      <c r="D150" s="397">
        <v>0</v>
      </c>
      <c r="E150" s="397">
        <v>0</v>
      </c>
      <c r="F150" s="397">
        <v>1</v>
      </c>
      <c r="G150" s="397">
        <v>0</v>
      </c>
      <c r="H150" s="398"/>
    </row>
    <row r="151" spans="2:8" ht="15" thickBot="1" x14ac:dyDescent="0.35">
      <c r="B151" s="396" t="s">
        <v>4216</v>
      </c>
      <c r="C151" s="397">
        <v>6</v>
      </c>
      <c r="D151" s="397">
        <v>14</v>
      </c>
      <c r="E151" s="397">
        <v>3</v>
      </c>
      <c r="F151" s="397">
        <v>10</v>
      </c>
      <c r="G151" s="397">
        <v>5</v>
      </c>
      <c r="H151" s="398"/>
    </row>
    <row r="152" spans="2:8" ht="15" thickBot="1" x14ac:dyDescent="0.35">
      <c r="B152" s="396" t="s">
        <v>4217</v>
      </c>
      <c r="C152" s="397">
        <v>10</v>
      </c>
      <c r="D152" s="397">
        <v>10</v>
      </c>
      <c r="E152" s="397">
        <v>34</v>
      </c>
      <c r="F152" s="397">
        <v>7</v>
      </c>
      <c r="G152" s="397">
        <v>3</v>
      </c>
      <c r="H152" s="398"/>
    </row>
    <row r="153" spans="2:8" ht="15" thickBot="1" x14ac:dyDescent="0.35">
      <c r="B153" s="396" t="s">
        <v>4218</v>
      </c>
      <c r="C153" s="397">
        <v>16</v>
      </c>
      <c r="D153" s="397">
        <v>13</v>
      </c>
      <c r="E153" s="397">
        <v>5</v>
      </c>
      <c r="F153" s="397">
        <v>6</v>
      </c>
      <c r="G153" s="397">
        <v>2</v>
      </c>
      <c r="H153" s="398"/>
    </row>
    <row r="154" spans="2:8" ht="15" thickBot="1" x14ac:dyDescent="0.35">
      <c r="B154" s="396" t="s">
        <v>4219</v>
      </c>
      <c r="C154" s="397">
        <v>12</v>
      </c>
      <c r="D154" s="397">
        <v>11</v>
      </c>
      <c r="E154" s="397">
        <v>1</v>
      </c>
      <c r="F154" s="397">
        <v>5</v>
      </c>
      <c r="G154" s="397">
        <v>4</v>
      </c>
      <c r="H154" s="398"/>
    </row>
    <row r="155" spans="2:8" ht="29.4" thickBot="1" x14ac:dyDescent="0.35">
      <c r="B155" s="394" t="s">
        <v>4237</v>
      </c>
      <c r="C155" s="399"/>
      <c r="D155" s="399"/>
      <c r="E155" s="399"/>
      <c r="F155" s="399"/>
      <c r="G155" s="399"/>
      <c r="H155" s="395">
        <v>0</v>
      </c>
    </row>
    <row r="156" spans="2:8" ht="15" thickBot="1" x14ac:dyDescent="0.35">
      <c r="B156" s="396" t="s">
        <v>4213</v>
      </c>
      <c r="C156" s="397">
        <v>0</v>
      </c>
      <c r="D156" s="397">
        <v>0</v>
      </c>
      <c r="E156" s="397">
        <v>0</v>
      </c>
      <c r="F156" s="397">
        <v>0</v>
      </c>
      <c r="G156" s="397">
        <v>0</v>
      </c>
      <c r="H156" s="398"/>
    </row>
    <row r="157" spans="2:8" ht="15" thickBot="1" x14ac:dyDescent="0.35">
      <c r="B157" s="396" t="s">
        <v>4214</v>
      </c>
      <c r="C157" s="397">
        <v>0</v>
      </c>
      <c r="D157" s="397">
        <v>0</v>
      </c>
      <c r="E157" s="397">
        <v>0</v>
      </c>
      <c r="F157" s="397">
        <v>0</v>
      </c>
      <c r="G157" s="397">
        <v>0</v>
      </c>
      <c r="H157" s="398"/>
    </row>
    <row r="158" spans="2:8" ht="15" thickBot="1" x14ac:dyDescent="0.35">
      <c r="B158" s="396" t="s">
        <v>4215</v>
      </c>
      <c r="C158" s="397">
        <v>0</v>
      </c>
      <c r="D158" s="397">
        <v>0</v>
      </c>
      <c r="E158" s="397">
        <v>0</v>
      </c>
      <c r="F158" s="397">
        <v>0</v>
      </c>
      <c r="G158" s="397">
        <v>0</v>
      </c>
      <c r="H158" s="398"/>
    </row>
    <row r="159" spans="2:8" ht="15" thickBot="1" x14ac:dyDescent="0.35">
      <c r="B159" s="396" t="s">
        <v>4216</v>
      </c>
      <c r="C159" s="397">
        <v>0</v>
      </c>
      <c r="D159" s="397">
        <v>0</v>
      </c>
      <c r="E159" s="397">
        <v>0</v>
      </c>
      <c r="F159" s="397">
        <v>0</v>
      </c>
      <c r="G159" s="397">
        <v>0</v>
      </c>
      <c r="H159" s="398"/>
    </row>
    <row r="160" spans="2:8" ht="15" thickBot="1" x14ac:dyDescent="0.35">
      <c r="B160" s="396" t="s">
        <v>4217</v>
      </c>
      <c r="C160" s="397">
        <v>0</v>
      </c>
      <c r="D160" s="397">
        <v>0</v>
      </c>
      <c r="E160" s="397">
        <v>0</v>
      </c>
      <c r="F160" s="397">
        <v>0</v>
      </c>
      <c r="G160" s="397">
        <v>0</v>
      </c>
      <c r="H160" s="398"/>
    </row>
    <row r="161" spans="2:8" ht="15" thickBot="1" x14ac:dyDescent="0.35">
      <c r="B161" s="396" t="s">
        <v>4218</v>
      </c>
      <c r="C161" s="397">
        <v>0</v>
      </c>
      <c r="D161" s="397">
        <v>0</v>
      </c>
      <c r="E161" s="397">
        <v>0</v>
      </c>
      <c r="F161" s="397">
        <v>0</v>
      </c>
      <c r="G161" s="397">
        <v>0</v>
      </c>
      <c r="H161" s="398"/>
    </row>
    <row r="162" spans="2:8" ht="15" thickBot="1" x14ac:dyDescent="0.35">
      <c r="B162" s="396" t="s">
        <v>4219</v>
      </c>
      <c r="C162" s="397">
        <v>0</v>
      </c>
      <c r="D162" s="397">
        <v>0</v>
      </c>
      <c r="E162" s="397">
        <v>0</v>
      </c>
      <c r="F162" s="397">
        <v>0</v>
      </c>
      <c r="G162" s="397">
        <v>0</v>
      </c>
      <c r="H162" s="398"/>
    </row>
    <row r="163" spans="2:8" ht="15" thickBot="1" x14ac:dyDescent="0.35">
      <c r="B163" s="401" t="s">
        <v>4238</v>
      </c>
      <c r="C163" s="520"/>
      <c r="D163" s="521"/>
      <c r="E163" s="521"/>
      <c r="F163" s="521"/>
      <c r="G163" s="522"/>
      <c r="H163" s="393"/>
    </row>
    <row r="164" spans="2:8" ht="29.4" thickBot="1" x14ac:dyDescent="0.35">
      <c r="B164" s="394" t="s">
        <v>4239</v>
      </c>
      <c r="C164" s="399"/>
      <c r="D164" s="399"/>
      <c r="E164" s="399"/>
      <c r="F164" s="399"/>
      <c r="G164" s="399"/>
      <c r="H164" s="395">
        <v>-68</v>
      </c>
    </row>
    <row r="165" spans="2:8" ht="15" thickBot="1" x14ac:dyDescent="0.35">
      <c r="B165" s="396" t="s">
        <v>4213</v>
      </c>
      <c r="C165" s="397">
        <v>-17</v>
      </c>
      <c r="D165" s="397">
        <v>-17</v>
      </c>
      <c r="E165" s="397">
        <v>-14</v>
      </c>
      <c r="F165" s="397">
        <v>-18</v>
      </c>
      <c r="G165" s="397">
        <v>-17</v>
      </c>
      <c r="H165" s="398"/>
    </row>
    <row r="166" spans="2:8" ht="15" thickBot="1" x14ac:dyDescent="0.35">
      <c r="B166" s="396" t="s">
        <v>4214</v>
      </c>
      <c r="C166" s="397">
        <v>0</v>
      </c>
      <c r="D166" s="397">
        <v>0</v>
      </c>
      <c r="E166" s="397">
        <v>0</v>
      </c>
      <c r="F166" s="397">
        <v>0</v>
      </c>
      <c r="G166" s="397">
        <v>0</v>
      </c>
      <c r="H166" s="398"/>
    </row>
    <row r="167" spans="2:8" ht="15" thickBot="1" x14ac:dyDescent="0.35">
      <c r="B167" s="396" t="s">
        <v>4215</v>
      </c>
      <c r="C167" s="397">
        <v>0</v>
      </c>
      <c r="D167" s="397">
        <v>0</v>
      </c>
      <c r="E167" s="397">
        <v>0</v>
      </c>
      <c r="F167" s="397">
        <v>-18</v>
      </c>
      <c r="G167" s="397">
        <v>0</v>
      </c>
      <c r="H167" s="398"/>
    </row>
    <row r="168" spans="2:8" ht="15" thickBot="1" x14ac:dyDescent="0.35">
      <c r="B168" s="396" t="s">
        <v>4216</v>
      </c>
      <c r="C168" s="397">
        <v>-17</v>
      </c>
      <c r="D168" s="397">
        <v>-15</v>
      </c>
      <c r="E168" s="397">
        <v>-14</v>
      </c>
      <c r="F168" s="397">
        <v>-18</v>
      </c>
      <c r="G168" s="397">
        <v>-17</v>
      </c>
      <c r="H168" s="398"/>
    </row>
    <row r="169" spans="2:8" ht="15" thickBot="1" x14ac:dyDescent="0.35">
      <c r="B169" s="396" t="s">
        <v>4217</v>
      </c>
      <c r="C169" s="397">
        <v>-17</v>
      </c>
      <c r="D169" s="397">
        <v>-15</v>
      </c>
      <c r="E169" s="397">
        <v>-14</v>
      </c>
      <c r="F169" s="397">
        <v>-18</v>
      </c>
      <c r="G169" s="397">
        <v>-17</v>
      </c>
      <c r="H169" s="398"/>
    </row>
    <row r="170" spans="2:8" ht="15" thickBot="1" x14ac:dyDescent="0.35">
      <c r="B170" s="396" t="s">
        <v>4218</v>
      </c>
      <c r="C170" s="397">
        <v>-17</v>
      </c>
      <c r="D170" s="397">
        <v>-15</v>
      </c>
      <c r="E170" s="397">
        <v>-14</v>
      </c>
      <c r="F170" s="397">
        <v>-18</v>
      </c>
      <c r="G170" s="397">
        <v>-17</v>
      </c>
      <c r="H170" s="398"/>
    </row>
    <row r="171" spans="2:8" ht="15" thickBot="1" x14ac:dyDescent="0.35">
      <c r="B171" s="396" t="s">
        <v>4219</v>
      </c>
      <c r="C171" s="397">
        <v>-17</v>
      </c>
      <c r="D171" s="397">
        <v>-15</v>
      </c>
      <c r="E171" s="397">
        <v>-14</v>
      </c>
      <c r="F171" s="397">
        <v>-18</v>
      </c>
      <c r="G171" s="397">
        <v>-17</v>
      </c>
      <c r="H171" s="398"/>
    </row>
    <row r="172" spans="2:8" ht="29.4" thickBot="1" x14ac:dyDescent="0.35">
      <c r="B172" s="394" t="s">
        <v>4240</v>
      </c>
      <c r="C172" s="399"/>
      <c r="D172" s="399"/>
      <c r="E172" s="399"/>
      <c r="F172" s="399"/>
      <c r="G172" s="399"/>
      <c r="H172" s="395">
        <v>32</v>
      </c>
    </row>
    <row r="173" spans="2:8" ht="15" thickBot="1" x14ac:dyDescent="0.35">
      <c r="B173" s="396" t="s">
        <v>4213</v>
      </c>
      <c r="C173" s="397">
        <v>11</v>
      </c>
      <c r="D173" s="397">
        <v>7</v>
      </c>
      <c r="E173" s="397">
        <v>4</v>
      </c>
      <c r="F173" s="397">
        <v>3</v>
      </c>
      <c r="G173" s="397">
        <v>3</v>
      </c>
      <c r="H173" s="398"/>
    </row>
    <row r="174" spans="2:8" ht="15" thickBot="1" x14ac:dyDescent="0.35">
      <c r="B174" s="396" t="s">
        <v>4214</v>
      </c>
      <c r="C174" s="397">
        <v>0</v>
      </c>
      <c r="D174" s="397">
        <v>0</v>
      </c>
      <c r="E174" s="397">
        <v>0</v>
      </c>
      <c r="F174" s="397">
        <v>0</v>
      </c>
      <c r="G174" s="397">
        <v>0</v>
      </c>
      <c r="H174" s="398"/>
    </row>
    <row r="175" spans="2:8" ht="15" thickBot="1" x14ac:dyDescent="0.35">
      <c r="B175" s="396" t="s">
        <v>4215</v>
      </c>
      <c r="C175" s="397">
        <v>0</v>
      </c>
      <c r="D175" s="397">
        <v>0</v>
      </c>
      <c r="E175" s="397">
        <v>0</v>
      </c>
      <c r="F175" s="397">
        <v>1</v>
      </c>
      <c r="G175" s="397">
        <v>0</v>
      </c>
      <c r="H175" s="398"/>
    </row>
    <row r="176" spans="2:8" ht="15" thickBot="1" x14ac:dyDescent="0.35">
      <c r="B176" s="396" t="s">
        <v>4216</v>
      </c>
      <c r="C176" s="397">
        <v>6</v>
      </c>
      <c r="D176" s="397">
        <v>14</v>
      </c>
      <c r="E176" s="397">
        <v>3</v>
      </c>
      <c r="F176" s="397">
        <v>10</v>
      </c>
      <c r="G176" s="397">
        <v>5</v>
      </c>
      <c r="H176" s="398"/>
    </row>
    <row r="177" spans="2:8" ht="15" thickBot="1" x14ac:dyDescent="0.35">
      <c r="B177" s="396" t="s">
        <v>4217</v>
      </c>
      <c r="C177" s="397">
        <v>10</v>
      </c>
      <c r="D177" s="397">
        <v>10</v>
      </c>
      <c r="E177" s="397">
        <v>34</v>
      </c>
      <c r="F177" s="397">
        <v>7</v>
      </c>
      <c r="G177" s="397">
        <v>3</v>
      </c>
      <c r="H177" s="398"/>
    </row>
    <row r="178" spans="2:8" ht="15" thickBot="1" x14ac:dyDescent="0.35">
      <c r="B178" s="396" t="s">
        <v>4218</v>
      </c>
      <c r="C178" s="397">
        <v>16</v>
      </c>
      <c r="D178" s="397">
        <v>13</v>
      </c>
      <c r="E178" s="397">
        <v>5</v>
      </c>
      <c r="F178" s="397">
        <v>6</v>
      </c>
      <c r="G178" s="397">
        <v>2</v>
      </c>
      <c r="H178" s="398"/>
    </row>
    <row r="179" spans="2:8" ht="15" thickBot="1" x14ac:dyDescent="0.35">
      <c r="B179" s="396" t="s">
        <v>4219</v>
      </c>
      <c r="C179" s="397">
        <v>12</v>
      </c>
      <c r="D179" s="397">
        <v>11</v>
      </c>
      <c r="E179" s="397">
        <v>1</v>
      </c>
      <c r="F179" s="397">
        <v>5</v>
      </c>
      <c r="G179" s="397">
        <v>4</v>
      </c>
      <c r="H179" s="398"/>
    </row>
    <row r="180" spans="2:8" ht="15" thickBot="1" x14ac:dyDescent="0.35">
      <c r="B180" s="394" t="s">
        <v>4241</v>
      </c>
      <c r="C180" s="399"/>
      <c r="D180" s="399"/>
      <c r="E180" s="399"/>
      <c r="F180" s="399"/>
      <c r="G180" s="399"/>
      <c r="H180" s="395">
        <v>32</v>
      </c>
    </row>
    <row r="181" spans="2:8" ht="15" thickBot="1" x14ac:dyDescent="0.35">
      <c r="B181" s="396" t="s">
        <v>4213</v>
      </c>
      <c r="C181" s="397">
        <v>11</v>
      </c>
      <c r="D181" s="397">
        <v>7</v>
      </c>
      <c r="E181" s="397">
        <v>4</v>
      </c>
      <c r="F181" s="397">
        <v>3</v>
      </c>
      <c r="G181" s="397">
        <v>3</v>
      </c>
      <c r="H181" s="398"/>
    </row>
    <row r="182" spans="2:8" ht="15" thickBot="1" x14ac:dyDescent="0.35">
      <c r="B182" s="396" t="s">
        <v>4214</v>
      </c>
      <c r="C182" s="397">
        <v>0</v>
      </c>
      <c r="D182" s="397">
        <v>0</v>
      </c>
      <c r="E182" s="397">
        <v>0</v>
      </c>
      <c r="F182" s="397">
        <v>0</v>
      </c>
      <c r="G182" s="397">
        <v>0</v>
      </c>
      <c r="H182" s="398"/>
    </row>
    <row r="183" spans="2:8" ht="15" thickBot="1" x14ac:dyDescent="0.35">
      <c r="B183" s="396" t="s">
        <v>4215</v>
      </c>
      <c r="C183" s="397">
        <v>0</v>
      </c>
      <c r="D183" s="397">
        <v>0</v>
      </c>
      <c r="E183" s="397">
        <v>0</v>
      </c>
      <c r="F183" s="397">
        <v>1</v>
      </c>
      <c r="G183" s="397">
        <v>0</v>
      </c>
      <c r="H183" s="398"/>
    </row>
    <row r="184" spans="2:8" ht="15" thickBot="1" x14ac:dyDescent="0.35">
      <c r="B184" s="396" t="s">
        <v>4216</v>
      </c>
      <c r="C184" s="397">
        <v>6</v>
      </c>
      <c r="D184" s="397">
        <v>14</v>
      </c>
      <c r="E184" s="397">
        <v>3</v>
      </c>
      <c r="F184" s="397">
        <v>10</v>
      </c>
      <c r="G184" s="397">
        <v>5</v>
      </c>
      <c r="H184" s="398"/>
    </row>
    <row r="185" spans="2:8" ht="15" thickBot="1" x14ac:dyDescent="0.35">
      <c r="B185" s="396" t="s">
        <v>4217</v>
      </c>
      <c r="C185" s="397">
        <v>10</v>
      </c>
      <c r="D185" s="397">
        <v>10</v>
      </c>
      <c r="E185" s="397">
        <v>34</v>
      </c>
      <c r="F185" s="397">
        <v>7</v>
      </c>
      <c r="G185" s="397">
        <v>3</v>
      </c>
      <c r="H185" s="398"/>
    </row>
    <row r="186" spans="2:8" ht="15" thickBot="1" x14ac:dyDescent="0.35">
      <c r="B186" s="396" t="s">
        <v>4218</v>
      </c>
      <c r="C186" s="397">
        <v>16</v>
      </c>
      <c r="D186" s="397">
        <v>13</v>
      </c>
      <c r="E186" s="397">
        <v>5</v>
      </c>
      <c r="F186" s="397">
        <v>6</v>
      </c>
      <c r="G186" s="397">
        <v>2</v>
      </c>
      <c r="H186" s="398"/>
    </row>
    <row r="187" spans="2:8" ht="15" thickBot="1" x14ac:dyDescent="0.35">
      <c r="B187" s="396" t="s">
        <v>4219</v>
      </c>
      <c r="C187" s="397">
        <v>12</v>
      </c>
      <c r="D187" s="397">
        <v>11</v>
      </c>
      <c r="E187" s="397">
        <v>1</v>
      </c>
      <c r="F187" s="397">
        <v>5</v>
      </c>
      <c r="G187" s="397">
        <v>4</v>
      </c>
      <c r="H187" s="398"/>
    </row>
    <row r="188" spans="2:8" ht="15" thickBot="1" x14ac:dyDescent="0.35">
      <c r="B188" s="394" t="s">
        <v>4242</v>
      </c>
      <c r="C188" s="399"/>
      <c r="D188" s="399"/>
      <c r="E188" s="399"/>
      <c r="F188" s="399"/>
      <c r="G188" s="399"/>
      <c r="H188" s="395">
        <v>29</v>
      </c>
    </row>
    <row r="189" spans="2:8" ht="15" thickBot="1" x14ac:dyDescent="0.35">
      <c r="B189" s="396" t="s">
        <v>4213</v>
      </c>
      <c r="C189" s="397">
        <v>11</v>
      </c>
      <c r="D189" s="397">
        <v>7</v>
      </c>
      <c r="E189" s="397">
        <v>4</v>
      </c>
      <c r="F189" s="397">
        <v>3</v>
      </c>
      <c r="G189" s="397">
        <v>3</v>
      </c>
      <c r="H189" s="398"/>
    </row>
    <row r="190" spans="2:8" ht="15" thickBot="1" x14ac:dyDescent="0.35">
      <c r="B190" s="396" t="s">
        <v>4214</v>
      </c>
      <c r="C190" s="397">
        <v>0</v>
      </c>
      <c r="D190" s="397">
        <v>0</v>
      </c>
      <c r="E190" s="397">
        <v>0</v>
      </c>
      <c r="F190" s="397">
        <v>0</v>
      </c>
      <c r="G190" s="397">
        <v>0</v>
      </c>
      <c r="H190" s="398"/>
    </row>
    <row r="191" spans="2:8" ht="15" thickBot="1" x14ac:dyDescent="0.35">
      <c r="B191" s="396" t="s">
        <v>4215</v>
      </c>
      <c r="C191" s="397">
        <v>0</v>
      </c>
      <c r="D191" s="397">
        <v>0</v>
      </c>
      <c r="E191" s="397">
        <v>0</v>
      </c>
      <c r="F191" s="397">
        <v>1</v>
      </c>
      <c r="G191" s="397">
        <v>0</v>
      </c>
      <c r="H191" s="398"/>
    </row>
    <row r="192" spans="2:8" ht="15" thickBot="1" x14ac:dyDescent="0.35">
      <c r="B192" s="396" t="s">
        <v>4216</v>
      </c>
      <c r="C192" s="397">
        <v>6</v>
      </c>
      <c r="D192" s="397">
        <v>14</v>
      </c>
      <c r="E192" s="397">
        <v>3</v>
      </c>
      <c r="F192" s="397">
        <v>10</v>
      </c>
      <c r="G192" s="397">
        <v>5</v>
      </c>
      <c r="H192" s="398"/>
    </row>
    <row r="193" spans="2:8" ht="15" thickBot="1" x14ac:dyDescent="0.35">
      <c r="B193" s="396" t="s">
        <v>4217</v>
      </c>
      <c r="C193" s="397">
        <v>10</v>
      </c>
      <c r="D193" s="397">
        <v>10</v>
      </c>
      <c r="E193" s="397">
        <v>34</v>
      </c>
      <c r="F193" s="397">
        <v>7</v>
      </c>
      <c r="G193" s="397">
        <v>3</v>
      </c>
      <c r="H193" s="398"/>
    </row>
    <row r="194" spans="2:8" ht="15" thickBot="1" x14ac:dyDescent="0.35">
      <c r="B194" s="396" t="s">
        <v>4218</v>
      </c>
      <c r="C194" s="397">
        <v>16</v>
      </c>
      <c r="D194" s="397">
        <v>13</v>
      </c>
      <c r="E194" s="397">
        <v>5</v>
      </c>
      <c r="F194" s="397">
        <v>6</v>
      </c>
      <c r="G194" s="397">
        <v>2</v>
      </c>
      <c r="H194" s="398"/>
    </row>
    <row r="195" spans="2:8" ht="15" thickBot="1" x14ac:dyDescent="0.35">
      <c r="B195" s="396" t="s">
        <v>4219</v>
      </c>
      <c r="C195" s="397">
        <v>12</v>
      </c>
      <c r="D195" s="397">
        <v>11</v>
      </c>
      <c r="E195" s="397">
        <v>1</v>
      </c>
      <c r="F195" s="397">
        <v>5</v>
      </c>
      <c r="G195" s="397">
        <v>4</v>
      </c>
      <c r="H195" s="398"/>
    </row>
  </sheetData>
  <mergeCells count="6">
    <mergeCell ref="C163:G163"/>
    <mergeCell ref="B1:C1"/>
    <mergeCell ref="B22:G22"/>
    <mergeCell ref="C24:G24"/>
    <mergeCell ref="C65:G65"/>
    <mergeCell ref="C138:G13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topLeftCell="A16" zoomScale="70" zoomScaleNormal="70" workbookViewId="0">
      <selection activeCell="B11" sqref="B11:J11"/>
    </sheetView>
  </sheetViews>
  <sheetFormatPr baseColWidth="10" defaultRowHeight="14.4" x14ac:dyDescent="0.3"/>
  <cols>
    <col min="1" max="1" width="11.88671875" customWidth="1"/>
    <col min="2" max="2" width="21.33203125" style="34" customWidth="1"/>
    <col min="3" max="3" width="15.109375" style="15" customWidth="1"/>
    <col min="4" max="4" width="20.77734375" style="15" customWidth="1"/>
    <col min="5" max="8" width="13.5546875" style="15" customWidth="1"/>
    <col min="9" max="9" width="14.21875" style="16" customWidth="1"/>
    <col min="10" max="10" width="22.6640625" style="34" customWidth="1"/>
  </cols>
  <sheetData>
    <row r="1" spans="1:10" ht="56.55" customHeight="1" thickBot="1" x14ac:dyDescent="0.35">
      <c r="A1" s="230" t="s">
        <v>14</v>
      </c>
      <c r="B1" s="231" t="s">
        <v>7</v>
      </c>
      <c r="C1" s="232" t="s">
        <v>11</v>
      </c>
      <c r="D1" s="232" t="s">
        <v>12</v>
      </c>
      <c r="E1" s="232" t="s">
        <v>8</v>
      </c>
      <c r="F1" s="232" t="s">
        <v>121</v>
      </c>
      <c r="G1" s="232" t="s">
        <v>122</v>
      </c>
      <c r="H1" s="232" t="s">
        <v>13</v>
      </c>
      <c r="I1" s="232" t="s">
        <v>9</v>
      </c>
      <c r="J1" s="233" t="s">
        <v>10</v>
      </c>
    </row>
    <row r="2" spans="1:10" s="16" customFormat="1" ht="15" customHeight="1" thickBot="1" x14ac:dyDescent="0.35">
      <c r="A2" s="535" t="s">
        <v>89</v>
      </c>
      <c r="B2" s="164" t="s">
        <v>94</v>
      </c>
      <c r="C2" s="153">
        <v>25</v>
      </c>
      <c r="D2" s="154">
        <v>52</v>
      </c>
      <c r="E2" s="235">
        <v>81</v>
      </c>
      <c r="F2" s="235">
        <v>2</v>
      </c>
      <c r="G2" s="235">
        <v>32</v>
      </c>
      <c r="H2" s="235">
        <v>287</v>
      </c>
      <c r="I2" s="220">
        <f>H2/(E2*8)</f>
        <v>0.44290123456790126</v>
      </c>
      <c r="J2" s="229"/>
    </row>
    <row r="3" spans="1:10" s="16" customFormat="1" x14ac:dyDescent="0.3">
      <c r="A3" s="535"/>
      <c r="B3" s="31" t="s">
        <v>235</v>
      </c>
      <c r="C3" s="153">
        <v>14</v>
      </c>
      <c r="D3" s="154">
        <v>27</v>
      </c>
      <c r="E3" s="28">
        <v>105</v>
      </c>
      <c r="F3" s="26">
        <v>44</v>
      </c>
      <c r="G3" s="26">
        <v>8</v>
      </c>
      <c r="H3" s="140">
        <v>214</v>
      </c>
      <c r="I3" s="220">
        <f t="shared" ref="I3:I16" si="0">H3/(E3*8)</f>
        <v>0.25476190476190474</v>
      </c>
      <c r="J3" s="35"/>
    </row>
    <row r="4" spans="1:10" s="16" customFormat="1" ht="15" thickBot="1" x14ac:dyDescent="0.35">
      <c r="A4" s="535"/>
      <c r="B4" s="31" t="s">
        <v>168</v>
      </c>
      <c r="C4" s="153">
        <v>15</v>
      </c>
      <c r="D4" s="154">
        <v>56</v>
      </c>
      <c r="E4" s="28">
        <v>216</v>
      </c>
      <c r="F4" s="26">
        <v>87</v>
      </c>
      <c r="G4" s="26">
        <v>43</v>
      </c>
      <c r="H4" s="140">
        <v>415</v>
      </c>
      <c r="I4" s="220">
        <f t="shared" si="0"/>
        <v>0.24016203703703703</v>
      </c>
      <c r="J4" s="36"/>
    </row>
    <row r="5" spans="1:10" s="16" customFormat="1" ht="15" thickBot="1" x14ac:dyDescent="0.35">
      <c r="A5" s="535"/>
      <c r="B5" s="32" t="s">
        <v>169</v>
      </c>
      <c r="C5" s="153">
        <v>15</v>
      </c>
      <c r="D5" s="154">
        <v>20</v>
      </c>
      <c r="E5" s="142">
        <v>91</v>
      </c>
      <c r="F5" s="26">
        <v>12</v>
      </c>
      <c r="G5" s="26">
        <v>24</v>
      </c>
      <c r="H5" s="213">
        <v>371</v>
      </c>
      <c r="I5" s="220">
        <f t="shared" si="0"/>
        <v>0.50961538461538458</v>
      </c>
      <c r="J5" s="35"/>
    </row>
    <row r="6" spans="1:10" s="16" customFormat="1" ht="15" thickBot="1" x14ac:dyDescent="0.35">
      <c r="A6" s="535"/>
      <c r="B6" s="31" t="s">
        <v>92</v>
      </c>
      <c r="C6" s="153">
        <v>10</v>
      </c>
      <c r="D6" s="154">
        <v>15</v>
      </c>
      <c r="E6" s="235">
        <v>92</v>
      </c>
      <c r="F6" s="235">
        <v>20</v>
      </c>
      <c r="G6" s="235">
        <v>16</v>
      </c>
      <c r="H6" s="235">
        <v>258</v>
      </c>
      <c r="I6" s="220">
        <f t="shared" si="0"/>
        <v>0.35054347826086957</v>
      </c>
      <c r="J6" s="35"/>
    </row>
    <row r="7" spans="1:10" s="16" customFormat="1" ht="14.55" customHeight="1" thickBot="1" x14ac:dyDescent="0.35">
      <c r="A7" s="535"/>
      <c r="B7" s="30" t="s">
        <v>90</v>
      </c>
      <c r="C7" s="153">
        <v>7</v>
      </c>
      <c r="D7" s="154">
        <v>18</v>
      </c>
      <c r="E7" s="235">
        <v>58</v>
      </c>
      <c r="F7" s="235">
        <v>5</v>
      </c>
      <c r="G7" s="235">
        <v>9</v>
      </c>
      <c r="H7" s="235">
        <v>163</v>
      </c>
      <c r="I7" s="220">
        <f t="shared" si="0"/>
        <v>0.35129310344827586</v>
      </c>
      <c r="J7" s="47"/>
    </row>
    <row r="8" spans="1:10" s="16" customFormat="1" ht="15" thickBot="1" x14ac:dyDescent="0.35">
      <c r="A8" s="535"/>
      <c r="B8" s="31" t="s">
        <v>105</v>
      </c>
      <c r="C8" s="153">
        <v>3</v>
      </c>
      <c r="D8" s="154">
        <v>31</v>
      </c>
      <c r="E8" s="142">
        <v>173</v>
      </c>
      <c r="F8" s="26">
        <v>105</v>
      </c>
      <c r="G8" s="26">
        <v>2</v>
      </c>
      <c r="H8" s="213">
        <v>179</v>
      </c>
      <c r="I8" s="220">
        <f t="shared" si="0"/>
        <v>0.12933526011560695</v>
      </c>
      <c r="J8" s="36"/>
    </row>
    <row r="9" spans="1:10" s="16" customFormat="1" ht="15" thickBot="1" x14ac:dyDescent="0.35">
      <c r="A9" s="535"/>
      <c r="B9" s="31" t="s">
        <v>99</v>
      </c>
      <c r="C9" s="153">
        <v>0</v>
      </c>
      <c r="D9" s="154">
        <v>32</v>
      </c>
      <c r="E9" s="235">
        <v>83</v>
      </c>
      <c r="F9" s="235">
        <v>4</v>
      </c>
      <c r="G9" s="235">
        <v>43</v>
      </c>
      <c r="H9" s="235">
        <v>432</v>
      </c>
      <c r="I9" s="220">
        <f t="shared" si="0"/>
        <v>0.6506024096385542</v>
      </c>
      <c r="J9" s="36"/>
    </row>
    <row r="10" spans="1:10" s="16" customFormat="1" ht="15" thickBot="1" x14ac:dyDescent="0.35">
      <c r="A10" s="535"/>
      <c r="B10" s="31" t="s">
        <v>95</v>
      </c>
      <c r="C10" s="153">
        <v>8</v>
      </c>
      <c r="D10" s="154">
        <v>3</v>
      </c>
      <c r="E10" s="302">
        <v>51</v>
      </c>
      <c r="F10" s="302">
        <v>9</v>
      </c>
      <c r="G10" s="302">
        <v>14</v>
      </c>
      <c r="H10" s="302">
        <v>194</v>
      </c>
      <c r="I10" s="220">
        <f t="shared" si="0"/>
        <v>0.47549019607843135</v>
      </c>
      <c r="J10" s="36"/>
    </row>
    <row r="11" spans="1:10" s="16" customFormat="1" ht="15" thickBot="1" x14ac:dyDescent="0.35">
      <c r="A11" s="535"/>
      <c r="B11" s="31" t="s">
        <v>167</v>
      </c>
      <c r="C11" s="153">
        <v>2</v>
      </c>
      <c r="D11" s="154">
        <v>1</v>
      </c>
      <c r="E11" s="303">
        <v>17</v>
      </c>
      <c r="F11" s="304">
        <v>13</v>
      </c>
      <c r="G11" s="303">
        <v>0</v>
      </c>
      <c r="H11" s="305">
        <v>6</v>
      </c>
      <c r="I11" s="220">
        <f t="shared" si="0"/>
        <v>4.4117647058823532E-2</v>
      </c>
      <c r="J11" s="47"/>
    </row>
    <row r="12" spans="1:10" s="16" customFormat="1" ht="15" thickBot="1" x14ac:dyDescent="0.35">
      <c r="A12" s="535"/>
      <c r="B12" s="31" t="s">
        <v>118</v>
      </c>
      <c r="C12" s="153">
        <v>4</v>
      </c>
      <c r="D12" s="154">
        <v>4</v>
      </c>
      <c r="E12" s="235">
        <v>48</v>
      </c>
      <c r="F12" s="235">
        <v>6</v>
      </c>
      <c r="G12" s="235">
        <v>4</v>
      </c>
      <c r="H12" s="235">
        <v>115</v>
      </c>
      <c r="I12" s="220">
        <f t="shared" si="0"/>
        <v>0.29947916666666669</v>
      </c>
      <c r="J12" s="36"/>
    </row>
    <row r="13" spans="1:10" s="16" customFormat="1" ht="15" thickBot="1" x14ac:dyDescent="0.35">
      <c r="A13" s="535"/>
      <c r="B13" s="31" t="s">
        <v>93</v>
      </c>
      <c r="C13" s="153">
        <v>4</v>
      </c>
      <c r="D13" s="154">
        <v>20</v>
      </c>
      <c r="E13" s="235">
        <v>55</v>
      </c>
      <c r="F13" s="235">
        <v>7</v>
      </c>
      <c r="G13" s="235">
        <v>12</v>
      </c>
      <c r="H13" s="235">
        <v>212</v>
      </c>
      <c r="I13" s="220">
        <f t="shared" si="0"/>
        <v>0.48181818181818181</v>
      </c>
      <c r="J13" s="35"/>
    </row>
    <row r="14" spans="1:10" s="16" customFormat="1" ht="15" thickBot="1" x14ac:dyDescent="0.35">
      <c r="A14" s="535"/>
      <c r="B14" s="31" t="s">
        <v>91</v>
      </c>
      <c r="C14" s="153">
        <v>5</v>
      </c>
      <c r="D14" s="154">
        <v>4</v>
      </c>
      <c r="E14" s="235">
        <v>107</v>
      </c>
      <c r="F14" s="235">
        <v>88</v>
      </c>
      <c r="G14" s="235">
        <v>0</v>
      </c>
      <c r="H14" s="235">
        <v>36</v>
      </c>
      <c r="I14" s="220">
        <f t="shared" si="0"/>
        <v>4.2056074766355138E-2</v>
      </c>
      <c r="J14" s="47"/>
    </row>
    <row r="15" spans="1:10" s="16" customFormat="1" ht="15" thickBot="1" x14ac:dyDescent="0.35">
      <c r="A15" s="535"/>
      <c r="B15" s="31" t="s">
        <v>96</v>
      </c>
      <c r="C15" s="153">
        <v>1</v>
      </c>
      <c r="D15" s="154">
        <v>2</v>
      </c>
      <c r="E15" s="235">
        <v>44</v>
      </c>
      <c r="F15" s="235">
        <v>19</v>
      </c>
      <c r="G15" s="235">
        <v>2</v>
      </c>
      <c r="H15" s="235">
        <v>45</v>
      </c>
      <c r="I15" s="220">
        <f t="shared" si="0"/>
        <v>0.12784090909090909</v>
      </c>
      <c r="J15" s="36"/>
    </row>
    <row r="16" spans="1:10" s="16" customFormat="1" ht="15" thickBot="1" x14ac:dyDescent="0.35">
      <c r="A16" s="535"/>
      <c r="B16" s="44" t="s">
        <v>97</v>
      </c>
      <c r="C16" s="153">
        <v>1</v>
      </c>
      <c r="D16" s="154">
        <v>11</v>
      </c>
      <c r="E16" s="235">
        <v>43</v>
      </c>
      <c r="F16" s="235">
        <v>2</v>
      </c>
      <c r="G16" s="235">
        <v>9</v>
      </c>
      <c r="H16" s="235">
        <v>167</v>
      </c>
      <c r="I16" s="220">
        <f t="shared" si="0"/>
        <v>0.48546511627906974</v>
      </c>
      <c r="J16" s="36"/>
    </row>
    <row r="17" spans="1:10" s="16" customFormat="1" ht="15" thickBot="1" x14ac:dyDescent="0.35">
      <c r="A17" s="536"/>
      <c r="B17" s="234" t="s">
        <v>2517</v>
      </c>
      <c r="C17" s="153">
        <v>0</v>
      </c>
      <c r="D17" s="154">
        <v>1</v>
      </c>
      <c r="E17" s="211"/>
      <c r="F17" s="212"/>
      <c r="G17" s="212"/>
      <c r="H17" s="214"/>
      <c r="I17" s="219" t="e">
        <f t="shared" ref="I17:I31" si="1">H17/(E17*8)</f>
        <v>#DIV/0!</v>
      </c>
      <c r="J17" s="37"/>
    </row>
    <row r="18" spans="1:10" s="16" customFormat="1" ht="15" thickBot="1" x14ac:dyDescent="0.35">
      <c r="A18" s="131"/>
      <c r="B18" s="127" t="s">
        <v>2519</v>
      </c>
      <c r="C18" s="128">
        <f t="shared" ref="C18:H18" si="2">SUM(C2:C17)</f>
        <v>114</v>
      </c>
      <c r="D18" s="128">
        <f t="shared" si="2"/>
        <v>297</v>
      </c>
      <c r="E18" s="128">
        <f t="shared" si="2"/>
        <v>1264</v>
      </c>
      <c r="F18" s="128">
        <f t="shared" si="2"/>
        <v>423</v>
      </c>
      <c r="G18" s="128">
        <f t="shared" si="2"/>
        <v>218</v>
      </c>
      <c r="H18" s="128">
        <f t="shared" si="2"/>
        <v>3094</v>
      </c>
      <c r="I18" s="129"/>
      <c r="J18" s="3"/>
    </row>
    <row r="19" spans="1:10" s="16" customFormat="1" ht="40.049999999999997" customHeight="1" thickBot="1" x14ac:dyDescent="0.35">
      <c r="A19" s="532" t="s">
        <v>106</v>
      </c>
      <c r="B19" s="208" t="s">
        <v>107</v>
      </c>
      <c r="C19" s="27">
        <v>6</v>
      </c>
      <c r="D19" s="46">
        <v>6</v>
      </c>
      <c r="E19" s="235">
        <v>128</v>
      </c>
      <c r="F19" s="235">
        <v>18</v>
      </c>
      <c r="G19" s="235">
        <v>14</v>
      </c>
      <c r="H19" s="235">
        <v>382</v>
      </c>
      <c r="I19" s="220">
        <f>H19/(E19*8)</f>
        <v>0.373046875</v>
      </c>
      <c r="J19" s="35"/>
    </row>
    <row r="20" spans="1:10" s="16" customFormat="1" ht="15" thickBot="1" x14ac:dyDescent="0.35">
      <c r="A20" s="533"/>
      <c r="B20" s="209" t="s">
        <v>124</v>
      </c>
      <c r="C20" s="28">
        <v>6</v>
      </c>
      <c r="D20" s="140">
        <v>9</v>
      </c>
      <c r="E20" s="235">
        <v>124</v>
      </c>
      <c r="F20" s="235">
        <v>33</v>
      </c>
      <c r="G20" s="235">
        <v>7</v>
      </c>
      <c r="H20" s="235">
        <v>70</v>
      </c>
      <c r="I20" s="217">
        <f>H20/(E20*8)</f>
        <v>7.0564516129032265E-2</v>
      </c>
      <c r="J20" s="35"/>
    </row>
    <row r="21" spans="1:10" s="16" customFormat="1" ht="15" thickBot="1" x14ac:dyDescent="0.35">
      <c r="A21" s="533"/>
      <c r="B21" s="209" t="s">
        <v>108</v>
      </c>
      <c r="C21" s="28">
        <v>3</v>
      </c>
      <c r="D21" s="140">
        <v>10</v>
      </c>
      <c r="E21" s="235">
        <v>120</v>
      </c>
      <c r="F21" s="235">
        <v>17</v>
      </c>
      <c r="G21" s="235">
        <v>2</v>
      </c>
      <c r="H21" s="235">
        <v>483</v>
      </c>
      <c r="I21" s="217">
        <f>H21/(E21*8)</f>
        <v>0.50312500000000004</v>
      </c>
      <c r="J21" s="35"/>
    </row>
    <row r="22" spans="1:10" s="16" customFormat="1" ht="30" customHeight="1" thickBot="1" x14ac:dyDescent="0.35">
      <c r="A22" s="533"/>
      <c r="B22" s="210" t="s">
        <v>116</v>
      </c>
      <c r="C22" s="28">
        <v>1</v>
      </c>
      <c r="D22" s="140">
        <v>12</v>
      </c>
      <c r="E22" s="235">
        <v>50</v>
      </c>
      <c r="F22" s="235">
        <v>4</v>
      </c>
      <c r="G22" s="235">
        <v>20</v>
      </c>
      <c r="H22" s="235">
        <v>452</v>
      </c>
      <c r="I22" s="217">
        <f>H22/(E22*16)</f>
        <v>0.56499999999999995</v>
      </c>
      <c r="J22" s="35"/>
    </row>
    <row r="23" spans="1:10" s="16" customFormat="1" ht="30" customHeight="1" thickBot="1" x14ac:dyDescent="0.35">
      <c r="A23" s="533"/>
      <c r="B23" s="210" t="s">
        <v>115</v>
      </c>
      <c r="C23" s="28">
        <v>2</v>
      </c>
      <c r="D23" s="140">
        <v>12</v>
      </c>
      <c r="E23" s="235">
        <v>30</v>
      </c>
      <c r="F23" s="235">
        <v>1</v>
      </c>
      <c r="G23" s="235">
        <v>10</v>
      </c>
      <c r="H23" s="235">
        <v>255</v>
      </c>
      <c r="I23" s="217">
        <f>H23/(E23*16)</f>
        <v>0.53125</v>
      </c>
      <c r="J23" s="35"/>
    </row>
    <row r="24" spans="1:10" s="16" customFormat="1" ht="15" thickBot="1" x14ac:dyDescent="0.35">
      <c r="A24" s="534"/>
      <c r="B24" s="207" t="s">
        <v>2517</v>
      </c>
      <c r="C24" s="159">
        <v>10</v>
      </c>
      <c r="D24" s="172">
        <v>12</v>
      </c>
      <c r="E24" s="211"/>
      <c r="F24" s="212"/>
      <c r="G24" s="212"/>
      <c r="H24" s="214"/>
      <c r="I24" s="219" t="e">
        <f t="shared" ref="I24" si="3">H24/(E24*8)</f>
        <v>#DIV/0!</v>
      </c>
      <c r="J24" s="37"/>
    </row>
    <row r="25" spans="1:10" ht="15" thickBot="1" x14ac:dyDescent="0.35">
      <c r="B25" s="127" t="s">
        <v>2633</v>
      </c>
      <c r="C25" s="128">
        <f>SUM(C19:C24)</f>
        <v>28</v>
      </c>
      <c r="D25" s="128">
        <f t="shared" ref="D25:H25" si="4">SUM(D19:D24)</f>
        <v>61</v>
      </c>
      <c r="E25" s="128">
        <f t="shared" si="4"/>
        <v>452</v>
      </c>
      <c r="F25" s="128">
        <f t="shared" si="4"/>
        <v>73</v>
      </c>
      <c r="G25" s="128">
        <f t="shared" si="4"/>
        <v>53</v>
      </c>
      <c r="H25" s="128">
        <f t="shared" si="4"/>
        <v>1642</v>
      </c>
      <c r="I25" s="129"/>
      <c r="J25" s="130"/>
    </row>
    <row r="26" spans="1:10" s="16" customFormat="1" ht="15" thickBot="1" x14ac:dyDescent="0.35">
      <c r="A26" s="530" t="s">
        <v>109</v>
      </c>
      <c r="B26" s="164" t="s">
        <v>114</v>
      </c>
      <c r="C26" s="27">
        <v>12</v>
      </c>
      <c r="D26" s="46">
        <v>2</v>
      </c>
      <c r="E26" s="244">
        <v>128</v>
      </c>
      <c r="F26" s="244">
        <v>21</v>
      </c>
      <c r="G26" s="244">
        <v>20</v>
      </c>
      <c r="H26" s="244">
        <v>430</v>
      </c>
      <c r="I26" s="216">
        <f>H26/(E26*8)</f>
        <v>0.419921875</v>
      </c>
      <c r="J26" s="36"/>
    </row>
    <row r="27" spans="1:10" s="16" customFormat="1" ht="15" thickBot="1" x14ac:dyDescent="0.35">
      <c r="A27" s="530"/>
      <c r="B27" s="31" t="s">
        <v>2516</v>
      </c>
      <c r="C27" s="28">
        <v>7</v>
      </c>
      <c r="D27" s="140">
        <v>19</v>
      </c>
      <c r="E27" s="244">
        <v>128</v>
      </c>
      <c r="F27" s="244">
        <v>2</v>
      </c>
      <c r="G27" s="244">
        <v>49</v>
      </c>
      <c r="H27" s="244">
        <v>707</v>
      </c>
      <c r="I27" s="217">
        <f>H27/(E27*8)</f>
        <v>0.6904296875</v>
      </c>
      <c r="J27" s="36"/>
    </row>
    <row r="28" spans="1:10" s="16" customFormat="1" ht="14.55" customHeight="1" thickBot="1" x14ac:dyDescent="0.35">
      <c r="A28" s="530"/>
      <c r="B28" s="30" t="s">
        <v>111</v>
      </c>
      <c r="C28" s="28">
        <v>1</v>
      </c>
      <c r="D28" s="140">
        <v>1</v>
      </c>
      <c r="E28" s="244">
        <v>128</v>
      </c>
      <c r="F28" s="244">
        <v>79</v>
      </c>
      <c r="G28" s="244">
        <v>0</v>
      </c>
      <c r="H28" s="244">
        <v>68</v>
      </c>
      <c r="I28" s="217">
        <f t="shared" si="1"/>
        <v>6.640625E-2</v>
      </c>
      <c r="J28" s="35"/>
    </row>
    <row r="29" spans="1:10" s="16" customFormat="1" ht="15" thickBot="1" x14ac:dyDescent="0.35">
      <c r="A29" s="530"/>
      <c r="B29" s="31" t="s">
        <v>112</v>
      </c>
      <c r="C29" s="28">
        <v>5</v>
      </c>
      <c r="D29" s="140">
        <v>1</v>
      </c>
      <c r="E29" s="244">
        <v>128</v>
      </c>
      <c r="F29" s="244">
        <v>75</v>
      </c>
      <c r="G29" s="244">
        <v>4</v>
      </c>
      <c r="H29" s="244">
        <v>194</v>
      </c>
      <c r="I29" s="217">
        <f t="shared" si="1"/>
        <v>0.189453125</v>
      </c>
      <c r="J29" s="36"/>
    </row>
    <row r="30" spans="1:10" s="16" customFormat="1" ht="15" thickBot="1" x14ac:dyDescent="0.35">
      <c r="A30" s="530"/>
      <c r="B30" s="32" t="s">
        <v>113</v>
      </c>
      <c r="C30" s="28">
        <v>4</v>
      </c>
      <c r="D30" s="140">
        <v>4</v>
      </c>
      <c r="E30" s="244">
        <v>113</v>
      </c>
      <c r="F30" s="244">
        <v>40</v>
      </c>
      <c r="G30" s="244">
        <v>5</v>
      </c>
      <c r="H30" s="244">
        <v>181</v>
      </c>
      <c r="I30" s="217">
        <f t="shared" ref="I30" si="5">H30/(E30*8)</f>
        <v>0.2002212389380531</v>
      </c>
      <c r="J30" s="37"/>
    </row>
    <row r="31" spans="1:10" s="16" customFormat="1" ht="15" thickBot="1" x14ac:dyDescent="0.35">
      <c r="A31" s="531"/>
      <c r="B31" s="145" t="s">
        <v>2517</v>
      </c>
      <c r="C31" s="29">
        <v>13</v>
      </c>
      <c r="D31" s="141">
        <v>8</v>
      </c>
      <c r="E31" s="143">
        <v>0</v>
      </c>
      <c r="F31" s="144">
        <v>0</v>
      </c>
      <c r="G31" s="144">
        <v>0</v>
      </c>
      <c r="H31" s="215">
        <v>0</v>
      </c>
      <c r="I31" s="218" t="e">
        <f t="shared" si="1"/>
        <v>#DIV/0!</v>
      </c>
      <c r="J31" s="37"/>
    </row>
    <row r="32" spans="1:10" ht="15" thickBot="1" x14ac:dyDescent="0.35">
      <c r="B32" s="127" t="s">
        <v>2632</v>
      </c>
      <c r="C32" s="128">
        <f>SUM(C26:C31)</f>
        <v>42</v>
      </c>
      <c r="D32" s="128">
        <f t="shared" ref="D32:H32" si="6">SUM(D26:D31)</f>
        <v>35</v>
      </c>
      <c r="E32" s="128">
        <f t="shared" si="6"/>
        <v>625</v>
      </c>
      <c r="F32" s="128">
        <f t="shared" si="6"/>
        <v>217</v>
      </c>
      <c r="G32" s="128">
        <f t="shared" si="6"/>
        <v>78</v>
      </c>
      <c r="H32" s="128">
        <f t="shared" si="6"/>
        <v>1580</v>
      </c>
      <c r="I32" s="129"/>
      <c r="J32" s="130"/>
    </row>
    <row r="33" spans="2:10" ht="15" thickBot="1" x14ac:dyDescent="0.35">
      <c r="B33" s="127" t="s">
        <v>2518</v>
      </c>
      <c r="C33" s="128">
        <f>C32+C18+C25</f>
        <v>184</v>
      </c>
      <c r="D33" s="128">
        <f t="shared" ref="D33:H33" si="7">D32+D18+D25</f>
        <v>393</v>
      </c>
      <c r="E33" s="128">
        <f t="shared" si="7"/>
        <v>2341</v>
      </c>
      <c r="F33" s="128">
        <f t="shared" si="7"/>
        <v>713</v>
      </c>
      <c r="G33" s="128">
        <f t="shared" si="7"/>
        <v>349</v>
      </c>
      <c r="H33" s="128">
        <f t="shared" si="7"/>
        <v>6316</v>
      </c>
      <c r="I33" s="129"/>
      <c r="J33" s="130"/>
    </row>
  </sheetData>
  <mergeCells count="3">
    <mergeCell ref="A26:A31"/>
    <mergeCell ref="A19:A24"/>
    <mergeCell ref="A2:A17"/>
  </mergeCells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>
      <selection activeCell="B11" sqref="B11:J11"/>
    </sheetView>
  </sheetViews>
  <sheetFormatPr baseColWidth="10" defaultRowHeight="14.4" x14ac:dyDescent="0.3"/>
  <cols>
    <col min="1" max="1" width="19.5546875" bestFit="1" customWidth="1"/>
    <col min="2" max="2" width="19.109375" bestFit="1" customWidth="1"/>
    <col min="3" max="3" width="2.77734375" bestFit="1" customWidth="1"/>
    <col min="4" max="8" width="1.77734375" customWidth="1"/>
    <col min="9" max="24" width="2.77734375" customWidth="1"/>
    <col min="25" max="27" width="3.77734375" customWidth="1"/>
    <col min="28" max="45" width="2.77734375" bestFit="1" customWidth="1"/>
    <col min="46" max="86" width="3.77734375" bestFit="1" customWidth="1"/>
    <col min="87" max="87" width="11.77734375" bestFit="1" customWidth="1"/>
  </cols>
  <sheetData>
    <row r="1" spans="1:2" x14ac:dyDescent="0.3">
      <c r="A1" s="132" t="s">
        <v>65</v>
      </c>
      <c r="B1" t="s">
        <v>68</v>
      </c>
    </row>
    <row r="3" spans="1:2" x14ac:dyDescent="0.3">
      <c r="A3" s="132" t="s">
        <v>2520</v>
      </c>
      <c r="B3" t="s">
        <v>2523</v>
      </c>
    </row>
    <row r="4" spans="1:2" x14ac:dyDescent="0.3">
      <c r="A4" s="34" t="s">
        <v>2639</v>
      </c>
      <c r="B4">
        <v>1</v>
      </c>
    </row>
    <row r="5" spans="1:2" x14ac:dyDescent="0.3">
      <c r="A5" s="34" t="s">
        <v>94</v>
      </c>
      <c r="B5">
        <v>3</v>
      </c>
    </row>
    <row r="6" spans="1:2" x14ac:dyDescent="0.3">
      <c r="A6" s="34" t="s">
        <v>3326</v>
      </c>
      <c r="B6">
        <v>1</v>
      </c>
    </row>
    <row r="7" spans="1:2" x14ac:dyDescent="0.3">
      <c r="A7" s="34" t="s">
        <v>2648</v>
      </c>
      <c r="B7">
        <v>7</v>
      </c>
    </row>
    <row r="8" spans="1:2" x14ac:dyDescent="0.3">
      <c r="A8" s="34" t="s">
        <v>163</v>
      </c>
      <c r="B8">
        <v>1</v>
      </c>
    </row>
    <row r="9" spans="1:2" x14ac:dyDescent="0.3">
      <c r="A9" s="34" t="s">
        <v>2527</v>
      </c>
      <c r="B9">
        <v>1</v>
      </c>
    </row>
    <row r="10" spans="1:2" x14ac:dyDescent="0.3">
      <c r="A10" s="34" t="s">
        <v>2645</v>
      </c>
      <c r="B10">
        <v>1</v>
      </c>
    </row>
    <row r="11" spans="1:2" x14ac:dyDescent="0.3">
      <c r="A11" s="34" t="s">
        <v>117</v>
      </c>
      <c r="B11">
        <v>3</v>
      </c>
    </row>
    <row r="12" spans="1:2" x14ac:dyDescent="0.3">
      <c r="A12" s="34" t="s">
        <v>98</v>
      </c>
      <c r="B12">
        <v>3</v>
      </c>
    </row>
    <row r="13" spans="1:2" x14ac:dyDescent="0.3">
      <c r="A13" s="34" t="s">
        <v>2647</v>
      </c>
      <c r="B13">
        <v>1</v>
      </c>
    </row>
    <row r="14" spans="1:2" x14ac:dyDescent="0.3">
      <c r="A14" s="34" t="s">
        <v>103</v>
      </c>
      <c r="B14">
        <v>1</v>
      </c>
    </row>
    <row r="15" spans="1:2" x14ac:dyDescent="0.3">
      <c r="A15" s="34" t="s">
        <v>2650</v>
      </c>
      <c r="B15">
        <v>1</v>
      </c>
    </row>
    <row r="16" spans="1:2" x14ac:dyDescent="0.3">
      <c r="A16" s="34" t="s">
        <v>136</v>
      </c>
      <c r="B16">
        <v>2</v>
      </c>
    </row>
    <row r="17" spans="1:2" x14ac:dyDescent="0.3">
      <c r="A17" s="34" t="s">
        <v>2644</v>
      </c>
      <c r="B17">
        <v>1</v>
      </c>
    </row>
    <row r="18" spans="1:2" x14ac:dyDescent="0.3">
      <c r="A18" s="34" t="s">
        <v>167</v>
      </c>
      <c r="B18">
        <v>3</v>
      </c>
    </row>
    <row r="19" spans="1:2" x14ac:dyDescent="0.3">
      <c r="A19" s="34" t="s">
        <v>135</v>
      </c>
      <c r="B19">
        <v>1</v>
      </c>
    </row>
    <row r="20" spans="1:2" x14ac:dyDescent="0.3">
      <c r="A20" s="34" t="s">
        <v>2528</v>
      </c>
      <c r="B20">
        <v>1</v>
      </c>
    </row>
    <row r="21" spans="1:2" x14ac:dyDescent="0.3">
      <c r="A21" s="34" t="s">
        <v>2646</v>
      </c>
      <c r="B21">
        <v>1</v>
      </c>
    </row>
    <row r="22" spans="1:2" x14ac:dyDescent="0.3">
      <c r="A22" s="34" t="s">
        <v>2643</v>
      </c>
      <c r="B22">
        <v>1</v>
      </c>
    </row>
    <row r="23" spans="1:2" x14ac:dyDescent="0.3">
      <c r="A23" s="34" t="s">
        <v>2638</v>
      </c>
      <c r="B23">
        <v>2</v>
      </c>
    </row>
    <row r="24" spans="1:2" x14ac:dyDescent="0.3">
      <c r="A24" s="34" t="s">
        <v>2521</v>
      </c>
      <c r="B24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70"/>
  <sheetViews>
    <sheetView zoomScaleNormal="100" workbookViewId="0">
      <selection activeCell="B11" sqref="B11:J11"/>
    </sheetView>
  </sheetViews>
  <sheetFormatPr baseColWidth="10" defaultRowHeight="14.4" x14ac:dyDescent="0.3"/>
  <cols>
    <col min="1" max="1" width="3.5546875" customWidth="1"/>
    <col min="2" max="2" width="18.21875" customWidth="1"/>
    <col min="3" max="3" width="8.21875" style="15" customWidth="1"/>
    <col min="4" max="4" width="11" customWidth="1"/>
    <col min="5" max="5" width="9.21875" customWidth="1"/>
    <col min="6" max="6" width="9.5546875" customWidth="1"/>
    <col min="7" max="7" width="11.77734375" customWidth="1"/>
    <col min="8" max="8" width="9.5546875" customWidth="1"/>
    <col min="9" max="9" width="27.44140625" customWidth="1"/>
    <col min="10" max="10" width="5.21875" customWidth="1"/>
    <col min="11" max="11" width="2.77734375" customWidth="1"/>
  </cols>
  <sheetData>
    <row r="1" spans="2:10" ht="15" thickBot="1" x14ac:dyDescent="0.35"/>
    <row r="2" spans="2:10" ht="15" thickBot="1" x14ac:dyDescent="0.35">
      <c r="B2" s="63" t="s">
        <v>23</v>
      </c>
      <c r="C2" s="135"/>
      <c r="D2" s="64"/>
      <c r="E2" s="64"/>
      <c r="F2" s="64"/>
      <c r="G2" s="64"/>
      <c r="H2" s="64"/>
      <c r="I2" s="65"/>
    </row>
    <row r="3" spans="2:10" ht="15" thickBot="1" x14ac:dyDescent="0.35">
      <c r="B3" s="66"/>
      <c r="C3" s="546" t="s">
        <v>26</v>
      </c>
      <c r="D3" s="547"/>
      <c r="E3" s="547"/>
      <c r="F3" s="547"/>
      <c r="G3" s="547"/>
      <c r="H3" s="547"/>
      <c r="I3" s="548"/>
    </row>
    <row r="4" spans="2:10" ht="21" customHeight="1" thickBot="1" x14ac:dyDescent="0.35">
      <c r="B4" s="539" t="s">
        <v>15</v>
      </c>
      <c r="C4" s="543" t="s">
        <v>0</v>
      </c>
      <c r="D4" s="545"/>
      <c r="E4" s="543" t="s">
        <v>1</v>
      </c>
      <c r="F4" s="545"/>
      <c r="G4" s="543" t="s">
        <v>2</v>
      </c>
      <c r="H4" s="545"/>
      <c r="I4" s="539" t="s">
        <v>5</v>
      </c>
    </row>
    <row r="5" spans="2:10" ht="15" thickBot="1" x14ac:dyDescent="0.35">
      <c r="B5" s="540"/>
      <c r="C5" s="1" t="s">
        <v>3</v>
      </c>
      <c r="D5" s="2" t="s">
        <v>4</v>
      </c>
      <c r="E5" s="1" t="s">
        <v>16</v>
      </c>
      <c r="F5" s="1" t="s">
        <v>6</v>
      </c>
      <c r="G5" s="1" t="s">
        <v>17</v>
      </c>
      <c r="H5" s="2" t="s">
        <v>18</v>
      </c>
      <c r="I5" s="540"/>
    </row>
    <row r="6" spans="2:10" ht="15" thickBot="1" x14ac:dyDescent="0.35">
      <c r="B6" s="30" t="s">
        <v>90</v>
      </c>
      <c r="C6" s="27">
        <v>0</v>
      </c>
      <c r="D6" s="27">
        <v>1</v>
      </c>
      <c r="E6" s="27">
        <v>0</v>
      </c>
      <c r="F6" s="27">
        <v>2</v>
      </c>
      <c r="G6" s="27">
        <v>0</v>
      </c>
      <c r="H6" s="27">
        <v>4</v>
      </c>
      <c r="I6" s="119" t="s">
        <v>3819</v>
      </c>
      <c r="J6" s="16">
        <f>SUM(C6:H6)</f>
        <v>7</v>
      </c>
    </row>
    <row r="7" spans="2:10" ht="15" thickBot="1" x14ac:dyDescent="0.35">
      <c r="B7" s="31" t="s">
        <v>91</v>
      </c>
      <c r="C7" s="27">
        <v>0</v>
      </c>
      <c r="D7" s="27">
        <v>0</v>
      </c>
      <c r="E7" s="27">
        <v>2</v>
      </c>
      <c r="F7" s="27">
        <v>3</v>
      </c>
      <c r="G7" s="27">
        <v>0</v>
      </c>
      <c r="H7" s="27">
        <v>0</v>
      </c>
      <c r="I7" s="119"/>
      <c r="J7" s="16">
        <f t="shared" ref="J7:J34" si="0">SUM(C7:H7)</f>
        <v>5</v>
      </c>
    </row>
    <row r="8" spans="2:10" ht="15" thickBot="1" x14ac:dyDescent="0.35">
      <c r="B8" s="31" t="s">
        <v>167</v>
      </c>
      <c r="C8" s="27">
        <v>0</v>
      </c>
      <c r="D8" s="27">
        <v>0</v>
      </c>
      <c r="E8" s="27">
        <v>0</v>
      </c>
      <c r="F8" s="27">
        <v>1</v>
      </c>
      <c r="G8" s="27">
        <v>1</v>
      </c>
      <c r="H8" s="27">
        <v>1</v>
      </c>
      <c r="I8" s="98"/>
      <c r="J8" s="16">
        <f t="shared" si="0"/>
        <v>3</v>
      </c>
    </row>
    <row r="9" spans="2:10" ht="15" thickBot="1" x14ac:dyDescent="0.35">
      <c r="B9" s="31" t="s">
        <v>92</v>
      </c>
      <c r="C9" s="27">
        <v>0</v>
      </c>
      <c r="D9" s="27">
        <v>1</v>
      </c>
      <c r="E9" s="27">
        <v>0</v>
      </c>
      <c r="F9" s="27">
        <v>5</v>
      </c>
      <c r="G9" s="27">
        <v>1</v>
      </c>
      <c r="H9" s="27">
        <v>3</v>
      </c>
      <c r="I9" s="119" t="s">
        <v>3819</v>
      </c>
      <c r="J9" s="16">
        <f t="shared" si="0"/>
        <v>10</v>
      </c>
    </row>
    <row r="10" spans="2:10" ht="15" thickBot="1" x14ac:dyDescent="0.35">
      <c r="B10" s="31" t="s">
        <v>93</v>
      </c>
      <c r="C10" s="27">
        <v>0</v>
      </c>
      <c r="D10" s="27">
        <v>2</v>
      </c>
      <c r="E10" s="27">
        <v>0</v>
      </c>
      <c r="F10" s="27">
        <v>2</v>
      </c>
      <c r="G10" s="27">
        <v>0</v>
      </c>
      <c r="H10" s="27">
        <v>1</v>
      </c>
      <c r="I10" s="119" t="s">
        <v>3819</v>
      </c>
      <c r="J10" s="16">
        <f t="shared" si="0"/>
        <v>5</v>
      </c>
    </row>
    <row r="11" spans="2:10" ht="15" thickBot="1" x14ac:dyDescent="0.35">
      <c r="B11" s="31" t="s">
        <v>94</v>
      </c>
      <c r="C11" s="27">
        <v>0</v>
      </c>
      <c r="D11" s="27">
        <v>1</v>
      </c>
      <c r="E11" s="27">
        <v>0</v>
      </c>
      <c r="F11" s="27">
        <v>4</v>
      </c>
      <c r="G11" s="27">
        <v>0</v>
      </c>
      <c r="H11" s="27">
        <v>20</v>
      </c>
      <c r="I11" s="119" t="s">
        <v>3819</v>
      </c>
      <c r="J11" s="16">
        <f t="shared" si="0"/>
        <v>25</v>
      </c>
    </row>
    <row r="12" spans="2:10" ht="15" thickBot="1" x14ac:dyDescent="0.35">
      <c r="B12" s="31" t="s">
        <v>95</v>
      </c>
      <c r="C12" s="27">
        <v>0</v>
      </c>
      <c r="D12" s="27">
        <v>2</v>
      </c>
      <c r="E12" s="27">
        <v>0</v>
      </c>
      <c r="F12" s="27">
        <v>2</v>
      </c>
      <c r="G12" s="27">
        <v>0</v>
      </c>
      <c r="H12" s="27">
        <v>4</v>
      </c>
      <c r="I12" s="119" t="s">
        <v>3819</v>
      </c>
      <c r="J12" s="16">
        <f t="shared" si="0"/>
        <v>8</v>
      </c>
    </row>
    <row r="13" spans="2:10" ht="15" thickBot="1" x14ac:dyDescent="0.35">
      <c r="B13" s="31" t="s">
        <v>96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7">
        <v>1</v>
      </c>
      <c r="I13" s="98"/>
      <c r="J13" s="16">
        <f t="shared" si="0"/>
        <v>1</v>
      </c>
    </row>
    <row r="14" spans="2:10" ht="15" thickBot="1" x14ac:dyDescent="0.35">
      <c r="B14" s="31" t="s">
        <v>97</v>
      </c>
      <c r="C14" s="27">
        <v>0</v>
      </c>
      <c r="D14" s="27">
        <v>1</v>
      </c>
      <c r="E14" s="27">
        <v>0</v>
      </c>
      <c r="F14" s="27">
        <v>0</v>
      </c>
      <c r="G14" s="27">
        <v>0</v>
      </c>
      <c r="H14" s="27">
        <v>0</v>
      </c>
      <c r="I14" s="119" t="s">
        <v>3819</v>
      </c>
      <c r="J14" s="16">
        <f t="shared" si="0"/>
        <v>1</v>
      </c>
    </row>
    <row r="15" spans="2:10" ht="15" thickBot="1" x14ac:dyDescent="0.35">
      <c r="B15" s="31" t="s">
        <v>105</v>
      </c>
      <c r="C15" s="27">
        <v>0</v>
      </c>
      <c r="D15" s="27">
        <v>1</v>
      </c>
      <c r="E15" s="27">
        <v>0</v>
      </c>
      <c r="F15" s="27">
        <v>2</v>
      </c>
      <c r="G15" s="27">
        <v>0</v>
      </c>
      <c r="H15" s="27">
        <v>0</v>
      </c>
      <c r="I15" s="119" t="s">
        <v>3819</v>
      </c>
      <c r="J15" s="16">
        <f t="shared" si="0"/>
        <v>3</v>
      </c>
    </row>
    <row r="16" spans="2:10" ht="15" thickBot="1" x14ac:dyDescent="0.35">
      <c r="B16" s="31" t="s">
        <v>235</v>
      </c>
      <c r="C16" s="27">
        <v>0</v>
      </c>
      <c r="D16" s="27">
        <v>4</v>
      </c>
      <c r="E16" s="27">
        <v>1</v>
      </c>
      <c r="F16" s="27">
        <v>7</v>
      </c>
      <c r="G16" s="27">
        <v>0</v>
      </c>
      <c r="H16" s="27">
        <v>3</v>
      </c>
      <c r="I16" s="119" t="s">
        <v>3819</v>
      </c>
      <c r="J16" s="16">
        <f t="shared" si="0"/>
        <v>15</v>
      </c>
    </row>
    <row r="17" spans="2:10" ht="15" thickBot="1" x14ac:dyDescent="0.35">
      <c r="B17" s="31" t="s">
        <v>99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119"/>
      <c r="J17" s="16">
        <f t="shared" si="0"/>
        <v>0</v>
      </c>
    </row>
    <row r="18" spans="2:10" ht="15" thickBot="1" x14ac:dyDescent="0.35">
      <c r="B18" s="31" t="s">
        <v>236</v>
      </c>
      <c r="C18" s="27">
        <v>0</v>
      </c>
      <c r="D18" s="27">
        <v>2</v>
      </c>
      <c r="E18" s="27">
        <v>1</v>
      </c>
      <c r="F18" s="27">
        <v>6</v>
      </c>
      <c r="G18" s="27">
        <v>0</v>
      </c>
      <c r="H18" s="27">
        <v>8</v>
      </c>
      <c r="I18" s="119" t="s">
        <v>3819</v>
      </c>
      <c r="J18" s="16">
        <f t="shared" si="0"/>
        <v>17</v>
      </c>
    </row>
    <row r="19" spans="2:10" ht="15" thickBot="1" x14ac:dyDescent="0.35">
      <c r="B19" s="31" t="s">
        <v>102</v>
      </c>
      <c r="C19" s="27">
        <v>0</v>
      </c>
      <c r="D19" s="27">
        <v>2</v>
      </c>
      <c r="E19" s="27">
        <v>1</v>
      </c>
      <c r="F19" s="27">
        <v>1</v>
      </c>
      <c r="G19" s="27">
        <v>0</v>
      </c>
      <c r="H19" s="27">
        <v>0</v>
      </c>
      <c r="I19" s="119" t="s">
        <v>3819</v>
      </c>
      <c r="J19" s="16">
        <f t="shared" si="0"/>
        <v>4</v>
      </c>
    </row>
    <row r="20" spans="2:10" ht="15" thickBot="1" x14ac:dyDescent="0.35">
      <c r="B20" s="44" t="s">
        <v>169</v>
      </c>
      <c r="C20" s="27">
        <v>0</v>
      </c>
      <c r="D20" s="27">
        <v>2</v>
      </c>
      <c r="E20" s="27">
        <v>1</v>
      </c>
      <c r="F20" s="27">
        <v>3</v>
      </c>
      <c r="G20" s="27">
        <v>2</v>
      </c>
      <c r="H20" s="27">
        <v>8</v>
      </c>
      <c r="I20" s="119" t="s">
        <v>3819</v>
      </c>
      <c r="J20" s="16">
        <f t="shared" si="0"/>
        <v>16</v>
      </c>
    </row>
    <row r="21" spans="2:10" ht="16.2" thickBot="1" x14ac:dyDescent="0.35">
      <c r="B21" s="125" t="s">
        <v>2634</v>
      </c>
      <c r="C21" s="245">
        <f>SUM(C6:C20)</f>
        <v>0</v>
      </c>
      <c r="D21" s="245">
        <f t="shared" ref="D21:H21" si="1">SUM(D6:D20)</f>
        <v>19</v>
      </c>
      <c r="E21" s="245">
        <f t="shared" si="1"/>
        <v>6</v>
      </c>
      <c r="F21" s="245">
        <f t="shared" si="1"/>
        <v>38</v>
      </c>
      <c r="G21" s="245">
        <f t="shared" si="1"/>
        <v>4</v>
      </c>
      <c r="H21" s="245">
        <f t="shared" si="1"/>
        <v>53</v>
      </c>
      <c r="I21" s="126">
        <f>SUM(C21:H21)</f>
        <v>120</v>
      </c>
    </row>
    <row r="22" spans="2:10" ht="29.4" thickBot="1" x14ac:dyDescent="0.35">
      <c r="B22" s="39" t="s">
        <v>116</v>
      </c>
      <c r="C22" s="27">
        <v>0</v>
      </c>
      <c r="D22" s="27">
        <v>0</v>
      </c>
      <c r="E22" s="27">
        <v>2</v>
      </c>
      <c r="F22" s="27">
        <v>0</v>
      </c>
      <c r="G22" s="27">
        <v>0</v>
      </c>
      <c r="H22" s="27">
        <v>0</v>
      </c>
      <c r="I22" s="119"/>
      <c r="J22" s="16">
        <f t="shared" si="0"/>
        <v>2</v>
      </c>
    </row>
    <row r="23" spans="2:10" ht="29.4" thickBot="1" x14ac:dyDescent="0.35">
      <c r="B23" s="33" t="s">
        <v>115</v>
      </c>
      <c r="C23" s="27">
        <v>0</v>
      </c>
      <c r="D23" s="27">
        <v>0</v>
      </c>
      <c r="E23" s="27">
        <v>2</v>
      </c>
      <c r="F23" s="27">
        <v>0</v>
      </c>
      <c r="G23" s="27">
        <v>0</v>
      </c>
      <c r="H23" s="27">
        <v>0</v>
      </c>
      <c r="I23" s="119"/>
      <c r="J23" s="16">
        <f t="shared" si="0"/>
        <v>2</v>
      </c>
    </row>
    <row r="24" spans="2:10" ht="15" thickBot="1" x14ac:dyDescent="0.35">
      <c r="B24" s="31" t="s">
        <v>107</v>
      </c>
      <c r="C24" s="27">
        <v>0</v>
      </c>
      <c r="D24" s="27">
        <v>0</v>
      </c>
      <c r="E24" s="27">
        <v>2</v>
      </c>
      <c r="F24" s="27">
        <v>4</v>
      </c>
      <c r="G24" s="27">
        <v>0</v>
      </c>
      <c r="H24" s="27">
        <v>0</v>
      </c>
      <c r="I24" s="119"/>
      <c r="J24" s="16">
        <f t="shared" si="0"/>
        <v>6</v>
      </c>
    </row>
    <row r="25" spans="2:10" ht="15" thickBot="1" x14ac:dyDescent="0.35">
      <c r="B25" s="31" t="s">
        <v>124</v>
      </c>
      <c r="C25" s="27">
        <v>0</v>
      </c>
      <c r="D25" s="27">
        <v>0</v>
      </c>
      <c r="E25" s="27">
        <v>4</v>
      </c>
      <c r="F25" s="27">
        <v>2</v>
      </c>
      <c r="G25" s="27">
        <v>0</v>
      </c>
      <c r="H25" s="27">
        <v>0</v>
      </c>
      <c r="I25" s="222"/>
      <c r="J25" s="16">
        <f t="shared" si="0"/>
        <v>6</v>
      </c>
    </row>
    <row r="26" spans="2:10" ht="15" thickBot="1" x14ac:dyDescent="0.35">
      <c r="B26" s="31" t="s">
        <v>108</v>
      </c>
      <c r="C26" s="27">
        <v>0</v>
      </c>
      <c r="D26" s="27">
        <v>0</v>
      </c>
      <c r="E26" s="27">
        <v>1</v>
      </c>
      <c r="F26" s="27">
        <v>2</v>
      </c>
      <c r="G26" s="27">
        <v>0</v>
      </c>
      <c r="H26" s="27">
        <v>0</v>
      </c>
      <c r="I26" s="222"/>
      <c r="J26" s="16">
        <f t="shared" si="0"/>
        <v>3</v>
      </c>
    </row>
    <row r="27" spans="2:10" ht="15" thickBot="1" x14ac:dyDescent="0.35">
      <c r="B27" s="32" t="s">
        <v>2517</v>
      </c>
      <c r="C27" s="27">
        <v>0</v>
      </c>
      <c r="D27" s="27">
        <v>10</v>
      </c>
      <c r="E27" s="27">
        <v>0</v>
      </c>
      <c r="F27" s="27">
        <v>0</v>
      </c>
      <c r="G27" s="27">
        <v>0</v>
      </c>
      <c r="H27" s="27">
        <v>0</v>
      </c>
      <c r="I27" s="119" t="s">
        <v>3755</v>
      </c>
      <c r="J27" s="16">
        <f t="shared" si="0"/>
        <v>10</v>
      </c>
    </row>
    <row r="28" spans="2:10" ht="16.2" thickBot="1" x14ac:dyDescent="0.35">
      <c r="B28" s="125" t="s">
        <v>2635</v>
      </c>
      <c r="C28" s="245">
        <f>SUM(C22:C27)</f>
        <v>0</v>
      </c>
      <c r="D28" s="245">
        <f t="shared" ref="D28:H28" si="2">SUM(D22:D27)</f>
        <v>10</v>
      </c>
      <c r="E28" s="245">
        <f t="shared" si="2"/>
        <v>11</v>
      </c>
      <c r="F28" s="245">
        <f t="shared" si="2"/>
        <v>8</v>
      </c>
      <c r="G28" s="245">
        <f t="shared" si="2"/>
        <v>0</v>
      </c>
      <c r="H28" s="245">
        <f t="shared" si="2"/>
        <v>0</v>
      </c>
      <c r="I28" s="126">
        <f>SUM(C28:H28)</f>
        <v>29</v>
      </c>
    </row>
    <row r="29" spans="2:10" ht="15" customHeight="1" x14ac:dyDescent="0.3">
      <c r="B29" s="164" t="s">
        <v>111</v>
      </c>
      <c r="C29" s="153">
        <v>0</v>
      </c>
      <c r="D29" s="153">
        <v>0</v>
      </c>
      <c r="E29" s="153">
        <v>1</v>
      </c>
      <c r="F29" s="153">
        <v>0</v>
      </c>
      <c r="G29" s="153">
        <v>0</v>
      </c>
      <c r="H29" s="153">
        <v>0</v>
      </c>
      <c r="I29" s="165"/>
      <c r="J29" s="16">
        <f t="shared" si="0"/>
        <v>1</v>
      </c>
    </row>
    <row r="30" spans="2:10" x14ac:dyDescent="0.3">
      <c r="B30" s="31" t="s">
        <v>2516</v>
      </c>
      <c r="C30" s="153">
        <v>0</v>
      </c>
      <c r="D30" s="153">
        <v>0</v>
      </c>
      <c r="E30" s="153">
        <v>1</v>
      </c>
      <c r="F30" s="153">
        <v>6</v>
      </c>
      <c r="G30" s="153">
        <v>0</v>
      </c>
      <c r="H30" s="153">
        <v>0</v>
      </c>
      <c r="I30" s="98"/>
      <c r="J30" s="16">
        <f t="shared" si="0"/>
        <v>7</v>
      </c>
    </row>
    <row r="31" spans="2:10" x14ac:dyDescent="0.3">
      <c r="B31" s="31" t="s">
        <v>114</v>
      </c>
      <c r="C31" s="153">
        <v>0</v>
      </c>
      <c r="D31" s="153">
        <v>0</v>
      </c>
      <c r="E31" s="153">
        <v>5</v>
      </c>
      <c r="F31" s="153">
        <v>7</v>
      </c>
      <c r="G31" s="153">
        <v>0</v>
      </c>
      <c r="H31" s="153">
        <v>0</v>
      </c>
      <c r="I31" s="98"/>
      <c r="J31" s="16">
        <f t="shared" si="0"/>
        <v>12</v>
      </c>
    </row>
    <row r="32" spans="2:10" x14ac:dyDescent="0.3">
      <c r="B32" s="31" t="s">
        <v>112</v>
      </c>
      <c r="C32" s="153">
        <v>0</v>
      </c>
      <c r="D32" s="153">
        <v>0</v>
      </c>
      <c r="E32" s="153">
        <v>1</v>
      </c>
      <c r="F32" s="153">
        <v>4</v>
      </c>
      <c r="G32" s="153">
        <v>0</v>
      </c>
      <c r="H32" s="153">
        <v>0</v>
      </c>
      <c r="I32" s="98"/>
      <c r="J32" s="16">
        <f t="shared" si="0"/>
        <v>5</v>
      </c>
    </row>
    <row r="33" spans="2:10" x14ac:dyDescent="0.3">
      <c r="B33" s="31" t="s">
        <v>113</v>
      </c>
      <c r="C33" s="153">
        <v>0</v>
      </c>
      <c r="D33" s="153">
        <v>0</v>
      </c>
      <c r="E33" s="153">
        <v>2</v>
      </c>
      <c r="F33" s="153">
        <v>2</v>
      </c>
      <c r="G33" s="153">
        <v>0</v>
      </c>
      <c r="H33" s="153">
        <v>0</v>
      </c>
      <c r="I33" s="98"/>
      <c r="J33" s="16">
        <f t="shared" si="0"/>
        <v>4</v>
      </c>
    </row>
    <row r="34" spans="2:10" ht="15" thickBot="1" x14ac:dyDescent="0.35">
      <c r="B34" s="32" t="s">
        <v>2517</v>
      </c>
      <c r="C34" s="153">
        <v>0</v>
      </c>
      <c r="D34" s="153">
        <v>13</v>
      </c>
      <c r="E34" s="153">
        <v>0</v>
      </c>
      <c r="F34" s="153">
        <v>0</v>
      </c>
      <c r="G34" s="153">
        <v>0</v>
      </c>
      <c r="H34" s="153">
        <v>0</v>
      </c>
      <c r="I34" s="98" t="s">
        <v>3755</v>
      </c>
      <c r="J34" s="16">
        <f t="shared" si="0"/>
        <v>13</v>
      </c>
    </row>
    <row r="35" spans="2:10" ht="16.2" thickBot="1" x14ac:dyDescent="0.35">
      <c r="B35" s="147" t="s">
        <v>2636</v>
      </c>
      <c r="C35" s="134">
        <f>SUM(C29:C34)</f>
        <v>0</v>
      </c>
      <c r="D35" s="134">
        <f t="shared" ref="D35:H35" si="3">SUM(D29:D34)</f>
        <v>13</v>
      </c>
      <c r="E35" s="134">
        <f t="shared" si="3"/>
        <v>10</v>
      </c>
      <c r="F35" s="134">
        <f t="shared" si="3"/>
        <v>19</v>
      </c>
      <c r="G35" s="134">
        <f t="shared" si="3"/>
        <v>0</v>
      </c>
      <c r="H35" s="134">
        <f t="shared" si="3"/>
        <v>0</v>
      </c>
      <c r="I35" s="148">
        <f>SUM(C35:H35)</f>
        <v>42</v>
      </c>
    </row>
    <row r="36" spans="2:10" ht="16.2" thickBot="1" x14ac:dyDescent="0.35">
      <c r="B36" s="125" t="s">
        <v>148</v>
      </c>
      <c r="C36" s="537">
        <f>C35+D35+C28+D28+C21+D21</f>
        <v>42</v>
      </c>
      <c r="D36" s="538"/>
      <c r="E36" s="537">
        <f>E35+F35+E28+F28+E21+F21</f>
        <v>92</v>
      </c>
      <c r="F36" s="538"/>
      <c r="G36" s="537">
        <f t="shared" ref="G36" si="4">G35+H35+G28+H28+G21+H21</f>
        <v>57</v>
      </c>
      <c r="H36" s="538"/>
      <c r="I36" s="126">
        <f>SUM(C36:H36)</f>
        <v>191</v>
      </c>
      <c r="J36" s="16">
        <f>I35+I28+I21</f>
        <v>191</v>
      </c>
    </row>
    <row r="37" spans="2:10" x14ac:dyDescent="0.3">
      <c r="B37" s="38"/>
    </row>
    <row r="38" spans="2:10" ht="15" thickBot="1" x14ac:dyDescent="0.35"/>
    <row r="39" spans="2:10" ht="20.100000000000001" customHeight="1" thickBot="1" x14ac:dyDescent="0.35">
      <c r="B39" s="541" t="s">
        <v>15</v>
      </c>
      <c r="C39" s="543" t="s">
        <v>24</v>
      </c>
      <c r="D39" s="544"/>
      <c r="E39" s="545"/>
      <c r="F39" s="544" t="s">
        <v>25</v>
      </c>
      <c r="G39" s="544"/>
      <c r="H39" s="544"/>
      <c r="I39" s="539" t="s">
        <v>22</v>
      </c>
    </row>
    <row r="40" spans="2:10" ht="15.6" customHeight="1" thickBot="1" x14ac:dyDescent="0.35">
      <c r="B40" s="542"/>
      <c r="C40" s="21" t="s">
        <v>19</v>
      </c>
      <c r="D40" s="43" t="s">
        <v>20</v>
      </c>
      <c r="E40" s="21" t="s">
        <v>21</v>
      </c>
      <c r="F40" s="45" t="s">
        <v>27</v>
      </c>
      <c r="G40" s="21" t="s">
        <v>28</v>
      </c>
      <c r="H40" s="43" t="s">
        <v>29</v>
      </c>
      <c r="I40" s="540"/>
    </row>
    <row r="41" spans="2:10" ht="15" thickBot="1" x14ac:dyDescent="0.35">
      <c r="B41" s="30" t="s">
        <v>90</v>
      </c>
      <c r="C41" s="27">
        <v>0</v>
      </c>
      <c r="D41" s="27">
        <v>0</v>
      </c>
      <c r="E41" s="27">
        <v>2</v>
      </c>
      <c r="F41" s="27">
        <v>4</v>
      </c>
      <c r="G41" s="27">
        <v>0</v>
      </c>
      <c r="H41" s="27">
        <v>0</v>
      </c>
      <c r="I41" s="155"/>
      <c r="J41" s="16">
        <f t="shared" ref="J41:J68" si="5">SUM(C41:H41)</f>
        <v>6</v>
      </c>
    </row>
    <row r="42" spans="2:10" ht="15" thickBot="1" x14ac:dyDescent="0.35">
      <c r="B42" s="31" t="s">
        <v>91</v>
      </c>
      <c r="C42" s="27">
        <v>5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156"/>
      <c r="J42" s="16">
        <f t="shared" si="5"/>
        <v>5</v>
      </c>
    </row>
    <row r="43" spans="2:10" ht="15" thickBot="1" x14ac:dyDescent="0.35">
      <c r="B43" s="31" t="s">
        <v>238</v>
      </c>
      <c r="C43" s="27">
        <v>0</v>
      </c>
      <c r="D43" s="27">
        <v>0</v>
      </c>
      <c r="E43" s="27">
        <v>0</v>
      </c>
      <c r="F43" s="27">
        <v>2</v>
      </c>
      <c r="G43" s="27">
        <v>0</v>
      </c>
      <c r="H43" s="27">
        <v>0</v>
      </c>
      <c r="I43" s="156"/>
      <c r="J43" s="16">
        <f t="shared" si="5"/>
        <v>2</v>
      </c>
    </row>
    <row r="44" spans="2:10" ht="15" thickBot="1" x14ac:dyDescent="0.35">
      <c r="B44" s="31" t="s">
        <v>92</v>
      </c>
      <c r="C44" s="27">
        <v>1</v>
      </c>
      <c r="D44" s="27">
        <v>2</v>
      </c>
      <c r="E44" s="27">
        <v>2</v>
      </c>
      <c r="F44" s="27">
        <v>4</v>
      </c>
      <c r="G44" s="27">
        <v>0</v>
      </c>
      <c r="H44" s="27">
        <v>0</v>
      </c>
      <c r="I44" s="156"/>
      <c r="J44" s="16">
        <f t="shared" si="5"/>
        <v>9</v>
      </c>
    </row>
    <row r="45" spans="2:10" ht="15" thickBot="1" x14ac:dyDescent="0.35">
      <c r="B45" s="31" t="s">
        <v>93</v>
      </c>
      <c r="C45" s="27">
        <v>0</v>
      </c>
      <c r="D45" s="27">
        <v>1</v>
      </c>
      <c r="E45" s="27">
        <v>0</v>
      </c>
      <c r="F45" s="27">
        <v>1</v>
      </c>
      <c r="G45" s="27">
        <v>1</v>
      </c>
      <c r="H45" s="27">
        <v>0</v>
      </c>
      <c r="I45" s="156"/>
      <c r="J45" s="16">
        <f t="shared" si="5"/>
        <v>3</v>
      </c>
    </row>
    <row r="46" spans="2:10" ht="15" thickBot="1" x14ac:dyDescent="0.35">
      <c r="B46" s="31" t="s">
        <v>94</v>
      </c>
      <c r="C46" s="27">
        <v>1</v>
      </c>
      <c r="D46" s="27">
        <v>0</v>
      </c>
      <c r="E46" s="27">
        <v>2</v>
      </c>
      <c r="F46" s="27">
        <v>19</v>
      </c>
      <c r="G46" s="27">
        <v>0</v>
      </c>
      <c r="H46" s="27">
        <v>0</v>
      </c>
      <c r="I46" s="156"/>
      <c r="J46" s="16">
        <f t="shared" si="5"/>
        <v>22</v>
      </c>
    </row>
    <row r="47" spans="2:10" ht="15" thickBot="1" x14ac:dyDescent="0.35">
      <c r="B47" s="31" t="s">
        <v>95</v>
      </c>
      <c r="C47" s="27">
        <v>1</v>
      </c>
      <c r="D47" s="27">
        <v>1</v>
      </c>
      <c r="E47" s="27">
        <v>0</v>
      </c>
      <c r="F47" s="27">
        <v>4</v>
      </c>
      <c r="G47" s="27">
        <v>1</v>
      </c>
      <c r="H47" s="27">
        <v>0</v>
      </c>
      <c r="I47" s="156"/>
      <c r="J47" s="16">
        <f t="shared" si="5"/>
        <v>7</v>
      </c>
    </row>
    <row r="48" spans="2:10" ht="15" thickBot="1" x14ac:dyDescent="0.35">
      <c r="B48" s="31" t="s">
        <v>96</v>
      </c>
      <c r="C48" s="27">
        <v>0</v>
      </c>
      <c r="D48" s="27">
        <v>0</v>
      </c>
      <c r="E48" s="27">
        <v>0</v>
      </c>
      <c r="F48" s="27">
        <v>1</v>
      </c>
      <c r="G48" s="27">
        <v>0</v>
      </c>
      <c r="H48" s="27">
        <v>0</v>
      </c>
      <c r="I48" s="156"/>
      <c r="J48" s="16">
        <f t="shared" si="5"/>
        <v>1</v>
      </c>
    </row>
    <row r="49" spans="2:10" ht="15" thickBot="1" x14ac:dyDescent="0.35">
      <c r="B49" s="31" t="s">
        <v>97</v>
      </c>
      <c r="C49" s="27">
        <v>0</v>
      </c>
      <c r="D49" s="27">
        <v>0</v>
      </c>
      <c r="E49" s="27">
        <v>0</v>
      </c>
      <c r="F49" s="27">
        <v>0</v>
      </c>
      <c r="G49" s="27">
        <v>0</v>
      </c>
      <c r="H49" s="27">
        <v>0</v>
      </c>
      <c r="I49" s="156"/>
      <c r="J49" s="16">
        <f t="shared" si="5"/>
        <v>0</v>
      </c>
    </row>
    <row r="50" spans="2:10" ht="15" thickBot="1" x14ac:dyDescent="0.35">
      <c r="B50" s="31" t="s">
        <v>105</v>
      </c>
      <c r="C50" s="27">
        <v>1</v>
      </c>
      <c r="D50" s="27">
        <v>0</v>
      </c>
      <c r="E50" s="27">
        <v>1</v>
      </c>
      <c r="F50" s="27">
        <v>0</v>
      </c>
      <c r="G50" s="27">
        <v>0</v>
      </c>
      <c r="H50" s="27">
        <v>0</v>
      </c>
      <c r="I50" s="156"/>
      <c r="J50" s="16">
        <f t="shared" si="5"/>
        <v>2</v>
      </c>
    </row>
    <row r="51" spans="2:10" ht="15" thickBot="1" x14ac:dyDescent="0.35">
      <c r="B51" s="31" t="s">
        <v>237</v>
      </c>
      <c r="C51" s="27">
        <v>1</v>
      </c>
      <c r="D51" s="27">
        <v>3</v>
      </c>
      <c r="E51" s="27">
        <v>2</v>
      </c>
      <c r="F51" s="27">
        <v>3</v>
      </c>
      <c r="G51" s="27">
        <v>0</v>
      </c>
      <c r="H51" s="27">
        <v>0</v>
      </c>
      <c r="I51" s="156"/>
      <c r="J51" s="16">
        <f t="shared" si="5"/>
        <v>9</v>
      </c>
    </row>
    <row r="52" spans="2:10" ht="15" thickBot="1" x14ac:dyDescent="0.35">
      <c r="B52" s="31" t="s">
        <v>99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156"/>
      <c r="J52" s="16">
        <f t="shared" si="5"/>
        <v>0</v>
      </c>
    </row>
    <row r="53" spans="2:10" ht="15" thickBot="1" x14ac:dyDescent="0.35">
      <c r="B53" s="31" t="s">
        <v>236</v>
      </c>
      <c r="C53" s="27">
        <v>1</v>
      </c>
      <c r="D53" s="27">
        <v>0</v>
      </c>
      <c r="E53" s="27">
        <v>3</v>
      </c>
      <c r="F53" s="27">
        <v>7</v>
      </c>
      <c r="G53" s="27">
        <v>1</v>
      </c>
      <c r="H53" s="27">
        <v>0</v>
      </c>
      <c r="I53" s="156"/>
      <c r="J53" s="16">
        <f t="shared" si="5"/>
        <v>12</v>
      </c>
    </row>
    <row r="54" spans="2:10" ht="15" thickBot="1" x14ac:dyDescent="0.35">
      <c r="B54" s="31" t="s">
        <v>102</v>
      </c>
      <c r="C54" s="27">
        <v>0</v>
      </c>
      <c r="D54" s="27">
        <v>2</v>
      </c>
      <c r="E54" s="27">
        <v>0</v>
      </c>
      <c r="F54" s="27">
        <v>0</v>
      </c>
      <c r="G54" s="27">
        <v>0</v>
      </c>
      <c r="H54" s="27">
        <v>0</v>
      </c>
      <c r="I54" s="156"/>
      <c r="J54" s="16">
        <f t="shared" si="5"/>
        <v>2</v>
      </c>
    </row>
    <row r="55" spans="2:10" ht="15" thickBot="1" x14ac:dyDescent="0.35">
      <c r="B55" s="44" t="s">
        <v>169</v>
      </c>
      <c r="C55" s="27">
        <v>1</v>
      </c>
      <c r="D55" s="27">
        <v>1</v>
      </c>
      <c r="E55" s="27">
        <v>0</v>
      </c>
      <c r="F55" s="27">
        <v>9</v>
      </c>
      <c r="G55" s="27">
        <v>2</v>
      </c>
      <c r="H55" s="27">
        <v>0</v>
      </c>
      <c r="I55" s="157"/>
      <c r="J55" s="16">
        <f t="shared" si="5"/>
        <v>13</v>
      </c>
    </row>
    <row r="56" spans="2:10" ht="16.2" thickBot="1" x14ac:dyDescent="0.35">
      <c r="B56" s="125" t="s">
        <v>2634</v>
      </c>
      <c r="C56" s="245">
        <f>SUM(C41:C55)</f>
        <v>12</v>
      </c>
      <c r="D56" s="245">
        <f t="shared" ref="D56" si="6">SUM(D41:D55)</f>
        <v>10</v>
      </c>
      <c r="E56" s="245">
        <f t="shared" ref="E56" si="7">SUM(E41:E55)</f>
        <v>12</v>
      </c>
      <c r="F56" s="245">
        <f t="shared" ref="F56" si="8">SUM(F41:F55)</f>
        <v>54</v>
      </c>
      <c r="G56" s="245">
        <f t="shared" ref="G56" si="9">SUM(G41:G55)</f>
        <v>5</v>
      </c>
      <c r="H56" s="245">
        <f t="shared" ref="H56" si="10">SUM(H41:H55)</f>
        <v>0</v>
      </c>
      <c r="I56" s="126">
        <f>SUM(C56:H56)</f>
        <v>93</v>
      </c>
    </row>
    <row r="57" spans="2:10" ht="28.8" x14ac:dyDescent="0.3">
      <c r="B57" s="39" t="s">
        <v>116</v>
      </c>
      <c r="C57" s="28">
        <v>0</v>
      </c>
      <c r="D57" s="28">
        <v>0</v>
      </c>
      <c r="E57" s="28">
        <v>0</v>
      </c>
      <c r="F57" s="146">
        <v>0</v>
      </c>
      <c r="G57" s="18">
        <v>0</v>
      </c>
      <c r="H57" s="40">
        <v>0</v>
      </c>
      <c r="I57" s="155"/>
      <c r="J57" s="16">
        <f t="shared" si="5"/>
        <v>0</v>
      </c>
    </row>
    <row r="58" spans="2:10" ht="28.8" x14ac:dyDescent="0.3">
      <c r="B58" s="33" t="s">
        <v>115</v>
      </c>
      <c r="C58" s="28">
        <v>1</v>
      </c>
      <c r="D58" s="28">
        <v>0</v>
      </c>
      <c r="E58" s="28">
        <v>0</v>
      </c>
      <c r="F58" s="151">
        <v>0</v>
      </c>
      <c r="G58" s="149">
        <v>0</v>
      </c>
      <c r="H58" s="41">
        <v>0</v>
      </c>
      <c r="I58" s="156"/>
      <c r="J58" s="16">
        <f t="shared" si="5"/>
        <v>1</v>
      </c>
    </row>
    <row r="59" spans="2:10" x14ac:dyDescent="0.3">
      <c r="B59" s="31" t="s">
        <v>107</v>
      </c>
      <c r="C59" s="28">
        <v>1</v>
      </c>
      <c r="D59" s="28">
        <v>2</v>
      </c>
      <c r="E59" s="28">
        <v>0</v>
      </c>
      <c r="F59" s="151">
        <v>0</v>
      </c>
      <c r="G59" s="149">
        <v>0</v>
      </c>
      <c r="H59" s="41">
        <v>0</v>
      </c>
      <c r="I59" s="156"/>
      <c r="J59" s="16">
        <f t="shared" si="5"/>
        <v>3</v>
      </c>
    </row>
    <row r="60" spans="2:10" x14ac:dyDescent="0.3">
      <c r="B60" s="31" t="s">
        <v>124</v>
      </c>
      <c r="C60" s="28">
        <v>2</v>
      </c>
      <c r="D60" s="28">
        <v>3</v>
      </c>
      <c r="E60" s="28">
        <v>1</v>
      </c>
      <c r="F60" s="151">
        <v>0</v>
      </c>
      <c r="G60" s="149">
        <v>0</v>
      </c>
      <c r="H60" s="41">
        <v>0</v>
      </c>
      <c r="I60" s="156"/>
      <c r="J60" s="16">
        <f t="shared" si="5"/>
        <v>6</v>
      </c>
    </row>
    <row r="61" spans="2:10" ht="15" thickBot="1" x14ac:dyDescent="0.35">
      <c r="B61" s="44" t="s">
        <v>108</v>
      </c>
      <c r="C61" s="28">
        <v>2</v>
      </c>
      <c r="D61" s="28">
        <v>1</v>
      </c>
      <c r="E61" s="28">
        <v>0</v>
      </c>
      <c r="F61" s="162">
        <v>0</v>
      </c>
      <c r="G61" s="160">
        <v>0</v>
      </c>
      <c r="H61" s="161">
        <v>0</v>
      </c>
      <c r="I61" s="158"/>
      <c r="J61" s="16">
        <f t="shared" si="5"/>
        <v>3</v>
      </c>
    </row>
    <row r="62" spans="2:10" ht="16.2" thickBot="1" x14ac:dyDescent="0.35">
      <c r="B62" s="125" t="s">
        <v>2635</v>
      </c>
      <c r="C62" s="245">
        <f t="shared" ref="C62:D62" si="11">SUM(C57:C61)</f>
        <v>6</v>
      </c>
      <c r="D62" s="245">
        <f t="shared" si="11"/>
        <v>6</v>
      </c>
      <c r="E62" s="245">
        <f>SUM(E57:E61)</f>
        <v>1</v>
      </c>
      <c r="F62" s="245">
        <f>SUM(F57:F61)</f>
        <v>0</v>
      </c>
      <c r="G62" s="245">
        <f t="shared" ref="G62:H62" si="12">SUM(G57:G61)</f>
        <v>0</v>
      </c>
      <c r="H62" s="245">
        <f t="shared" si="12"/>
        <v>0</v>
      </c>
      <c r="I62" s="126">
        <f>SUM(C62:H62)</f>
        <v>13</v>
      </c>
    </row>
    <row r="63" spans="2:10" ht="15" thickBot="1" x14ac:dyDescent="0.35">
      <c r="B63" s="30" t="s">
        <v>111</v>
      </c>
      <c r="C63" s="27">
        <v>1</v>
      </c>
      <c r="D63" s="27">
        <v>0</v>
      </c>
      <c r="E63" s="27">
        <v>0</v>
      </c>
      <c r="F63" s="27">
        <v>0</v>
      </c>
      <c r="G63" s="18">
        <v>0</v>
      </c>
      <c r="H63" s="40">
        <v>0</v>
      </c>
      <c r="I63" s="163"/>
      <c r="J63" s="16">
        <f t="shared" si="5"/>
        <v>1</v>
      </c>
    </row>
    <row r="64" spans="2:10" ht="15" thickBot="1" x14ac:dyDescent="0.35">
      <c r="B64" s="31" t="s">
        <v>2516</v>
      </c>
      <c r="C64" s="27">
        <v>0</v>
      </c>
      <c r="D64" s="27">
        <v>1</v>
      </c>
      <c r="E64" s="27">
        <v>2</v>
      </c>
      <c r="F64" s="28">
        <v>0</v>
      </c>
      <c r="G64" s="149">
        <v>0</v>
      </c>
      <c r="H64" s="41">
        <v>0</v>
      </c>
      <c r="I64" s="156"/>
      <c r="J64" s="16">
        <f t="shared" si="5"/>
        <v>3</v>
      </c>
    </row>
    <row r="65" spans="2:10" ht="15" thickBot="1" x14ac:dyDescent="0.35">
      <c r="B65" s="31" t="s">
        <v>114</v>
      </c>
      <c r="C65" s="27">
        <v>0</v>
      </c>
      <c r="D65" s="27">
        <v>5</v>
      </c>
      <c r="E65" s="27">
        <v>3</v>
      </c>
      <c r="F65" s="28">
        <v>0</v>
      </c>
      <c r="G65" s="149">
        <v>0</v>
      </c>
      <c r="H65" s="41">
        <v>0</v>
      </c>
      <c r="I65" s="156"/>
      <c r="J65" s="16">
        <f t="shared" si="5"/>
        <v>8</v>
      </c>
    </row>
    <row r="66" spans="2:10" ht="15" thickBot="1" x14ac:dyDescent="0.35">
      <c r="B66" s="31" t="s">
        <v>112</v>
      </c>
      <c r="C66" s="27">
        <v>1</v>
      </c>
      <c r="D66" s="27">
        <v>0</v>
      </c>
      <c r="E66" s="27">
        <v>3</v>
      </c>
      <c r="F66" s="28">
        <v>0</v>
      </c>
      <c r="G66" s="149">
        <v>0</v>
      </c>
      <c r="H66" s="41">
        <v>0</v>
      </c>
      <c r="I66" s="156"/>
      <c r="J66" s="16">
        <f t="shared" si="5"/>
        <v>4</v>
      </c>
    </row>
    <row r="67" spans="2:10" ht="15" thickBot="1" x14ac:dyDescent="0.35">
      <c r="B67" s="31" t="s">
        <v>113</v>
      </c>
      <c r="C67" s="27">
        <v>2</v>
      </c>
      <c r="D67" s="27">
        <v>2</v>
      </c>
      <c r="E67" s="27">
        <v>0</v>
      </c>
      <c r="F67" s="28">
        <v>0</v>
      </c>
      <c r="G67" s="149">
        <v>0</v>
      </c>
      <c r="H67" s="41">
        <v>0</v>
      </c>
      <c r="I67" s="156"/>
      <c r="J67" s="16">
        <f t="shared" si="5"/>
        <v>4</v>
      </c>
    </row>
    <row r="68" spans="2:10" ht="15" thickBot="1" x14ac:dyDescent="0.35">
      <c r="B68" s="32" t="s">
        <v>2517</v>
      </c>
      <c r="C68" s="27">
        <v>0</v>
      </c>
      <c r="D68" s="27">
        <v>0</v>
      </c>
      <c r="E68" s="27">
        <v>0</v>
      </c>
      <c r="F68" s="29">
        <v>0</v>
      </c>
      <c r="G68" s="150">
        <v>0</v>
      </c>
      <c r="H68" s="42">
        <v>0</v>
      </c>
      <c r="I68" s="158"/>
      <c r="J68" s="16">
        <f t="shared" si="5"/>
        <v>0</v>
      </c>
    </row>
    <row r="69" spans="2:10" ht="16.2" thickBot="1" x14ac:dyDescent="0.35">
      <c r="B69" s="147" t="s">
        <v>2636</v>
      </c>
      <c r="C69" s="134">
        <f>SUM(C63:C68)</f>
        <v>4</v>
      </c>
      <c r="D69" s="134">
        <f t="shared" ref="D69" si="13">SUM(D63:D68)</f>
        <v>8</v>
      </c>
      <c r="E69" s="134">
        <f t="shared" ref="E69" si="14">SUM(E63:E68)</f>
        <v>8</v>
      </c>
      <c r="F69" s="134">
        <f t="shared" ref="F69" si="15">SUM(F63:F68)</f>
        <v>0</v>
      </c>
      <c r="G69" s="134">
        <f t="shared" ref="G69" si="16">SUM(G63:G68)</f>
        <v>0</v>
      </c>
      <c r="H69" s="134">
        <f t="shared" ref="H69" si="17">SUM(H63:H68)</f>
        <v>0</v>
      </c>
      <c r="I69" s="148">
        <f>SUM(C69:H69)</f>
        <v>20</v>
      </c>
    </row>
    <row r="70" spans="2:10" ht="16.2" thickBot="1" x14ac:dyDescent="0.35">
      <c r="B70" s="125" t="s">
        <v>148</v>
      </c>
      <c r="C70" s="537">
        <f>C69+D69+C62+D62+C56+D56</f>
        <v>46</v>
      </c>
      <c r="D70" s="538"/>
      <c r="E70" s="537">
        <f t="shared" ref="E70" si="18">E69+F69+E62+F62+E56+F56</f>
        <v>75</v>
      </c>
      <c r="F70" s="538"/>
      <c r="G70" s="537">
        <f t="shared" ref="G70" si="19">G69+H69+G62+H62+G56+H56</f>
        <v>5</v>
      </c>
      <c r="H70" s="538"/>
      <c r="I70" s="126">
        <f>SUM(C70:H70)</f>
        <v>126</v>
      </c>
    </row>
  </sheetData>
  <mergeCells count="16">
    <mergeCell ref="I4:I5"/>
    <mergeCell ref="I39:I40"/>
    <mergeCell ref="F39:H39"/>
    <mergeCell ref="C3:I3"/>
    <mergeCell ref="G36:H36"/>
    <mergeCell ref="G4:H4"/>
    <mergeCell ref="C70:D70"/>
    <mergeCell ref="E70:F70"/>
    <mergeCell ref="G70:H70"/>
    <mergeCell ref="B4:B5"/>
    <mergeCell ref="B39:B40"/>
    <mergeCell ref="C39:E39"/>
    <mergeCell ref="C4:D4"/>
    <mergeCell ref="E4:F4"/>
    <mergeCell ref="C36:D36"/>
    <mergeCell ref="E36:F36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topLeftCell="A15" workbookViewId="0">
      <selection sqref="A1:XFD1048576"/>
    </sheetView>
  </sheetViews>
  <sheetFormatPr baseColWidth="10" defaultRowHeight="14.4" x14ac:dyDescent="0.3"/>
  <cols>
    <col min="1" max="1" width="20.33203125" customWidth="1"/>
    <col min="2" max="2" width="11.77734375" customWidth="1"/>
    <col min="3" max="3" width="15.77734375" style="16" customWidth="1"/>
    <col min="4" max="5" width="10.44140625" customWidth="1"/>
    <col min="6" max="6" width="14.21875" customWidth="1"/>
  </cols>
  <sheetData>
    <row r="1" spans="1:6" ht="15" thickBot="1" x14ac:dyDescent="0.35"/>
    <row r="2" spans="1:6" ht="23.1" customHeight="1" thickBot="1" x14ac:dyDescent="0.35">
      <c r="A2" s="539" t="s">
        <v>15</v>
      </c>
      <c r="B2" s="543" t="s">
        <v>24</v>
      </c>
      <c r="C2" s="544"/>
      <c r="D2" s="544"/>
      <c r="E2" s="544"/>
      <c r="F2" s="545"/>
    </row>
    <row r="3" spans="1:6" ht="29.4" thickBot="1" x14ac:dyDescent="0.35">
      <c r="A3" s="540"/>
      <c r="B3" s="19" t="s">
        <v>31</v>
      </c>
      <c r="C3" s="20" t="s">
        <v>30</v>
      </c>
      <c r="D3" s="21" t="s">
        <v>32</v>
      </c>
      <c r="E3" s="1" t="s">
        <v>33</v>
      </c>
      <c r="F3" s="2" t="s">
        <v>34</v>
      </c>
    </row>
    <row r="4" spans="1:6" ht="28.8" x14ac:dyDescent="0.3">
      <c r="A4" s="30" t="s">
        <v>91</v>
      </c>
      <c r="B4" s="98">
        <v>5</v>
      </c>
      <c r="C4" s="174" t="s">
        <v>3821</v>
      </c>
      <c r="D4" s="119"/>
      <c r="E4" s="175"/>
      <c r="F4" s="178"/>
    </row>
    <row r="5" spans="1:6" s="17" customFormat="1" x14ac:dyDescent="0.3">
      <c r="A5" s="31" t="s">
        <v>90</v>
      </c>
      <c r="B5" s="98">
        <v>2</v>
      </c>
      <c r="C5" s="174" t="s">
        <v>3820</v>
      </c>
      <c r="D5" s="98"/>
      <c r="E5" s="181"/>
      <c r="F5" s="182"/>
    </row>
    <row r="6" spans="1:6" s="17" customFormat="1" x14ac:dyDescent="0.3">
      <c r="A6" s="31" t="s">
        <v>167</v>
      </c>
      <c r="B6" s="98">
        <v>0</v>
      </c>
      <c r="C6" s="174"/>
      <c r="D6" s="98"/>
      <c r="E6" s="181"/>
      <c r="F6" s="182"/>
    </row>
    <row r="7" spans="1:6" s="17" customFormat="1" ht="43.2" x14ac:dyDescent="0.3">
      <c r="A7" s="31" t="s">
        <v>92</v>
      </c>
      <c r="B7" s="98">
        <v>5</v>
      </c>
      <c r="C7" s="174" t="s">
        <v>3822</v>
      </c>
      <c r="D7" s="98"/>
      <c r="E7" s="181"/>
      <c r="F7" s="183"/>
    </row>
    <row r="8" spans="1:6" x14ac:dyDescent="0.3">
      <c r="A8" s="170" t="s">
        <v>93</v>
      </c>
      <c r="B8" s="98">
        <v>1</v>
      </c>
      <c r="C8" s="174" t="s">
        <v>3823</v>
      </c>
      <c r="D8" s="98"/>
      <c r="E8" s="176"/>
      <c r="F8" s="179"/>
    </row>
    <row r="9" spans="1:6" s="17" customFormat="1" ht="28.8" x14ac:dyDescent="0.3">
      <c r="A9" s="31" t="s">
        <v>94</v>
      </c>
      <c r="B9" s="98">
        <v>7</v>
      </c>
      <c r="C9" s="174" t="s">
        <v>3824</v>
      </c>
      <c r="D9" s="98"/>
      <c r="E9" s="181"/>
      <c r="F9" s="183"/>
    </row>
    <row r="10" spans="1:6" ht="28.8" x14ac:dyDescent="0.3">
      <c r="A10" s="170" t="s">
        <v>95</v>
      </c>
      <c r="B10" s="98">
        <v>0</v>
      </c>
      <c r="C10" s="174" t="s">
        <v>3756</v>
      </c>
      <c r="D10" s="98"/>
      <c r="E10" s="176"/>
      <c r="F10" s="179"/>
    </row>
    <row r="11" spans="1:6" x14ac:dyDescent="0.3">
      <c r="A11" s="170" t="s">
        <v>96</v>
      </c>
      <c r="B11" s="98">
        <v>0</v>
      </c>
      <c r="C11" s="174" t="s">
        <v>3424</v>
      </c>
      <c r="D11" s="98"/>
      <c r="E11" s="176"/>
      <c r="F11" s="179"/>
    </row>
    <row r="12" spans="1:6" x14ac:dyDescent="0.3">
      <c r="A12" s="170" t="s">
        <v>97</v>
      </c>
      <c r="B12" s="98">
        <v>0</v>
      </c>
      <c r="C12" s="174"/>
      <c r="D12" s="98"/>
      <c r="E12" s="176"/>
      <c r="F12" s="179"/>
    </row>
    <row r="13" spans="1:6" x14ac:dyDescent="0.3">
      <c r="A13" s="170" t="s">
        <v>120</v>
      </c>
      <c r="B13" s="98">
        <v>2</v>
      </c>
      <c r="C13" s="174" t="s">
        <v>3825</v>
      </c>
      <c r="D13" s="98"/>
      <c r="E13" s="181"/>
      <c r="F13" s="183"/>
    </row>
    <row r="14" spans="1:6" ht="28.8" x14ac:dyDescent="0.3">
      <c r="A14" s="170" t="s">
        <v>117</v>
      </c>
      <c r="B14" s="98">
        <v>6</v>
      </c>
      <c r="C14" s="174" t="s">
        <v>3826</v>
      </c>
      <c r="D14" s="98"/>
      <c r="E14" s="181"/>
      <c r="F14" s="183"/>
    </row>
    <row r="15" spans="1:6" x14ac:dyDescent="0.3">
      <c r="A15" s="170" t="s">
        <v>99</v>
      </c>
      <c r="B15" s="98">
        <v>0</v>
      </c>
      <c r="C15" s="174"/>
      <c r="D15" s="98"/>
      <c r="E15" s="176"/>
      <c r="F15" s="179"/>
    </row>
    <row r="16" spans="1:6" ht="28.8" x14ac:dyDescent="0.3">
      <c r="A16" s="170" t="s">
        <v>100</v>
      </c>
      <c r="B16" s="98">
        <v>5</v>
      </c>
      <c r="C16" s="174" t="s">
        <v>3827</v>
      </c>
      <c r="D16" s="98"/>
      <c r="E16" s="181"/>
      <c r="F16" s="183"/>
    </row>
    <row r="17" spans="1:6" ht="28.8" x14ac:dyDescent="0.3">
      <c r="A17" s="170" t="s">
        <v>102</v>
      </c>
      <c r="B17" s="98">
        <v>2</v>
      </c>
      <c r="C17" s="174" t="s">
        <v>3828</v>
      </c>
      <c r="D17" s="98"/>
      <c r="E17" s="176"/>
      <c r="F17" s="179"/>
    </row>
    <row r="18" spans="1:6" ht="29.4" thickBot="1" x14ac:dyDescent="0.35">
      <c r="A18" s="294" t="s">
        <v>103</v>
      </c>
      <c r="B18" s="98">
        <v>3</v>
      </c>
      <c r="C18" s="174" t="s">
        <v>3829</v>
      </c>
      <c r="D18" s="221"/>
      <c r="E18" s="246"/>
      <c r="F18" s="247"/>
    </row>
    <row r="19" spans="1:6" ht="28.8" x14ac:dyDescent="0.3">
      <c r="A19" s="39" t="s">
        <v>116</v>
      </c>
      <c r="B19" s="98">
        <v>2</v>
      </c>
      <c r="C19" s="250" t="s">
        <v>3831</v>
      </c>
      <c r="D19" s="119"/>
      <c r="E19" s="175"/>
      <c r="F19" s="178"/>
    </row>
    <row r="20" spans="1:6" ht="28.8" x14ac:dyDescent="0.3">
      <c r="A20" s="33" t="s">
        <v>115</v>
      </c>
      <c r="B20" s="98">
        <v>3</v>
      </c>
      <c r="C20" s="174" t="s">
        <v>3832</v>
      </c>
      <c r="D20" s="98"/>
      <c r="E20" s="176"/>
      <c r="F20" s="179"/>
    </row>
    <row r="21" spans="1:6" x14ac:dyDescent="0.3">
      <c r="A21" s="170" t="s">
        <v>108</v>
      </c>
      <c r="B21" s="98">
        <v>3</v>
      </c>
      <c r="C21" s="174" t="s">
        <v>3832</v>
      </c>
      <c r="D21" s="98"/>
      <c r="E21" s="176"/>
      <c r="F21" s="179"/>
    </row>
    <row r="22" spans="1:6" x14ac:dyDescent="0.3">
      <c r="A22" s="170" t="s">
        <v>107</v>
      </c>
      <c r="B22" s="98">
        <v>6</v>
      </c>
      <c r="C22" s="174" t="s">
        <v>3830</v>
      </c>
      <c r="D22" s="98"/>
      <c r="E22" s="176"/>
      <c r="F22" s="179"/>
    </row>
    <row r="23" spans="1:6" ht="15" thickBot="1" x14ac:dyDescent="0.35">
      <c r="A23" s="32" t="s">
        <v>124</v>
      </c>
      <c r="B23" s="98">
        <v>6</v>
      </c>
      <c r="C23" s="174" t="s">
        <v>3830</v>
      </c>
      <c r="D23" s="133"/>
      <c r="E23" s="177"/>
      <c r="F23" s="180"/>
    </row>
    <row r="24" spans="1:6" ht="15" thickBot="1" x14ac:dyDescent="0.35">
      <c r="A24" s="164" t="s">
        <v>2526</v>
      </c>
      <c r="B24" s="98">
        <v>0</v>
      </c>
      <c r="C24" s="250"/>
      <c r="D24" s="165"/>
      <c r="E24" s="248"/>
      <c r="F24" s="249"/>
    </row>
    <row r="25" spans="1:6" ht="15" thickBot="1" x14ac:dyDescent="0.35">
      <c r="A25" s="31" t="s">
        <v>145</v>
      </c>
      <c r="B25" s="98">
        <v>0</v>
      </c>
      <c r="C25" s="174" t="s">
        <v>3758</v>
      </c>
      <c r="D25" s="98"/>
      <c r="E25" s="224"/>
      <c r="F25" s="225"/>
    </row>
    <row r="26" spans="1:6" ht="15" thickBot="1" x14ac:dyDescent="0.35">
      <c r="A26" s="31" t="s">
        <v>146</v>
      </c>
      <c r="B26" s="98">
        <v>0</v>
      </c>
      <c r="C26" s="174" t="s">
        <v>3759</v>
      </c>
      <c r="D26" s="98"/>
      <c r="E26" s="177"/>
      <c r="F26" s="180"/>
    </row>
    <row r="27" spans="1:6" ht="29.4" thickBot="1" x14ac:dyDescent="0.35">
      <c r="A27" s="170" t="s">
        <v>147</v>
      </c>
      <c r="B27" s="98">
        <v>0</v>
      </c>
      <c r="C27" s="174" t="s">
        <v>3760</v>
      </c>
      <c r="D27" s="98"/>
      <c r="E27" s="177"/>
      <c r="F27" s="180"/>
    </row>
    <row r="28" spans="1:6" ht="15" thickBot="1" x14ac:dyDescent="0.35">
      <c r="A28" s="171" t="s">
        <v>113</v>
      </c>
      <c r="B28" s="98">
        <v>0</v>
      </c>
      <c r="C28" s="174" t="s">
        <v>3757</v>
      </c>
      <c r="D28" s="133"/>
      <c r="E28" s="177"/>
      <c r="F28" s="180"/>
    </row>
    <row r="29" spans="1:6" ht="15" thickBot="1" x14ac:dyDescent="0.35">
      <c r="A29" s="295" t="s">
        <v>148</v>
      </c>
      <c r="B29" s="166">
        <f>SUM(B4:B28)</f>
        <v>58</v>
      </c>
      <c r="C29" s="166"/>
      <c r="D29" s="226">
        <f t="shared" ref="D29" si="0">SUM(D5:D28)</f>
        <v>0</v>
      </c>
      <c r="E29" s="227"/>
      <c r="F29" s="228"/>
    </row>
    <row r="31" spans="1:6" ht="15" thickBot="1" x14ac:dyDescent="0.35"/>
    <row r="32" spans="1:6" ht="43.2" x14ac:dyDescent="0.3">
      <c r="C32" s="138" t="s">
        <v>3833</v>
      </c>
    </row>
  </sheetData>
  <mergeCells count="2">
    <mergeCell ref="A2:A3"/>
    <mergeCell ref="B2:F2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topLeftCell="A4" zoomScaleNormal="100" workbookViewId="0">
      <selection activeCell="E21" sqref="E21"/>
    </sheetView>
  </sheetViews>
  <sheetFormatPr baseColWidth="10" defaultRowHeight="14.4" x14ac:dyDescent="0.3"/>
  <cols>
    <col min="1" max="1" width="56.88671875" bestFit="1" customWidth="1"/>
    <col min="2" max="2" width="18.77734375" bestFit="1" customWidth="1"/>
    <col min="3" max="3" width="11.77734375" bestFit="1" customWidth="1"/>
    <col min="4" max="4" width="15.6640625" bestFit="1" customWidth="1"/>
    <col min="5" max="5" width="22.77734375" bestFit="1" customWidth="1"/>
    <col min="6" max="6" width="11.77734375" bestFit="1" customWidth="1"/>
    <col min="7" max="8" width="10.44140625" bestFit="1" customWidth="1"/>
    <col min="9" max="9" width="7.109375" customWidth="1"/>
    <col min="10" max="10" width="11.77734375" bestFit="1" customWidth="1"/>
    <col min="11" max="17" width="3.77734375" bestFit="1" customWidth="1"/>
    <col min="18" max="18" width="5.5546875" bestFit="1" customWidth="1"/>
    <col min="19" max="19" width="11.77734375" bestFit="1" customWidth="1"/>
    <col min="20" max="49" width="2.77734375" customWidth="1"/>
    <col min="50" max="65" width="3.77734375" customWidth="1"/>
    <col min="66" max="66" width="4.6640625" bestFit="1" customWidth="1"/>
    <col min="67" max="67" width="3.77734375" customWidth="1"/>
    <col min="68" max="68" width="7.5546875" bestFit="1" customWidth="1"/>
    <col min="69" max="69" width="4.6640625" bestFit="1" customWidth="1"/>
    <col min="70" max="70" width="7.5546875" bestFit="1" customWidth="1"/>
    <col min="71" max="71" width="4.6640625" bestFit="1" customWidth="1"/>
    <col min="72" max="72" width="7.5546875" bestFit="1" customWidth="1"/>
    <col min="73" max="73" width="4.6640625" bestFit="1" customWidth="1"/>
    <col min="74" max="74" width="7.5546875" bestFit="1" customWidth="1"/>
    <col min="75" max="75" width="4.6640625" bestFit="1" customWidth="1"/>
    <col min="76" max="76" width="7.5546875" bestFit="1" customWidth="1"/>
    <col min="77" max="77" width="4.6640625" bestFit="1" customWidth="1"/>
    <col min="78" max="78" width="3.77734375" bestFit="1" customWidth="1"/>
    <col min="79" max="80" width="3.77734375" customWidth="1"/>
    <col min="81" max="81" width="7.5546875" bestFit="1" customWidth="1"/>
    <col min="82" max="82" width="4.6640625" bestFit="1" customWidth="1"/>
    <col min="83" max="83" width="7.5546875" bestFit="1" customWidth="1"/>
    <col min="84" max="84" width="4.6640625" bestFit="1" customWidth="1"/>
    <col min="85" max="85" width="7.5546875" bestFit="1" customWidth="1"/>
    <col min="86" max="86" width="4.6640625" bestFit="1" customWidth="1"/>
    <col min="87" max="87" width="3.77734375" customWidth="1"/>
    <col min="88" max="88" width="7.5546875" bestFit="1" customWidth="1"/>
    <col min="89" max="89" width="4.6640625" bestFit="1" customWidth="1"/>
    <col min="90" max="92" width="3.77734375" customWidth="1"/>
    <col min="93" max="93" width="7.5546875" bestFit="1" customWidth="1"/>
    <col min="94" max="94" width="4.6640625" bestFit="1" customWidth="1"/>
    <col min="95" max="97" width="3.77734375" customWidth="1"/>
    <col min="98" max="98" width="7.5546875" bestFit="1" customWidth="1"/>
    <col min="99" max="99" width="4.6640625" bestFit="1" customWidth="1"/>
    <col min="100" max="101" width="3.77734375" customWidth="1"/>
    <col min="102" max="102" width="7.5546875" bestFit="1" customWidth="1"/>
    <col min="103" max="103" width="4.6640625" bestFit="1" customWidth="1"/>
    <col min="104" max="104" width="3.77734375" customWidth="1"/>
    <col min="105" max="105" width="7.5546875" bestFit="1" customWidth="1"/>
    <col min="106" max="106" width="4.6640625" bestFit="1" customWidth="1"/>
    <col min="107" max="107" width="3.77734375" customWidth="1"/>
    <col min="108" max="108" width="7.5546875" bestFit="1" customWidth="1"/>
    <col min="109" max="109" width="4.6640625" bestFit="1" customWidth="1"/>
    <col min="110" max="110" width="7.5546875" bestFit="1" customWidth="1"/>
    <col min="111" max="111" width="4.6640625" bestFit="1" customWidth="1"/>
    <col min="112" max="112" width="7.5546875" bestFit="1" customWidth="1"/>
    <col min="113" max="113" width="4.6640625" bestFit="1" customWidth="1"/>
    <col min="114" max="114" width="3.77734375" customWidth="1"/>
    <col min="115" max="115" width="7.5546875" bestFit="1" customWidth="1"/>
    <col min="116" max="116" width="4.6640625" bestFit="1" customWidth="1"/>
    <col min="117" max="117" width="7.5546875" bestFit="1" customWidth="1"/>
    <col min="118" max="118" width="4.6640625" bestFit="1" customWidth="1"/>
    <col min="119" max="119" width="7.5546875" bestFit="1" customWidth="1"/>
    <col min="120" max="120" width="4.6640625" bestFit="1" customWidth="1"/>
    <col min="121" max="121" width="7.5546875" bestFit="1" customWidth="1"/>
    <col min="122" max="122" width="4.6640625" bestFit="1" customWidth="1"/>
    <col min="123" max="123" width="7.5546875" bestFit="1" customWidth="1"/>
    <col min="124" max="124" width="4.6640625" bestFit="1" customWidth="1"/>
    <col min="125" max="125" width="3.77734375" customWidth="1"/>
    <col min="126" max="126" width="7.5546875" bestFit="1" customWidth="1"/>
    <col min="127" max="127" width="4.6640625" bestFit="1" customWidth="1"/>
    <col min="128" max="128" width="3.77734375" customWidth="1"/>
    <col min="129" max="129" width="7.5546875" bestFit="1" customWidth="1"/>
    <col min="130" max="130" width="4.6640625" bestFit="1" customWidth="1"/>
    <col min="131" max="132" width="3.77734375" customWidth="1"/>
    <col min="133" max="133" width="7.5546875" bestFit="1" customWidth="1"/>
    <col min="134" max="134" width="4.6640625" bestFit="1" customWidth="1"/>
    <col min="135" max="136" width="3.77734375" customWidth="1"/>
    <col min="137" max="137" width="7.5546875" bestFit="1" customWidth="1"/>
    <col min="138" max="138" width="4.6640625" bestFit="1" customWidth="1"/>
    <col min="139" max="139" width="3.77734375" customWidth="1"/>
    <col min="140" max="140" width="7.5546875" bestFit="1" customWidth="1"/>
    <col min="141" max="141" width="4.6640625" bestFit="1" customWidth="1"/>
    <col min="142" max="142" width="3.77734375" customWidth="1"/>
    <col min="143" max="143" width="7.5546875" bestFit="1" customWidth="1"/>
    <col min="144" max="144" width="4.6640625" bestFit="1" customWidth="1"/>
    <col min="145" max="145" width="7.5546875" bestFit="1" customWidth="1"/>
    <col min="146" max="146" width="4.6640625" bestFit="1" customWidth="1"/>
    <col min="147" max="147" width="7.5546875" bestFit="1" customWidth="1"/>
    <col min="148" max="148" width="4.6640625" bestFit="1" customWidth="1"/>
    <col min="149" max="149" width="7.5546875" bestFit="1" customWidth="1"/>
    <col min="150" max="150" width="4.6640625" bestFit="1" customWidth="1"/>
    <col min="151" max="151" width="7.5546875" bestFit="1" customWidth="1"/>
    <col min="152" max="152" width="4.6640625" bestFit="1" customWidth="1"/>
    <col min="153" max="153" width="7.5546875" bestFit="1" customWidth="1"/>
    <col min="154" max="154" width="4.6640625" bestFit="1" customWidth="1"/>
    <col min="155" max="155" width="7.5546875" bestFit="1" customWidth="1"/>
    <col min="156" max="156" width="4.6640625" bestFit="1" customWidth="1"/>
    <col min="157" max="157" width="7.5546875" bestFit="1" customWidth="1"/>
    <col min="158" max="158" width="4.6640625" bestFit="1" customWidth="1"/>
    <col min="159" max="159" width="7.5546875" bestFit="1" customWidth="1"/>
    <col min="160" max="160" width="4.6640625" bestFit="1" customWidth="1"/>
    <col min="161" max="161" width="7.5546875" bestFit="1" customWidth="1"/>
    <col min="162" max="162" width="4.6640625" bestFit="1" customWidth="1"/>
    <col min="163" max="163" width="7.5546875" bestFit="1" customWidth="1"/>
    <col min="164" max="164" width="4.6640625" bestFit="1" customWidth="1"/>
    <col min="165" max="165" width="3.77734375" customWidth="1"/>
    <col min="166" max="166" width="7.5546875" bestFit="1" customWidth="1"/>
    <col min="167" max="167" width="4.6640625" bestFit="1" customWidth="1"/>
    <col min="168" max="168" width="7.5546875" bestFit="1" customWidth="1"/>
    <col min="169" max="169" width="4.6640625" bestFit="1" customWidth="1"/>
    <col min="170" max="170" width="7.5546875" bestFit="1" customWidth="1"/>
    <col min="171" max="171" width="4.6640625" bestFit="1" customWidth="1"/>
    <col min="172" max="172" width="7.5546875" bestFit="1" customWidth="1"/>
    <col min="173" max="173" width="4.6640625" bestFit="1" customWidth="1"/>
    <col min="174" max="174" width="3.77734375" customWidth="1"/>
    <col min="175" max="175" width="7.5546875" bestFit="1" customWidth="1"/>
    <col min="176" max="176" width="4.6640625" bestFit="1" customWidth="1"/>
    <col min="177" max="177" width="7.5546875" bestFit="1" customWidth="1"/>
    <col min="178" max="178" width="4.6640625" bestFit="1" customWidth="1"/>
    <col min="179" max="179" width="7.5546875" bestFit="1" customWidth="1"/>
    <col min="180" max="180" width="4.6640625" bestFit="1" customWidth="1"/>
    <col min="181" max="181" width="3.77734375" customWidth="1"/>
    <col min="182" max="182" width="7.5546875" bestFit="1" customWidth="1"/>
    <col min="183" max="183" width="4.6640625" bestFit="1" customWidth="1"/>
    <col min="184" max="184" width="7.5546875" bestFit="1" customWidth="1"/>
    <col min="185" max="185" width="5.6640625" bestFit="1" customWidth="1"/>
    <col min="186" max="186" width="8.5546875" bestFit="1" customWidth="1"/>
    <col min="187" max="187" width="5.6640625" bestFit="1" customWidth="1"/>
    <col min="188" max="188" width="8.5546875" bestFit="1" customWidth="1"/>
    <col min="189" max="189" width="5.6640625" bestFit="1" customWidth="1"/>
    <col min="190" max="190" width="8.5546875" bestFit="1" customWidth="1"/>
    <col min="191" max="191" width="5.6640625" bestFit="1" customWidth="1"/>
    <col min="192" max="192" width="8.5546875" bestFit="1" customWidth="1"/>
    <col min="193" max="193" width="5.6640625" bestFit="1" customWidth="1"/>
    <col min="194" max="194" width="8.5546875" bestFit="1" customWidth="1"/>
    <col min="195" max="195" width="5.6640625" bestFit="1" customWidth="1"/>
    <col min="196" max="196" width="8.5546875" bestFit="1" customWidth="1"/>
    <col min="197" max="197" width="5.6640625" bestFit="1" customWidth="1"/>
    <col min="198" max="198" width="8.5546875" bestFit="1" customWidth="1"/>
    <col min="199" max="199" width="5.6640625" bestFit="1" customWidth="1"/>
    <col min="200" max="200" width="8.5546875" bestFit="1" customWidth="1"/>
    <col min="201" max="201" width="5.6640625" bestFit="1" customWidth="1"/>
    <col min="202" max="202" width="8.5546875" bestFit="1" customWidth="1"/>
    <col min="203" max="203" width="5.6640625" bestFit="1" customWidth="1"/>
    <col min="204" max="204" width="8.5546875" bestFit="1" customWidth="1"/>
    <col min="205" max="205" width="5.6640625" bestFit="1" customWidth="1"/>
    <col min="206" max="206" width="8.5546875" bestFit="1" customWidth="1"/>
    <col min="207" max="207" width="5.6640625" bestFit="1" customWidth="1"/>
    <col min="208" max="208" width="8.5546875" bestFit="1" customWidth="1"/>
    <col min="209" max="209" width="5.6640625" bestFit="1" customWidth="1"/>
    <col min="210" max="210" width="8.5546875" bestFit="1" customWidth="1"/>
    <col min="211" max="211" width="5.6640625" bestFit="1" customWidth="1"/>
    <col min="212" max="212" width="8.5546875" bestFit="1" customWidth="1"/>
    <col min="213" max="213" width="5.6640625" bestFit="1" customWidth="1"/>
    <col min="214" max="214" width="8.5546875" bestFit="1" customWidth="1"/>
    <col min="215" max="215" width="5.6640625" bestFit="1" customWidth="1"/>
    <col min="216" max="216" width="8.5546875" bestFit="1" customWidth="1"/>
    <col min="217" max="217" width="5.6640625" bestFit="1" customWidth="1"/>
    <col min="218" max="218" width="3.77734375" bestFit="1" customWidth="1"/>
    <col min="219" max="219" width="8.5546875" bestFit="1" customWidth="1"/>
    <col min="220" max="220" width="5.6640625" bestFit="1" customWidth="1"/>
    <col min="221" max="221" width="8.5546875" bestFit="1" customWidth="1"/>
    <col min="222" max="222" width="5.6640625" bestFit="1" customWidth="1"/>
    <col min="223" max="223" width="8.5546875" bestFit="1" customWidth="1"/>
    <col min="224" max="224" width="5.6640625" bestFit="1" customWidth="1"/>
    <col min="225" max="225" width="8.5546875" bestFit="1" customWidth="1"/>
    <col min="226" max="226" width="11.77734375" bestFit="1" customWidth="1"/>
    <col min="227" max="534" width="22.21875" bestFit="1" customWidth="1"/>
    <col min="535" max="535" width="11.77734375" bestFit="1" customWidth="1"/>
  </cols>
  <sheetData>
    <row r="1" spans="1:2" x14ac:dyDescent="0.3">
      <c r="A1" s="132" t="s">
        <v>65</v>
      </c>
      <c r="B1" t="s">
        <v>65</v>
      </c>
    </row>
    <row r="2" spans="1:2" x14ac:dyDescent="0.3">
      <c r="A2" s="132" t="s">
        <v>58</v>
      </c>
      <c r="B2" t="s">
        <v>2522</v>
      </c>
    </row>
    <row r="4" spans="1:2" x14ac:dyDescent="0.3">
      <c r="A4" s="132" t="s">
        <v>2520</v>
      </c>
      <c r="B4" t="s">
        <v>2523</v>
      </c>
    </row>
    <row r="5" spans="1:2" x14ac:dyDescent="0.3">
      <c r="A5" s="34" t="s">
        <v>211</v>
      </c>
      <c r="B5">
        <v>2</v>
      </c>
    </row>
    <row r="6" spans="1:2" x14ac:dyDescent="0.3">
      <c r="A6" s="34" t="s">
        <v>214</v>
      </c>
      <c r="B6">
        <v>1</v>
      </c>
    </row>
    <row r="7" spans="1:2" x14ac:dyDescent="0.3">
      <c r="A7" s="34" t="s">
        <v>162</v>
      </c>
      <c r="B7">
        <v>1</v>
      </c>
    </row>
    <row r="8" spans="1:2" x14ac:dyDescent="0.3">
      <c r="A8" s="34" t="s">
        <v>134</v>
      </c>
      <c r="B8">
        <v>2</v>
      </c>
    </row>
    <row r="9" spans="1:2" x14ac:dyDescent="0.3">
      <c r="A9" s="34" t="s">
        <v>94</v>
      </c>
      <c r="B9">
        <v>3</v>
      </c>
    </row>
    <row r="10" spans="1:2" x14ac:dyDescent="0.3">
      <c r="A10" s="34" t="s">
        <v>95</v>
      </c>
      <c r="B10">
        <v>2</v>
      </c>
    </row>
    <row r="11" spans="1:2" x14ac:dyDescent="0.3">
      <c r="A11" s="34" t="s">
        <v>221</v>
      </c>
      <c r="B11">
        <v>2</v>
      </c>
    </row>
    <row r="12" spans="1:2" x14ac:dyDescent="0.3">
      <c r="A12" s="34" t="s">
        <v>217</v>
      </c>
      <c r="B12">
        <v>2</v>
      </c>
    </row>
    <row r="13" spans="1:2" x14ac:dyDescent="0.3">
      <c r="A13" s="34" t="s">
        <v>220</v>
      </c>
      <c r="B13">
        <v>1</v>
      </c>
    </row>
    <row r="14" spans="1:2" x14ac:dyDescent="0.3">
      <c r="A14" s="34" t="s">
        <v>117</v>
      </c>
      <c r="B14">
        <v>2</v>
      </c>
    </row>
    <row r="15" spans="1:2" x14ac:dyDescent="0.3">
      <c r="A15" s="34" t="s">
        <v>165</v>
      </c>
      <c r="B15">
        <v>1</v>
      </c>
    </row>
    <row r="16" spans="1:2" x14ac:dyDescent="0.3">
      <c r="A16" s="34" t="s">
        <v>102</v>
      </c>
      <c r="B16">
        <v>2</v>
      </c>
    </row>
    <row r="17" spans="1:2" x14ac:dyDescent="0.3">
      <c r="A17" s="34" t="s">
        <v>229</v>
      </c>
      <c r="B17">
        <v>1</v>
      </c>
    </row>
    <row r="18" spans="1:2" x14ac:dyDescent="0.3">
      <c r="A18" s="34" t="s">
        <v>231</v>
      </c>
      <c r="B18">
        <v>19</v>
      </c>
    </row>
    <row r="19" spans="1:2" x14ac:dyDescent="0.3">
      <c r="A19" s="34" t="s">
        <v>228</v>
      </c>
      <c r="B19">
        <v>3</v>
      </c>
    </row>
    <row r="20" spans="1:2" x14ac:dyDescent="0.3">
      <c r="A20" s="34" t="s">
        <v>138</v>
      </c>
      <c r="B20">
        <v>2</v>
      </c>
    </row>
    <row r="21" spans="1:2" x14ac:dyDescent="0.3">
      <c r="A21" s="34" t="s">
        <v>227</v>
      </c>
      <c r="B21">
        <v>12</v>
      </c>
    </row>
    <row r="22" spans="1:2" x14ac:dyDescent="0.3">
      <c r="A22" s="34" t="s">
        <v>232</v>
      </c>
      <c r="B22">
        <v>19</v>
      </c>
    </row>
    <row r="23" spans="1:2" x14ac:dyDescent="0.3">
      <c r="A23" s="34" t="s">
        <v>113</v>
      </c>
      <c r="B23">
        <v>7</v>
      </c>
    </row>
    <row r="24" spans="1:2" x14ac:dyDescent="0.3">
      <c r="A24" s="34" t="s">
        <v>230</v>
      </c>
      <c r="B24">
        <v>4</v>
      </c>
    </row>
    <row r="25" spans="1:2" x14ac:dyDescent="0.3">
      <c r="A25" s="34" t="s">
        <v>2521</v>
      </c>
      <c r="B25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18"/>
  <sheetViews>
    <sheetView workbookViewId="0">
      <selection activeCell="I16" sqref="I16"/>
    </sheetView>
  </sheetViews>
  <sheetFormatPr baseColWidth="10" defaultRowHeight="14.4" x14ac:dyDescent="0.3"/>
  <cols>
    <col min="2" max="2" width="14.6640625" customWidth="1"/>
    <col min="3" max="3" width="10.88671875" style="16"/>
  </cols>
  <sheetData>
    <row r="2" spans="2:3" ht="15" thickBot="1" x14ac:dyDescent="0.35"/>
    <row r="3" spans="2:3" ht="15" thickBot="1" x14ac:dyDescent="0.35">
      <c r="B3" s="167" t="s">
        <v>2529</v>
      </c>
      <c r="C3" s="168" t="s">
        <v>52</v>
      </c>
    </row>
    <row r="4" spans="2:3" x14ac:dyDescent="0.3">
      <c r="B4" s="169" t="s">
        <v>136</v>
      </c>
      <c r="C4" s="119">
        <v>4</v>
      </c>
    </row>
    <row r="5" spans="2:3" x14ac:dyDescent="0.3">
      <c r="B5" s="170" t="s">
        <v>91</v>
      </c>
      <c r="C5" s="98">
        <v>1</v>
      </c>
    </row>
    <row r="6" spans="2:3" x14ac:dyDescent="0.3">
      <c r="B6" s="170" t="s">
        <v>167</v>
      </c>
      <c r="C6" s="98">
        <v>4</v>
      </c>
    </row>
    <row r="7" spans="2:3" x14ac:dyDescent="0.3">
      <c r="B7" s="170" t="s">
        <v>162</v>
      </c>
      <c r="C7" s="98">
        <v>4</v>
      </c>
    </row>
    <row r="8" spans="2:3" x14ac:dyDescent="0.3">
      <c r="B8" s="170" t="s">
        <v>134</v>
      </c>
      <c r="C8" s="98">
        <v>3</v>
      </c>
    </row>
    <row r="9" spans="2:3" x14ac:dyDescent="0.3">
      <c r="B9" s="170" t="s">
        <v>94</v>
      </c>
      <c r="C9" s="98">
        <v>13</v>
      </c>
    </row>
    <row r="10" spans="2:3" x14ac:dyDescent="0.3">
      <c r="B10" s="170" t="s">
        <v>95</v>
      </c>
      <c r="C10" s="98">
        <v>1</v>
      </c>
    </row>
    <row r="11" spans="2:3" x14ac:dyDescent="0.3">
      <c r="B11" s="170" t="s">
        <v>2527</v>
      </c>
      <c r="C11" s="98">
        <v>1</v>
      </c>
    </row>
    <row r="12" spans="2:3" x14ac:dyDescent="0.3">
      <c r="B12" s="170" t="s">
        <v>2528</v>
      </c>
      <c r="C12" s="98">
        <v>1</v>
      </c>
    </row>
    <row r="13" spans="2:3" x14ac:dyDescent="0.3">
      <c r="B13" s="170" t="s">
        <v>117</v>
      </c>
      <c r="C13" s="98">
        <v>2</v>
      </c>
    </row>
    <row r="14" spans="2:3" x14ac:dyDescent="0.3">
      <c r="B14" s="170" t="s">
        <v>98</v>
      </c>
      <c r="C14" s="98">
        <v>8</v>
      </c>
    </row>
    <row r="15" spans="2:3" x14ac:dyDescent="0.3">
      <c r="B15" s="170" t="s">
        <v>99</v>
      </c>
      <c r="C15" s="98">
        <v>3</v>
      </c>
    </row>
    <row r="16" spans="2:3" x14ac:dyDescent="0.3">
      <c r="B16" s="170" t="s">
        <v>100</v>
      </c>
      <c r="C16" s="98">
        <v>7</v>
      </c>
    </row>
    <row r="17" spans="2:3" x14ac:dyDescent="0.3">
      <c r="B17" s="170" t="s">
        <v>102</v>
      </c>
      <c r="C17" s="98">
        <v>1</v>
      </c>
    </row>
    <row r="18" spans="2:3" ht="15" thickBot="1" x14ac:dyDescent="0.35">
      <c r="B18" s="171" t="s">
        <v>135</v>
      </c>
      <c r="C18" s="133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topLeftCell="A5" zoomScale="87" zoomScaleNormal="87" workbookViewId="0">
      <selection sqref="A1:XFD1048576"/>
    </sheetView>
  </sheetViews>
  <sheetFormatPr baseColWidth="10" defaultRowHeight="14.4" x14ac:dyDescent="0.3"/>
  <cols>
    <col min="1" max="1" width="15.21875" style="34" bestFit="1" customWidth="1"/>
    <col min="2" max="2" width="10" style="16" customWidth="1"/>
    <col min="3" max="3" width="17.77734375" customWidth="1"/>
    <col min="4" max="4" width="16.21875" customWidth="1"/>
    <col min="5" max="5" width="27" customWidth="1"/>
    <col min="6" max="6" width="42.109375" customWidth="1"/>
  </cols>
  <sheetData>
    <row r="1" spans="1:6" ht="15" thickBot="1" x14ac:dyDescent="0.35"/>
    <row r="2" spans="1:6" ht="25.05" customHeight="1" thickBot="1" x14ac:dyDescent="0.35">
      <c r="A2" s="549" t="s">
        <v>15</v>
      </c>
      <c r="B2" s="551" t="s">
        <v>35</v>
      </c>
      <c r="C2" s="552"/>
      <c r="D2" s="552"/>
      <c r="E2" s="552"/>
      <c r="F2" s="553"/>
    </row>
    <row r="3" spans="1:6" ht="25.5" customHeight="1" thickBot="1" x14ac:dyDescent="0.35">
      <c r="A3" s="550"/>
      <c r="B3" s="19" t="s">
        <v>31</v>
      </c>
      <c r="C3" s="20" t="s">
        <v>30</v>
      </c>
      <c r="D3" s="19" t="s">
        <v>32</v>
      </c>
      <c r="E3" s="137" t="s">
        <v>33</v>
      </c>
      <c r="F3" s="137" t="s">
        <v>34</v>
      </c>
    </row>
    <row r="4" spans="1:6" s="17" customFormat="1" ht="43.2" x14ac:dyDescent="0.3">
      <c r="A4" s="30" t="s">
        <v>90</v>
      </c>
      <c r="B4" s="98">
        <v>4</v>
      </c>
      <c r="C4" s="174" t="s">
        <v>3834</v>
      </c>
      <c r="D4" s="119"/>
      <c r="E4" s="238"/>
      <c r="F4" s="35"/>
    </row>
    <row r="5" spans="1:6" s="17" customFormat="1" x14ac:dyDescent="0.3">
      <c r="A5" s="31" t="s">
        <v>91</v>
      </c>
      <c r="B5" s="98">
        <v>0</v>
      </c>
      <c r="C5" s="174"/>
      <c r="D5" s="98"/>
      <c r="E5" s="239"/>
      <c r="F5" s="36"/>
    </row>
    <row r="6" spans="1:6" s="17" customFormat="1" x14ac:dyDescent="0.3">
      <c r="A6" s="31" t="s">
        <v>167</v>
      </c>
      <c r="B6" s="98">
        <v>1</v>
      </c>
      <c r="C6" s="174" t="s">
        <v>3835</v>
      </c>
      <c r="D6" s="98"/>
      <c r="E6" s="239"/>
      <c r="F6" s="36"/>
    </row>
    <row r="7" spans="1:6" ht="28.8" x14ac:dyDescent="0.3">
      <c r="A7" s="31" t="s">
        <v>92</v>
      </c>
      <c r="B7" s="98">
        <v>4</v>
      </c>
      <c r="C7" s="174" t="s">
        <v>3836</v>
      </c>
      <c r="D7" s="192"/>
      <c r="E7" s="240"/>
      <c r="F7" s="36"/>
    </row>
    <row r="8" spans="1:6" x14ac:dyDescent="0.3">
      <c r="A8" s="170" t="s">
        <v>93</v>
      </c>
      <c r="B8" s="98">
        <v>0</v>
      </c>
      <c r="C8" s="236"/>
      <c r="D8" s="192"/>
      <c r="E8" s="239"/>
      <c r="F8" s="36"/>
    </row>
    <row r="9" spans="1:6" ht="57.6" x14ac:dyDescent="0.3">
      <c r="A9" s="31" t="s">
        <v>94</v>
      </c>
      <c r="B9" s="98">
        <v>20</v>
      </c>
      <c r="C9" s="174" t="s">
        <v>3837</v>
      </c>
      <c r="D9" s="192"/>
      <c r="E9" s="243"/>
      <c r="F9" s="36"/>
    </row>
    <row r="10" spans="1:6" ht="43.2" x14ac:dyDescent="0.3">
      <c r="A10" s="31" t="s">
        <v>95</v>
      </c>
      <c r="B10" s="98">
        <v>4</v>
      </c>
      <c r="C10" s="174" t="s">
        <v>3838</v>
      </c>
      <c r="D10" s="192"/>
      <c r="E10" s="243"/>
      <c r="F10" s="36"/>
    </row>
    <row r="11" spans="1:6" x14ac:dyDescent="0.3">
      <c r="A11" s="170" t="s">
        <v>96</v>
      </c>
      <c r="B11" s="98">
        <v>1</v>
      </c>
      <c r="C11" s="174" t="s">
        <v>3839</v>
      </c>
      <c r="D11" s="192"/>
      <c r="E11" s="222"/>
      <c r="F11" s="156"/>
    </row>
    <row r="12" spans="1:6" ht="28.8" x14ac:dyDescent="0.3">
      <c r="A12" s="31" t="s">
        <v>235</v>
      </c>
      <c r="B12" s="98">
        <v>2</v>
      </c>
      <c r="C12" s="174" t="s">
        <v>3840</v>
      </c>
      <c r="D12" s="192"/>
      <c r="E12" s="222"/>
      <c r="F12" s="156"/>
    </row>
    <row r="13" spans="1:6" x14ac:dyDescent="0.3">
      <c r="A13" s="170" t="s">
        <v>120</v>
      </c>
      <c r="B13" s="98">
        <v>0</v>
      </c>
      <c r="C13" s="174"/>
      <c r="D13" s="192"/>
      <c r="E13" s="222"/>
      <c r="F13" s="156"/>
    </row>
    <row r="14" spans="1:6" x14ac:dyDescent="0.3">
      <c r="A14" s="31" t="s">
        <v>97</v>
      </c>
      <c r="B14" s="98">
        <v>0</v>
      </c>
      <c r="C14" s="174"/>
      <c r="D14" s="192"/>
      <c r="E14" s="222"/>
      <c r="F14" s="36"/>
    </row>
    <row r="15" spans="1:6" x14ac:dyDescent="0.3">
      <c r="A15" s="170" t="s">
        <v>99</v>
      </c>
      <c r="B15" s="98">
        <v>0</v>
      </c>
      <c r="C15" s="236" t="s">
        <v>3761</v>
      </c>
      <c r="D15" s="192"/>
      <c r="E15" s="243"/>
      <c r="F15" s="156"/>
    </row>
    <row r="16" spans="1:6" s="16" customFormat="1" ht="57.6" x14ac:dyDescent="0.3">
      <c r="A16" s="31" t="s">
        <v>100</v>
      </c>
      <c r="B16" s="98">
        <v>6</v>
      </c>
      <c r="C16" s="174" t="s">
        <v>3841</v>
      </c>
      <c r="D16" s="192"/>
      <c r="E16" s="243"/>
      <c r="F16" s="36"/>
    </row>
    <row r="17" spans="1:6" x14ac:dyDescent="0.3">
      <c r="A17" s="170" t="s">
        <v>118</v>
      </c>
      <c r="B17" s="98">
        <v>0</v>
      </c>
      <c r="C17" s="236"/>
      <c r="D17" s="192"/>
      <c r="E17" s="222"/>
      <c r="F17" s="156"/>
    </row>
    <row r="18" spans="1:6" ht="58.2" thickBot="1" x14ac:dyDescent="0.35">
      <c r="A18" s="32" t="s">
        <v>169</v>
      </c>
      <c r="B18" s="98">
        <v>9</v>
      </c>
      <c r="C18" s="174" t="s">
        <v>3842</v>
      </c>
      <c r="D18" s="193"/>
      <c r="E18" s="223"/>
      <c r="F18" s="37"/>
    </row>
    <row r="19" spans="1:6" s="17" customFormat="1" ht="43.8" hidden="1" thickBot="1" x14ac:dyDescent="0.35">
      <c r="A19" s="187" t="s">
        <v>115</v>
      </c>
      <c r="B19" s="22"/>
      <c r="C19" s="237"/>
      <c r="D19" s="241"/>
      <c r="E19" s="242"/>
      <c r="F19" s="188"/>
    </row>
    <row r="20" spans="1:6" hidden="1" x14ac:dyDescent="0.3">
      <c r="A20" s="169" t="s">
        <v>239</v>
      </c>
      <c r="B20" s="119"/>
      <c r="C20" s="175"/>
      <c r="D20" s="191"/>
      <c r="E20" s="184"/>
      <c r="F20" s="194"/>
    </row>
    <row r="21" spans="1:6" hidden="1" x14ac:dyDescent="0.3">
      <c r="A21" s="170" t="s">
        <v>2525</v>
      </c>
      <c r="B21" s="98"/>
      <c r="C21" s="176"/>
      <c r="D21" s="192"/>
      <c r="E21" s="185"/>
      <c r="F21" s="195"/>
    </row>
    <row r="22" spans="1:6" ht="15" hidden="1" thickBot="1" x14ac:dyDescent="0.35">
      <c r="A22" s="171" t="s">
        <v>2517</v>
      </c>
      <c r="B22" s="133"/>
      <c r="C22" s="177"/>
      <c r="D22" s="193"/>
      <c r="E22" s="186"/>
      <c r="F22" s="196"/>
    </row>
    <row r="23" spans="1:6" s="113" customFormat="1" ht="16.2" thickBot="1" x14ac:dyDescent="0.35">
      <c r="A23" s="189" t="s">
        <v>148</v>
      </c>
      <c r="B23" s="121">
        <f>SUM(B4:B22)</f>
        <v>51</v>
      </c>
      <c r="C23" s="190"/>
      <c r="D23" s="121">
        <f t="shared" ref="D23" si="0">SUM(D4:D22)</f>
        <v>0</v>
      </c>
    </row>
    <row r="26" spans="1:6" x14ac:dyDescent="0.3">
      <c r="C26" t="s">
        <v>3843</v>
      </c>
    </row>
  </sheetData>
  <mergeCells count="2">
    <mergeCell ref="A2:A3"/>
    <mergeCell ref="B2:F2"/>
  </mergeCells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L32"/>
  <sheetViews>
    <sheetView topLeftCell="A12" workbookViewId="0">
      <selection activeCell="B11" sqref="B11:J11"/>
    </sheetView>
  </sheetViews>
  <sheetFormatPr baseColWidth="10" defaultRowHeight="14.4" x14ac:dyDescent="0.3"/>
  <cols>
    <col min="1" max="1" width="16.109375" customWidth="1"/>
    <col min="2" max="2" width="12.21875" customWidth="1"/>
    <col min="3" max="3" width="10.21875" customWidth="1"/>
    <col min="4" max="4" width="13.21875" customWidth="1"/>
    <col min="5" max="5" width="14.5546875" customWidth="1"/>
    <col min="6" max="6" width="13" customWidth="1"/>
    <col min="7" max="7" width="12.77734375" customWidth="1"/>
    <col min="8" max="8" width="12.44140625" customWidth="1"/>
    <col min="9" max="9" width="9.21875" customWidth="1"/>
    <col min="10" max="10" width="18.21875" customWidth="1"/>
    <col min="11" max="11" width="10.21875" customWidth="1"/>
    <col min="12" max="12" width="10.88671875" style="16"/>
  </cols>
  <sheetData>
    <row r="2" spans="1:12" ht="15" thickBot="1" x14ac:dyDescent="0.35"/>
    <row r="3" spans="1:12" ht="25.5" customHeight="1" thickBot="1" x14ac:dyDescent="0.35">
      <c r="A3" s="554" t="s">
        <v>7</v>
      </c>
      <c r="B3" s="556" t="s">
        <v>39</v>
      </c>
      <c r="C3" s="557"/>
      <c r="D3" s="557"/>
      <c r="E3" s="558"/>
      <c r="F3" s="559" t="s">
        <v>41</v>
      </c>
      <c r="G3" s="560"/>
      <c r="H3" s="561"/>
      <c r="I3" s="562" t="s">
        <v>47</v>
      </c>
      <c r="J3" s="563"/>
      <c r="K3" s="564"/>
    </row>
    <row r="4" spans="1:12" ht="33.6" customHeight="1" thickBot="1" x14ac:dyDescent="0.35">
      <c r="A4" s="555"/>
      <c r="B4" s="7" t="s">
        <v>36</v>
      </c>
      <c r="C4" s="8" t="s">
        <v>40</v>
      </c>
      <c r="D4" s="9" t="s">
        <v>37</v>
      </c>
      <c r="E4" s="10" t="s">
        <v>38</v>
      </c>
      <c r="F4" s="4" t="s">
        <v>42</v>
      </c>
      <c r="G4" s="5" t="s">
        <v>43</v>
      </c>
      <c r="H4" s="6" t="s">
        <v>44</v>
      </c>
      <c r="I4" s="11" t="s">
        <v>45</v>
      </c>
      <c r="J4" s="12" t="s">
        <v>48</v>
      </c>
      <c r="K4" s="118" t="s">
        <v>46</v>
      </c>
      <c r="L4" s="122" t="s">
        <v>148</v>
      </c>
    </row>
    <row r="5" spans="1:12" ht="15" thickBot="1" x14ac:dyDescent="0.35">
      <c r="A5" s="30" t="s">
        <v>90</v>
      </c>
      <c r="B5" s="27">
        <v>1</v>
      </c>
      <c r="C5" s="27">
        <v>1</v>
      </c>
      <c r="D5" s="27">
        <v>8</v>
      </c>
      <c r="E5" s="27">
        <v>0</v>
      </c>
      <c r="F5" s="27">
        <v>0</v>
      </c>
      <c r="G5" s="18">
        <v>0</v>
      </c>
      <c r="H5" s="40">
        <v>0</v>
      </c>
      <c r="I5" s="27">
        <v>3</v>
      </c>
      <c r="J5" s="18">
        <v>0</v>
      </c>
      <c r="K5" s="46">
        <v>3</v>
      </c>
      <c r="L5" s="123">
        <f>SUM(B5:K5)</f>
        <v>16</v>
      </c>
    </row>
    <row r="6" spans="1:12" ht="15" thickBot="1" x14ac:dyDescent="0.35">
      <c r="A6" s="31" t="s">
        <v>91</v>
      </c>
      <c r="B6" s="27">
        <v>1</v>
      </c>
      <c r="C6" s="27">
        <v>0</v>
      </c>
      <c r="D6" s="27">
        <v>1</v>
      </c>
      <c r="E6" s="27">
        <v>0</v>
      </c>
      <c r="F6" s="27">
        <v>0</v>
      </c>
      <c r="G6" s="18">
        <v>2</v>
      </c>
      <c r="H6" s="40">
        <v>0</v>
      </c>
      <c r="I6" s="27">
        <v>0</v>
      </c>
      <c r="J6" s="18">
        <v>0</v>
      </c>
      <c r="K6" s="46">
        <v>0</v>
      </c>
      <c r="L6" s="124">
        <f t="shared" ref="L6:L30" si="0">SUM(B6:K6)</f>
        <v>4</v>
      </c>
    </row>
    <row r="7" spans="1:12" ht="15" thickBot="1" x14ac:dyDescent="0.35">
      <c r="A7" s="31" t="s">
        <v>92</v>
      </c>
      <c r="B7" s="27">
        <v>1</v>
      </c>
      <c r="C7" s="27">
        <v>4</v>
      </c>
      <c r="D7" s="27">
        <v>5</v>
      </c>
      <c r="E7" s="27">
        <v>0</v>
      </c>
      <c r="F7" s="27">
        <v>0</v>
      </c>
      <c r="G7" s="18">
        <v>2</v>
      </c>
      <c r="H7" s="40">
        <v>0</v>
      </c>
      <c r="I7" s="27">
        <v>2</v>
      </c>
      <c r="J7" s="18">
        <v>0</v>
      </c>
      <c r="K7" s="46">
        <v>0</v>
      </c>
      <c r="L7" s="124">
        <f t="shared" si="0"/>
        <v>14</v>
      </c>
    </row>
    <row r="8" spans="1:12" ht="15" thickBot="1" x14ac:dyDescent="0.35">
      <c r="A8" s="31" t="s">
        <v>93</v>
      </c>
      <c r="B8" s="27">
        <v>0</v>
      </c>
      <c r="C8" s="27">
        <v>5</v>
      </c>
      <c r="D8" s="27">
        <v>12</v>
      </c>
      <c r="E8" s="27">
        <v>0</v>
      </c>
      <c r="F8" s="27">
        <v>0</v>
      </c>
      <c r="G8" s="18">
        <v>3</v>
      </c>
      <c r="H8" s="40">
        <v>0</v>
      </c>
      <c r="I8" s="27">
        <v>0</v>
      </c>
      <c r="J8" s="18">
        <v>0</v>
      </c>
      <c r="K8" s="46">
        <v>0</v>
      </c>
      <c r="L8" s="124">
        <f t="shared" si="0"/>
        <v>20</v>
      </c>
    </row>
    <row r="9" spans="1:12" ht="15" thickBot="1" x14ac:dyDescent="0.35">
      <c r="A9" s="31" t="s">
        <v>94</v>
      </c>
      <c r="B9" s="27">
        <v>5</v>
      </c>
      <c r="C9" s="27">
        <v>3</v>
      </c>
      <c r="D9" s="27">
        <v>14</v>
      </c>
      <c r="E9" s="27">
        <v>0</v>
      </c>
      <c r="F9" s="27">
        <v>0</v>
      </c>
      <c r="G9" s="18">
        <v>3</v>
      </c>
      <c r="H9" s="40">
        <v>0</v>
      </c>
      <c r="I9" s="27">
        <v>11</v>
      </c>
      <c r="J9" s="18">
        <v>0</v>
      </c>
      <c r="K9" s="46">
        <v>8</v>
      </c>
      <c r="L9" s="124">
        <f t="shared" si="0"/>
        <v>44</v>
      </c>
    </row>
    <row r="10" spans="1:12" ht="15" thickBot="1" x14ac:dyDescent="0.35">
      <c r="A10" s="31" t="s">
        <v>95</v>
      </c>
      <c r="B10" s="27">
        <v>0</v>
      </c>
      <c r="C10" s="27">
        <v>0</v>
      </c>
      <c r="D10" s="27">
        <v>1</v>
      </c>
      <c r="E10" s="27">
        <v>0</v>
      </c>
      <c r="F10" s="27">
        <v>0</v>
      </c>
      <c r="G10" s="18">
        <v>0</v>
      </c>
      <c r="H10" s="40">
        <v>0</v>
      </c>
      <c r="I10" s="27">
        <v>1</v>
      </c>
      <c r="J10" s="18">
        <v>0</v>
      </c>
      <c r="K10" s="46">
        <v>0</v>
      </c>
      <c r="L10" s="124">
        <f t="shared" si="0"/>
        <v>2</v>
      </c>
    </row>
    <row r="11" spans="1:12" ht="15" thickBot="1" x14ac:dyDescent="0.35">
      <c r="A11" s="31" t="s">
        <v>96</v>
      </c>
      <c r="B11" s="27">
        <v>0</v>
      </c>
      <c r="C11" s="27">
        <v>1</v>
      </c>
      <c r="D11" s="27">
        <v>0</v>
      </c>
      <c r="E11" s="27">
        <v>0</v>
      </c>
      <c r="F11" s="27">
        <v>0</v>
      </c>
      <c r="G11" s="18">
        <v>0</v>
      </c>
      <c r="H11" s="40">
        <v>0</v>
      </c>
      <c r="I11" s="27">
        <v>1</v>
      </c>
      <c r="J11" s="18">
        <v>0</v>
      </c>
      <c r="K11" s="46">
        <v>0</v>
      </c>
      <c r="L11" s="124">
        <f t="shared" si="0"/>
        <v>2</v>
      </c>
    </row>
    <row r="12" spans="1:12" ht="15" thickBot="1" x14ac:dyDescent="0.35">
      <c r="A12" s="31" t="s">
        <v>97</v>
      </c>
      <c r="B12" s="27">
        <v>0</v>
      </c>
      <c r="C12" s="27">
        <v>2</v>
      </c>
      <c r="D12" s="27">
        <v>2</v>
      </c>
      <c r="E12" s="27">
        <v>0</v>
      </c>
      <c r="F12" s="27">
        <v>0</v>
      </c>
      <c r="G12" s="18">
        <v>0</v>
      </c>
      <c r="H12" s="40">
        <v>0</v>
      </c>
      <c r="I12" s="27">
        <v>3</v>
      </c>
      <c r="J12" s="18">
        <v>0</v>
      </c>
      <c r="K12" s="46">
        <v>0</v>
      </c>
      <c r="L12" s="124">
        <f t="shared" si="0"/>
        <v>7</v>
      </c>
    </row>
    <row r="13" spans="1:12" ht="15" thickBot="1" x14ac:dyDescent="0.35">
      <c r="A13" s="31" t="s">
        <v>105</v>
      </c>
      <c r="B13" s="27">
        <v>5</v>
      </c>
      <c r="C13" s="27">
        <v>2</v>
      </c>
      <c r="D13" s="27">
        <v>12</v>
      </c>
      <c r="E13" s="27">
        <v>0</v>
      </c>
      <c r="F13" s="27">
        <v>0</v>
      </c>
      <c r="G13" s="18">
        <v>11</v>
      </c>
      <c r="H13" s="40">
        <v>0</v>
      </c>
      <c r="I13" s="27">
        <v>0</v>
      </c>
      <c r="J13" s="18">
        <v>0</v>
      </c>
      <c r="K13" s="46">
        <v>3</v>
      </c>
      <c r="L13" s="124">
        <f t="shared" si="0"/>
        <v>33</v>
      </c>
    </row>
    <row r="14" spans="1:12" ht="15" thickBot="1" x14ac:dyDescent="0.35">
      <c r="A14" s="31" t="s">
        <v>237</v>
      </c>
      <c r="B14" s="27">
        <v>0</v>
      </c>
      <c r="C14" s="27">
        <v>4</v>
      </c>
      <c r="D14" s="27">
        <v>11</v>
      </c>
      <c r="E14" s="27">
        <v>0</v>
      </c>
      <c r="F14" s="27">
        <v>0</v>
      </c>
      <c r="G14" s="18">
        <v>2</v>
      </c>
      <c r="H14" s="40">
        <v>0</v>
      </c>
      <c r="I14" s="27">
        <v>6</v>
      </c>
      <c r="J14" s="18">
        <v>0</v>
      </c>
      <c r="K14" s="46">
        <v>1</v>
      </c>
      <c r="L14" s="124">
        <f t="shared" si="0"/>
        <v>24</v>
      </c>
    </row>
    <row r="15" spans="1:12" ht="15" thickBot="1" x14ac:dyDescent="0.35">
      <c r="A15" s="31" t="s">
        <v>99</v>
      </c>
      <c r="B15" s="27">
        <v>5</v>
      </c>
      <c r="C15" s="27">
        <v>5</v>
      </c>
      <c r="D15" s="27">
        <v>19</v>
      </c>
      <c r="E15" s="27">
        <v>0</v>
      </c>
      <c r="F15" s="27">
        <v>0</v>
      </c>
      <c r="G15" s="18">
        <v>1</v>
      </c>
      <c r="H15" s="40">
        <v>0</v>
      </c>
      <c r="I15" s="27">
        <v>1</v>
      </c>
      <c r="J15" s="18">
        <v>0</v>
      </c>
      <c r="K15" s="46">
        <v>2</v>
      </c>
      <c r="L15" s="124">
        <f t="shared" si="0"/>
        <v>33</v>
      </c>
    </row>
    <row r="16" spans="1:12" ht="15" thickBot="1" x14ac:dyDescent="0.35">
      <c r="A16" s="31" t="s">
        <v>236</v>
      </c>
      <c r="B16" s="27">
        <v>1</v>
      </c>
      <c r="C16" s="27">
        <v>6</v>
      </c>
      <c r="D16" s="27">
        <v>37</v>
      </c>
      <c r="E16" s="27">
        <v>0</v>
      </c>
      <c r="F16" s="27">
        <v>0</v>
      </c>
      <c r="G16" s="18">
        <v>0</v>
      </c>
      <c r="H16" s="40">
        <v>1</v>
      </c>
      <c r="I16" s="27">
        <v>10</v>
      </c>
      <c r="J16" s="18">
        <v>0</v>
      </c>
      <c r="K16" s="46">
        <v>0</v>
      </c>
      <c r="L16" s="124">
        <f t="shared" si="0"/>
        <v>55</v>
      </c>
    </row>
    <row r="17" spans="1:12" ht="15" thickBot="1" x14ac:dyDescent="0.35">
      <c r="A17" s="31" t="s">
        <v>118</v>
      </c>
      <c r="B17" s="27">
        <v>0</v>
      </c>
      <c r="C17" s="27">
        <v>0</v>
      </c>
      <c r="D17" s="27">
        <v>0</v>
      </c>
      <c r="E17" s="27">
        <v>0</v>
      </c>
      <c r="F17" s="27">
        <v>0</v>
      </c>
      <c r="G17" s="18">
        <v>0</v>
      </c>
      <c r="H17" s="40">
        <v>0</v>
      </c>
      <c r="I17" s="27">
        <v>0</v>
      </c>
      <c r="J17" s="18">
        <v>0</v>
      </c>
      <c r="K17" s="46">
        <v>0</v>
      </c>
      <c r="L17" s="124">
        <f t="shared" si="0"/>
        <v>0</v>
      </c>
    </row>
    <row r="18" spans="1:12" ht="15" thickBot="1" x14ac:dyDescent="0.35">
      <c r="A18" s="31" t="s">
        <v>135</v>
      </c>
      <c r="B18" s="27">
        <v>1</v>
      </c>
      <c r="C18" s="27">
        <v>4</v>
      </c>
      <c r="D18" s="27">
        <v>4</v>
      </c>
      <c r="E18" s="27">
        <v>0</v>
      </c>
      <c r="F18" s="27">
        <v>0</v>
      </c>
      <c r="G18" s="18">
        <v>1</v>
      </c>
      <c r="H18" s="40">
        <v>0</v>
      </c>
      <c r="I18" s="27">
        <v>5</v>
      </c>
      <c r="J18" s="18">
        <v>0</v>
      </c>
      <c r="K18" s="46">
        <v>2</v>
      </c>
      <c r="L18" s="124">
        <f t="shared" si="0"/>
        <v>17</v>
      </c>
    </row>
    <row r="19" spans="1:12" ht="15" thickBot="1" x14ac:dyDescent="0.35">
      <c r="A19" s="44" t="s">
        <v>104</v>
      </c>
      <c r="B19" s="27">
        <v>0</v>
      </c>
      <c r="C19" s="27">
        <v>0</v>
      </c>
      <c r="D19" s="27">
        <v>0</v>
      </c>
      <c r="E19" s="27">
        <v>0</v>
      </c>
      <c r="F19" s="114">
        <v>0</v>
      </c>
      <c r="G19" s="112">
        <v>0</v>
      </c>
      <c r="H19" s="115">
        <v>0</v>
      </c>
      <c r="I19" s="114">
        <v>0</v>
      </c>
      <c r="J19" s="112">
        <v>0</v>
      </c>
      <c r="K19" s="116">
        <v>0</v>
      </c>
      <c r="L19" s="124">
        <f t="shared" si="0"/>
        <v>0</v>
      </c>
    </row>
    <row r="20" spans="1:12" ht="43.8" thickBot="1" x14ac:dyDescent="0.35">
      <c r="A20" s="39" t="s">
        <v>116</v>
      </c>
      <c r="B20" s="27">
        <v>0</v>
      </c>
      <c r="C20" s="27">
        <v>0</v>
      </c>
      <c r="D20" s="27">
        <v>0</v>
      </c>
      <c r="E20" s="27">
        <v>0</v>
      </c>
      <c r="F20" s="146">
        <v>0</v>
      </c>
      <c r="G20" s="18">
        <v>0</v>
      </c>
      <c r="H20" s="46">
        <v>11</v>
      </c>
      <c r="I20" s="27">
        <v>0</v>
      </c>
      <c r="J20" s="18">
        <v>0</v>
      </c>
      <c r="K20" s="40">
        <v>0</v>
      </c>
      <c r="L20" s="197">
        <f t="shared" si="0"/>
        <v>11</v>
      </c>
    </row>
    <row r="21" spans="1:12" ht="43.8" thickBot="1" x14ac:dyDescent="0.35">
      <c r="A21" s="33" t="s">
        <v>115</v>
      </c>
      <c r="B21" s="27">
        <v>1</v>
      </c>
      <c r="C21" s="27">
        <v>0</v>
      </c>
      <c r="D21" s="27">
        <v>0</v>
      </c>
      <c r="E21" s="27">
        <v>0</v>
      </c>
      <c r="F21" s="151">
        <v>0</v>
      </c>
      <c r="G21" s="149">
        <v>0</v>
      </c>
      <c r="H21" s="140">
        <v>9</v>
      </c>
      <c r="I21" s="28">
        <v>0</v>
      </c>
      <c r="J21" s="149">
        <v>0</v>
      </c>
      <c r="K21" s="41">
        <v>0</v>
      </c>
      <c r="L21" s="197">
        <f t="shared" si="0"/>
        <v>10</v>
      </c>
    </row>
    <row r="22" spans="1:12" ht="15" thickBot="1" x14ac:dyDescent="0.35">
      <c r="A22" s="31" t="s">
        <v>107</v>
      </c>
      <c r="B22" s="27">
        <v>0</v>
      </c>
      <c r="C22" s="27">
        <v>0</v>
      </c>
      <c r="D22" s="27">
        <v>0</v>
      </c>
      <c r="E22" s="27">
        <v>0</v>
      </c>
      <c r="F22" s="151"/>
      <c r="G22" s="149">
        <v>0</v>
      </c>
      <c r="H22" s="140">
        <v>6</v>
      </c>
      <c r="I22" s="28">
        <v>0</v>
      </c>
      <c r="J22" s="149">
        <v>0</v>
      </c>
      <c r="K22" s="41">
        <v>0</v>
      </c>
      <c r="L22" s="197">
        <f t="shared" si="0"/>
        <v>6</v>
      </c>
    </row>
    <row r="23" spans="1:12" ht="15" thickBot="1" x14ac:dyDescent="0.35">
      <c r="A23" s="31" t="s">
        <v>124</v>
      </c>
      <c r="B23" s="27">
        <v>0</v>
      </c>
      <c r="C23" s="27">
        <v>0</v>
      </c>
      <c r="D23" s="27">
        <v>0</v>
      </c>
      <c r="E23" s="27">
        <v>0</v>
      </c>
      <c r="F23" s="151">
        <v>0</v>
      </c>
      <c r="G23" s="149">
        <v>0</v>
      </c>
      <c r="H23" s="140">
        <v>11</v>
      </c>
      <c r="I23" s="28">
        <v>0</v>
      </c>
      <c r="J23" s="149">
        <v>0</v>
      </c>
      <c r="K23" s="41">
        <v>0</v>
      </c>
      <c r="L23" s="197">
        <f t="shared" si="0"/>
        <v>11</v>
      </c>
    </row>
    <row r="24" spans="1:12" ht="15" thickBot="1" x14ac:dyDescent="0.35">
      <c r="A24" s="44" t="s">
        <v>108</v>
      </c>
      <c r="B24" s="27">
        <v>0</v>
      </c>
      <c r="C24" s="27">
        <v>0</v>
      </c>
      <c r="D24" s="27">
        <v>0</v>
      </c>
      <c r="E24" s="27">
        <v>0</v>
      </c>
      <c r="F24" s="152">
        <v>0</v>
      </c>
      <c r="G24" s="150">
        <v>0</v>
      </c>
      <c r="H24" s="141">
        <v>9</v>
      </c>
      <c r="I24" s="29">
        <v>1</v>
      </c>
      <c r="J24" s="150">
        <v>0</v>
      </c>
      <c r="K24" s="42">
        <v>0</v>
      </c>
      <c r="L24" s="197">
        <f t="shared" si="0"/>
        <v>10</v>
      </c>
    </row>
    <row r="25" spans="1:12" ht="15" thickBot="1" x14ac:dyDescent="0.35">
      <c r="A25" s="30" t="s">
        <v>111</v>
      </c>
      <c r="B25" s="27">
        <v>1</v>
      </c>
      <c r="C25" s="27">
        <v>0</v>
      </c>
      <c r="D25" s="27">
        <v>0</v>
      </c>
      <c r="E25" s="27">
        <v>0</v>
      </c>
      <c r="F25" s="206">
        <v>0</v>
      </c>
      <c r="G25" s="205">
        <v>0</v>
      </c>
      <c r="H25" s="154">
        <v>0</v>
      </c>
      <c r="I25" s="153">
        <v>0</v>
      </c>
      <c r="J25" s="205">
        <v>0</v>
      </c>
      <c r="K25" s="136">
        <v>0</v>
      </c>
      <c r="L25" s="197">
        <f t="shared" si="0"/>
        <v>1</v>
      </c>
    </row>
    <row r="26" spans="1:12" ht="15" thickBot="1" x14ac:dyDescent="0.35">
      <c r="A26" s="31" t="s">
        <v>110</v>
      </c>
      <c r="B26" s="27">
        <v>0</v>
      </c>
      <c r="C26" s="27">
        <v>0</v>
      </c>
      <c r="D26" s="27">
        <v>0</v>
      </c>
      <c r="E26" s="27">
        <v>0</v>
      </c>
      <c r="F26" s="151">
        <v>0</v>
      </c>
      <c r="G26" s="149">
        <v>7</v>
      </c>
      <c r="H26" s="140">
        <v>0</v>
      </c>
      <c r="I26" s="28">
        <v>0</v>
      </c>
      <c r="J26" s="149">
        <v>0</v>
      </c>
      <c r="K26" s="41">
        <v>0</v>
      </c>
      <c r="L26" s="197">
        <f t="shared" si="0"/>
        <v>7</v>
      </c>
    </row>
    <row r="27" spans="1:12" ht="15" thickBot="1" x14ac:dyDescent="0.35">
      <c r="A27" s="31" t="s">
        <v>114</v>
      </c>
      <c r="B27" s="27">
        <v>0</v>
      </c>
      <c r="C27" s="27">
        <v>0</v>
      </c>
      <c r="D27" s="27">
        <v>0</v>
      </c>
      <c r="E27" s="27">
        <v>0</v>
      </c>
      <c r="F27" s="151">
        <v>0</v>
      </c>
      <c r="G27" s="149">
        <v>0</v>
      </c>
      <c r="H27" s="140">
        <v>1</v>
      </c>
      <c r="I27" s="28">
        <v>0</v>
      </c>
      <c r="J27" s="149">
        <v>0</v>
      </c>
      <c r="K27" s="41">
        <v>0</v>
      </c>
      <c r="L27" s="197">
        <f t="shared" si="0"/>
        <v>1</v>
      </c>
    </row>
    <row r="28" spans="1:12" ht="15" thickBot="1" x14ac:dyDescent="0.35">
      <c r="A28" s="31" t="s">
        <v>112</v>
      </c>
      <c r="B28" s="27">
        <v>1</v>
      </c>
      <c r="C28" s="27">
        <v>0</v>
      </c>
      <c r="D28" s="27">
        <v>0</v>
      </c>
      <c r="E28" s="27">
        <v>0</v>
      </c>
      <c r="F28" s="151">
        <v>0</v>
      </c>
      <c r="G28" s="149">
        <v>0</v>
      </c>
      <c r="H28" s="140">
        <v>0</v>
      </c>
      <c r="I28" s="28">
        <v>0</v>
      </c>
      <c r="J28" s="149">
        <v>0</v>
      </c>
      <c r="K28" s="41">
        <v>0</v>
      </c>
      <c r="L28" s="197">
        <f t="shared" si="0"/>
        <v>1</v>
      </c>
    </row>
    <row r="29" spans="1:12" ht="15" thickBot="1" x14ac:dyDescent="0.35">
      <c r="A29" s="31" t="s">
        <v>113</v>
      </c>
      <c r="B29" s="27">
        <v>2</v>
      </c>
      <c r="C29" s="27">
        <v>0</v>
      </c>
      <c r="D29" s="27">
        <v>1</v>
      </c>
      <c r="E29" s="27">
        <v>0</v>
      </c>
      <c r="F29" s="151">
        <v>0</v>
      </c>
      <c r="G29" s="149">
        <v>0</v>
      </c>
      <c r="H29" s="140">
        <v>1</v>
      </c>
      <c r="I29" s="28">
        <v>0</v>
      </c>
      <c r="J29" s="149">
        <v>0</v>
      </c>
      <c r="K29" s="41">
        <v>0</v>
      </c>
      <c r="L29" s="197">
        <f t="shared" si="0"/>
        <v>4</v>
      </c>
    </row>
    <row r="30" spans="1:12" ht="15" thickBot="1" x14ac:dyDescent="0.35">
      <c r="A30" s="32" t="s">
        <v>2517</v>
      </c>
      <c r="B30" s="27">
        <v>0</v>
      </c>
      <c r="C30" s="27">
        <v>4</v>
      </c>
      <c r="D30" s="27">
        <v>13</v>
      </c>
      <c r="E30" s="27">
        <v>0</v>
      </c>
      <c r="F30" s="152">
        <v>39</v>
      </c>
      <c r="G30" s="150">
        <v>0</v>
      </c>
      <c r="H30" s="141">
        <v>1</v>
      </c>
      <c r="I30" s="29">
        <v>2</v>
      </c>
      <c r="J30" s="150">
        <v>0</v>
      </c>
      <c r="K30" s="42">
        <v>0</v>
      </c>
      <c r="L30" s="198">
        <f t="shared" si="0"/>
        <v>59</v>
      </c>
    </row>
    <row r="31" spans="1:12" s="117" customFormat="1" ht="15" thickBot="1" x14ac:dyDescent="0.35">
      <c r="A31" s="199" t="s">
        <v>2524</v>
      </c>
      <c r="B31" s="200">
        <f>SUM(B5:B30)</f>
        <v>25</v>
      </c>
      <c r="C31" s="201">
        <f t="shared" ref="C31:K31" si="1">SUM(C5:C30)</f>
        <v>41</v>
      </c>
      <c r="D31" s="201">
        <f t="shared" si="1"/>
        <v>140</v>
      </c>
      <c r="E31" s="202">
        <f t="shared" si="1"/>
        <v>0</v>
      </c>
      <c r="F31" s="203">
        <f t="shared" si="1"/>
        <v>39</v>
      </c>
      <c r="G31" s="201">
        <f t="shared" si="1"/>
        <v>32</v>
      </c>
      <c r="H31" s="204">
        <f t="shared" si="1"/>
        <v>50</v>
      </c>
      <c r="I31" s="200">
        <f t="shared" si="1"/>
        <v>46</v>
      </c>
      <c r="J31" s="201">
        <f t="shared" si="1"/>
        <v>0</v>
      </c>
      <c r="K31" s="202">
        <f t="shared" si="1"/>
        <v>19</v>
      </c>
      <c r="L31" s="121">
        <f>SUM(L5:L30)</f>
        <v>392</v>
      </c>
    </row>
    <row r="32" spans="1:12" s="117" customFormat="1" ht="15" thickBot="1" x14ac:dyDescent="0.35">
      <c r="A32" s="120" t="s">
        <v>148</v>
      </c>
      <c r="B32" s="565">
        <v>206</v>
      </c>
      <c r="C32" s="566"/>
      <c r="D32" s="566"/>
      <c r="E32" s="567"/>
      <c r="F32" s="565">
        <v>121</v>
      </c>
      <c r="G32" s="566"/>
      <c r="H32" s="567"/>
      <c r="I32" s="565">
        <f>I31+J31+K31</f>
        <v>65</v>
      </c>
      <c r="J32" s="566"/>
      <c r="K32" s="567"/>
      <c r="L32" s="121">
        <f>I32+F32+B32</f>
        <v>392</v>
      </c>
    </row>
  </sheetData>
  <mergeCells count="7">
    <mergeCell ref="A3:A4"/>
    <mergeCell ref="B3:E3"/>
    <mergeCell ref="F3:H3"/>
    <mergeCell ref="I3:K3"/>
    <mergeCell ref="B32:E32"/>
    <mergeCell ref="F32:H32"/>
    <mergeCell ref="I32:K3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27"/>
  <sheetViews>
    <sheetView zoomScale="99" zoomScaleNormal="99" workbookViewId="0">
      <selection activeCell="B11" sqref="B11:J11"/>
    </sheetView>
  </sheetViews>
  <sheetFormatPr baseColWidth="10" defaultColWidth="10.88671875" defaultRowHeight="11.55" customHeight="1" x14ac:dyDescent="0.3"/>
  <cols>
    <col min="1" max="1" width="18.77734375" style="282" bestFit="1" customWidth="1"/>
    <col min="2" max="2" width="35.109375" style="255" customWidth="1"/>
    <col min="3" max="3" width="17.5546875" style="255" customWidth="1"/>
    <col min="4" max="4" width="6.6640625" style="283" bestFit="1" customWidth="1"/>
    <col min="5" max="5" width="13.21875" style="283" bestFit="1" customWidth="1"/>
    <col min="6" max="6" width="12.33203125" style="283" bestFit="1" customWidth="1"/>
    <col min="7" max="7" width="7" style="282" customWidth="1"/>
    <col min="8" max="8" width="14" style="255" bestFit="1" customWidth="1"/>
    <col min="9" max="9" width="11.109375" style="283" customWidth="1"/>
    <col min="10" max="10" width="16.77734375" style="255" customWidth="1"/>
    <col min="11" max="11" width="6" style="282" customWidth="1"/>
    <col min="12" max="12" width="9.88671875" style="255" customWidth="1"/>
    <col min="13" max="13" width="18.6640625" style="255" customWidth="1"/>
    <col min="14" max="14" width="152.21875" style="283" customWidth="1"/>
    <col min="15" max="16384" width="10.88671875" style="255"/>
  </cols>
  <sheetData>
    <row r="1" spans="1:15" ht="11.55" customHeight="1" x14ac:dyDescent="0.3">
      <c r="A1" s="297" t="s">
        <v>49</v>
      </c>
      <c r="B1" s="297" t="s">
        <v>50</v>
      </c>
      <c r="C1" s="297" t="s">
        <v>51</v>
      </c>
      <c r="D1" s="297" t="s">
        <v>52</v>
      </c>
      <c r="E1" s="298" t="s">
        <v>53</v>
      </c>
      <c r="F1" s="298" t="s">
        <v>54</v>
      </c>
      <c r="G1" s="298" t="s">
        <v>55</v>
      </c>
      <c r="H1" s="251" t="s">
        <v>65</v>
      </c>
      <c r="I1" s="299" t="s">
        <v>123</v>
      </c>
      <c r="J1" s="252" t="s">
        <v>56</v>
      </c>
      <c r="K1" s="300" t="s">
        <v>57</v>
      </c>
      <c r="L1" s="253" t="s">
        <v>58</v>
      </c>
      <c r="M1" s="254" t="s">
        <v>59</v>
      </c>
      <c r="N1" s="254" t="s">
        <v>60</v>
      </c>
    </row>
    <row r="2" spans="1:15" s="296" customFormat="1" ht="19.95" customHeight="1" x14ac:dyDescent="0.3">
      <c r="A2" s="256" t="s">
        <v>2651</v>
      </c>
      <c r="B2" s="256" t="s">
        <v>2652</v>
      </c>
      <c r="C2" s="256" t="s">
        <v>162</v>
      </c>
      <c r="D2" s="256">
        <v>19</v>
      </c>
      <c r="E2" s="257">
        <v>45261</v>
      </c>
      <c r="F2" s="257">
        <v>45264</v>
      </c>
      <c r="G2" s="301">
        <f ca="1">TODAY()-E2</f>
        <v>808</v>
      </c>
      <c r="H2" s="256" t="s">
        <v>3304</v>
      </c>
      <c r="I2" s="256" t="s">
        <v>2637</v>
      </c>
      <c r="J2" s="256" t="s">
        <v>234</v>
      </c>
      <c r="K2" s="256">
        <v>530</v>
      </c>
      <c r="L2" s="256" t="s">
        <v>4051</v>
      </c>
      <c r="M2" s="256" t="s">
        <v>77</v>
      </c>
      <c r="N2" s="256" t="s">
        <v>2631</v>
      </c>
      <c r="O2" s="256" t="s">
        <v>3482</v>
      </c>
    </row>
    <row r="3" spans="1:15" s="296" customFormat="1" ht="19.95" customHeight="1" x14ac:dyDescent="0.3">
      <c r="A3" s="259" t="s">
        <v>2811</v>
      </c>
      <c r="B3" s="259" t="s">
        <v>2812</v>
      </c>
      <c r="C3" s="256" t="s">
        <v>167</v>
      </c>
      <c r="D3" s="256">
        <v>85</v>
      </c>
      <c r="E3" s="260">
        <v>45364</v>
      </c>
      <c r="F3" s="260">
        <v>45365</v>
      </c>
      <c r="G3" s="301">
        <f t="shared" ref="G3:G66" ca="1" si="0">TODAY()-E3</f>
        <v>705</v>
      </c>
      <c r="H3" s="256" t="s">
        <v>68</v>
      </c>
      <c r="I3" s="257">
        <v>45419</v>
      </c>
      <c r="J3" s="256" t="s">
        <v>234</v>
      </c>
      <c r="K3" s="256">
        <v>260</v>
      </c>
      <c r="L3" s="256" t="s">
        <v>4051</v>
      </c>
      <c r="M3" s="256" t="s">
        <v>66</v>
      </c>
      <c r="N3" s="256" t="s">
        <v>66</v>
      </c>
      <c r="O3" s="256" t="s">
        <v>3532</v>
      </c>
    </row>
    <row r="4" spans="1:15" s="296" customFormat="1" ht="19.95" customHeight="1" x14ac:dyDescent="0.3">
      <c r="A4" s="256" t="s">
        <v>2653</v>
      </c>
      <c r="B4" s="256" t="s">
        <v>2654</v>
      </c>
      <c r="C4" s="256" t="s">
        <v>164</v>
      </c>
      <c r="D4" s="256">
        <v>40</v>
      </c>
      <c r="E4" s="257">
        <v>45206</v>
      </c>
      <c r="F4" s="257">
        <v>45209</v>
      </c>
      <c r="G4" s="301">
        <f t="shared" ca="1" si="0"/>
        <v>863</v>
      </c>
      <c r="H4" s="256" t="s">
        <v>41</v>
      </c>
      <c r="I4" s="257" t="s">
        <v>2637</v>
      </c>
      <c r="J4" s="256" t="s">
        <v>234</v>
      </c>
      <c r="K4" s="256">
        <v>350</v>
      </c>
      <c r="L4" s="256" t="s">
        <v>4051</v>
      </c>
      <c r="M4" s="256" t="s">
        <v>41</v>
      </c>
      <c r="N4" s="256" t="s">
        <v>41</v>
      </c>
      <c r="O4" s="256" t="s">
        <v>3484</v>
      </c>
    </row>
    <row r="5" spans="1:15" s="296" customFormat="1" ht="19.95" customHeight="1" x14ac:dyDescent="0.3">
      <c r="A5" s="276" t="s">
        <v>3205</v>
      </c>
      <c r="B5" s="276" t="s">
        <v>3206</v>
      </c>
      <c r="C5" s="256" t="s">
        <v>162</v>
      </c>
      <c r="D5" s="256">
        <v>34</v>
      </c>
      <c r="E5" s="277">
        <v>45398</v>
      </c>
      <c r="F5" s="277">
        <v>45400</v>
      </c>
      <c r="G5" s="301">
        <f t="shared" ca="1" si="0"/>
        <v>671</v>
      </c>
      <c r="H5" s="256" t="s">
        <v>65</v>
      </c>
      <c r="I5" s="257">
        <v>45418</v>
      </c>
      <c r="J5" s="256" t="s">
        <v>234</v>
      </c>
      <c r="K5" s="256">
        <v>370</v>
      </c>
      <c r="L5" s="256" t="s">
        <v>4051</v>
      </c>
      <c r="M5" s="256" t="s">
        <v>66</v>
      </c>
      <c r="N5" s="256" t="s">
        <v>66</v>
      </c>
      <c r="O5" s="256" t="s">
        <v>3633</v>
      </c>
    </row>
    <row r="6" spans="1:15" s="296" customFormat="1" ht="19.95" customHeight="1" x14ac:dyDescent="0.3">
      <c r="A6" s="259" t="s">
        <v>2655</v>
      </c>
      <c r="B6" s="259" t="s">
        <v>2656</v>
      </c>
      <c r="C6" s="256" t="s">
        <v>165</v>
      </c>
      <c r="D6" s="256"/>
      <c r="E6" s="260">
        <v>45348</v>
      </c>
      <c r="F6" s="260">
        <v>45350</v>
      </c>
      <c r="G6" s="301">
        <f t="shared" ca="1" si="0"/>
        <v>721</v>
      </c>
      <c r="H6" s="256" t="s">
        <v>41</v>
      </c>
      <c r="I6" s="257" t="s">
        <v>2637</v>
      </c>
      <c r="J6" s="256" t="s">
        <v>234</v>
      </c>
      <c r="K6" s="256">
        <v>800</v>
      </c>
      <c r="L6" s="256" t="s">
        <v>4051</v>
      </c>
      <c r="M6" s="256" t="s">
        <v>41</v>
      </c>
      <c r="N6" s="256" t="s">
        <v>41</v>
      </c>
      <c r="O6" s="256" t="s">
        <v>3485</v>
      </c>
    </row>
    <row r="7" spans="1:15" s="296" customFormat="1" ht="19.95" customHeight="1" x14ac:dyDescent="0.3">
      <c r="A7" s="276" t="s">
        <v>2671</v>
      </c>
      <c r="B7" s="276" t="s">
        <v>2672</v>
      </c>
      <c r="C7" s="276" t="s">
        <v>2648</v>
      </c>
      <c r="D7" s="256">
        <v>3</v>
      </c>
      <c r="E7" s="277">
        <v>45389</v>
      </c>
      <c r="F7" s="277">
        <v>45390</v>
      </c>
      <c r="G7" s="301">
        <f t="shared" ca="1" si="0"/>
        <v>680</v>
      </c>
      <c r="H7" s="256" t="s">
        <v>68</v>
      </c>
      <c r="I7" s="257">
        <v>45419</v>
      </c>
      <c r="J7" s="256" t="s">
        <v>234</v>
      </c>
      <c r="K7" s="256">
        <v>100</v>
      </c>
      <c r="L7" s="256" t="s">
        <v>4051</v>
      </c>
      <c r="M7" s="256" t="s">
        <v>3305</v>
      </c>
      <c r="N7" s="256" t="s">
        <v>3305</v>
      </c>
      <c r="O7" s="256" t="s">
        <v>3489</v>
      </c>
    </row>
    <row r="8" spans="1:15" s="296" customFormat="1" ht="19.95" customHeight="1" x14ac:dyDescent="0.3">
      <c r="A8" s="256" t="s">
        <v>2659</v>
      </c>
      <c r="B8" s="256" t="s">
        <v>2660</v>
      </c>
      <c r="C8" s="256" t="s">
        <v>165</v>
      </c>
      <c r="D8" s="261"/>
      <c r="E8" s="257">
        <v>44752</v>
      </c>
      <c r="F8" s="257">
        <v>45335</v>
      </c>
      <c r="G8" s="301">
        <f t="shared" ca="1" si="0"/>
        <v>1317</v>
      </c>
      <c r="H8" s="256" t="s">
        <v>3304</v>
      </c>
      <c r="I8" s="256" t="s">
        <v>2637</v>
      </c>
      <c r="J8" s="256" t="s">
        <v>234</v>
      </c>
      <c r="K8" s="256"/>
      <c r="L8" s="256" t="s">
        <v>4051</v>
      </c>
      <c r="M8" s="256" t="s">
        <v>77</v>
      </c>
      <c r="N8" s="256" t="s">
        <v>2631</v>
      </c>
      <c r="O8" s="256" t="s">
        <v>3482</v>
      </c>
    </row>
    <row r="9" spans="1:15" s="296" customFormat="1" ht="19.95" customHeight="1" x14ac:dyDescent="0.3">
      <c r="A9" s="272" t="s">
        <v>3844</v>
      </c>
      <c r="B9" s="272" t="s">
        <v>3845</v>
      </c>
      <c r="C9" s="276" t="s">
        <v>93</v>
      </c>
      <c r="D9" s="256"/>
      <c r="E9" s="273">
        <v>45414</v>
      </c>
      <c r="F9" s="273">
        <v>45415</v>
      </c>
      <c r="G9" s="301">
        <f t="shared" ca="1" si="0"/>
        <v>655</v>
      </c>
      <c r="H9" s="256" t="s">
        <v>63</v>
      </c>
      <c r="I9" s="256"/>
      <c r="J9" s="256" t="s">
        <v>234</v>
      </c>
      <c r="K9" s="256"/>
      <c r="L9" s="256" t="s">
        <v>4051</v>
      </c>
      <c r="M9" s="256" t="s">
        <v>63</v>
      </c>
      <c r="N9" s="256" t="s">
        <v>63</v>
      </c>
      <c r="O9" s="256"/>
    </row>
    <row r="10" spans="1:15" s="296" customFormat="1" ht="19.95" customHeight="1" x14ac:dyDescent="0.3">
      <c r="A10" s="256" t="s">
        <v>2661</v>
      </c>
      <c r="B10" s="256" t="s">
        <v>2662</v>
      </c>
      <c r="C10" s="256" t="s">
        <v>94</v>
      </c>
      <c r="D10" s="256"/>
      <c r="E10" s="257">
        <v>45071</v>
      </c>
      <c r="F10" s="257">
        <v>45190</v>
      </c>
      <c r="G10" s="301">
        <f t="shared" ca="1" si="0"/>
        <v>998</v>
      </c>
      <c r="H10" s="256" t="s">
        <v>3304</v>
      </c>
      <c r="I10" s="256" t="s">
        <v>2637</v>
      </c>
      <c r="J10" s="256" t="s">
        <v>3751</v>
      </c>
      <c r="K10" s="256"/>
      <c r="L10" s="256" t="s">
        <v>4051</v>
      </c>
      <c r="M10" s="256" t="s">
        <v>77</v>
      </c>
      <c r="N10" s="256" t="s">
        <v>3306</v>
      </c>
      <c r="O10" s="256" t="s">
        <v>3487</v>
      </c>
    </row>
    <row r="11" spans="1:15" s="296" customFormat="1" ht="19.95" customHeight="1" x14ac:dyDescent="0.3">
      <c r="A11" s="272" t="s">
        <v>3427</v>
      </c>
      <c r="B11" s="272" t="s">
        <v>3428</v>
      </c>
      <c r="C11" s="256" t="s">
        <v>136</v>
      </c>
      <c r="D11" s="256">
        <v>54</v>
      </c>
      <c r="E11" s="273">
        <v>45405</v>
      </c>
      <c r="F11" s="273">
        <v>45406</v>
      </c>
      <c r="G11" s="301">
        <f t="shared" ca="1" si="0"/>
        <v>664</v>
      </c>
      <c r="H11" s="256" t="s">
        <v>65</v>
      </c>
      <c r="I11" s="257" t="s">
        <v>2637</v>
      </c>
      <c r="J11" s="256" t="s">
        <v>234</v>
      </c>
      <c r="K11" s="256">
        <v>350</v>
      </c>
      <c r="L11" s="256" t="s">
        <v>4051</v>
      </c>
      <c r="M11" s="256" t="s">
        <v>77</v>
      </c>
      <c r="N11" s="256" t="s">
        <v>3808</v>
      </c>
      <c r="O11" s="256" t="s">
        <v>3809</v>
      </c>
    </row>
    <row r="12" spans="1:15" s="296" customFormat="1" ht="19.95" customHeight="1" x14ac:dyDescent="0.3">
      <c r="A12" s="259" t="s">
        <v>2701</v>
      </c>
      <c r="B12" s="259" t="s">
        <v>2702</v>
      </c>
      <c r="C12" s="259" t="s">
        <v>4039</v>
      </c>
      <c r="D12" s="256">
        <v>43</v>
      </c>
      <c r="E12" s="260">
        <v>45362</v>
      </c>
      <c r="F12" s="260">
        <v>45363</v>
      </c>
      <c r="G12" s="301">
        <f t="shared" ca="1" si="0"/>
        <v>707</v>
      </c>
      <c r="H12" s="256" t="s">
        <v>68</v>
      </c>
      <c r="I12" s="257">
        <v>45419</v>
      </c>
      <c r="J12" s="256" t="s">
        <v>234</v>
      </c>
      <c r="K12" s="256">
        <v>100</v>
      </c>
      <c r="L12" s="256" t="s">
        <v>4051</v>
      </c>
      <c r="M12" s="256" t="s">
        <v>3305</v>
      </c>
      <c r="N12" s="256" t="s">
        <v>3305</v>
      </c>
      <c r="O12" s="256" t="s">
        <v>3498</v>
      </c>
    </row>
    <row r="13" spans="1:15" s="296" customFormat="1" ht="19.95" customHeight="1" x14ac:dyDescent="0.3">
      <c r="A13" s="276" t="s">
        <v>2663</v>
      </c>
      <c r="B13" s="276" t="s">
        <v>2664</v>
      </c>
      <c r="C13" s="256" t="s">
        <v>94</v>
      </c>
      <c r="D13" s="256"/>
      <c r="E13" s="277">
        <v>45314</v>
      </c>
      <c r="F13" s="277">
        <v>45316</v>
      </c>
      <c r="G13" s="301">
        <f t="shared" ca="1" si="0"/>
        <v>755</v>
      </c>
      <c r="H13" s="256" t="s">
        <v>65</v>
      </c>
      <c r="I13" s="266" t="s">
        <v>2637</v>
      </c>
      <c r="J13" s="265" t="s">
        <v>234</v>
      </c>
      <c r="K13" s="256">
        <v>500</v>
      </c>
      <c r="L13" s="265" t="s">
        <v>4051</v>
      </c>
      <c r="M13" s="256" t="s">
        <v>77</v>
      </c>
      <c r="N13" s="256" t="s">
        <v>3808</v>
      </c>
      <c r="O13" s="256" t="s">
        <v>3809</v>
      </c>
    </row>
    <row r="14" spans="1:15" s="296" customFormat="1" ht="19.95" customHeight="1" x14ac:dyDescent="0.3">
      <c r="A14" s="272" t="s">
        <v>2707</v>
      </c>
      <c r="B14" s="272" t="s">
        <v>2708</v>
      </c>
      <c r="C14" s="272" t="s">
        <v>2647</v>
      </c>
      <c r="D14" s="256">
        <v>50</v>
      </c>
      <c r="E14" s="273">
        <v>45382</v>
      </c>
      <c r="F14" s="273">
        <v>45384</v>
      </c>
      <c r="G14" s="301">
        <f t="shared" ca="1" si="0"/>
        <v>687</v>
      </c>
      <c r="H14" s="256" t="s">
        <v>68</v>
      </c>
      <c r="I14" s="257">
        <v>45419</v>
      </c>
      <c r="J14" s="256" t="s">
        <v>234</v>
      </c>
      <c r="K14" s="256">
        <v>80</v>
      </c>
      <c r="L14" s="256" t="s">
        <v>4051</v>
      </c>
      <c r="M14" s="256" t="s">
        <v>3305</v>
      </c>
      <c r="N14" s="256" t="s">
        <v>3305</v>
      </c>
      <c r="O14" s="256" t="s">
        <v>3626</v>
      </c>
    </row>
    <row r="15" spans="1:15" s="296" customFormat="1" ht="19.95" customHeight="1" x14ac:dyDescent="0.3">
      <c r="A15" s="256" t="s">
        <v>2665</v>
      </c>
      <c r="B15" s="256" t="s">
        <v>2666</v>
      </c>
      <c r="C15" s="256" t="s">
        <v>165</v>
      </c>
      <c r="D15" s="256">
        <v>30</v>
      </c>
      <c r="E15" s="257">
        <v>44819</v>
      </c>
      <c r="F15" s="257">
        <v>45190</v>
      </c>
      <c r="G15" s="301">
        <f t="shared" ca="1" si="0"/>
        <v>1250</v>
      </c>
      <c r="H15" s="256" t="s">
        <v>3304</v>
      </c>
      <c r="I15" s="256" t="s">
        <v>2637</v>
      </c>
      <c r="J15" s="256" t="s">
        <v>3751</v>
      </c>
      <c r="K15" s="256">
        <v>200</v>
      </c>
      <c r="L15" s="256" t="s">
        <v>4051</v>
      </c>
      <c r="M15" s="256" t="s">
        <v>77</v>
      </c>
      <c r="N15" s="256" t="s">
        <v>2631</v>
      </c>
      <c r="O15" s="256" t="s">
        <v>3482</v>
      </c>
    </row>
    <row r="16" spans="1:15" s="296" customFormat="1" ht="19.95" customHeight="1" x14ac:dyDescent="0.3">
      <c r="A16" s="256" t="s">
        <v>2667</v>
      </c>
      <c r="B16" s="256" t="s">
        <v>2668</v>
      </c>
      <c r="C16" s="256" t="s">
        <v>99</v>
      </c>
      <c r="D16" s="256"/>
      <c r="E16" s="257">
        <v>45041</v>
      </c>
      <c r="F16" s="257">
        <v>45042</v>
      </c>
      <c r="G16" s="301">
        <f t="shared" ca="1" si="0"/>
        <v>1028</v>
      </c>
      <c r="H16" s="256" t="s">
        <v>3304</v>
      </c>
      <c r="I16" s="256" t="s">
        <v>2637</v>
      </c>
      <c r="J16" s="256" t="s">
        <v>234</v>
      </c>
      <c r="K16" s="256"/>
      <c r="L16" s="256" t="s">
        <v>4051</v>
      </c>
      <c r="M16" s="256" t="s">
        <v>77</v>
      </c>
      <c r="N16" s="256" t="s">
        <v>67</v>
      </c>
      <c r="O16" s="256" t="s">
        <v>3488</v>
      </c>
    </row>
    <row r="17" spans="1:15" s="296" customFormat="1" ht="19.95" customHeight="1" x14ac:dyDescent="0.3">
      <c r="A17" s="256" t="s">
        <v>2669</v>
      </c>
      <c r="B17" s="256" t="s">
        <v>2670</v>
      </c>
      <c r="C17" s="256" t="s">
        <v>165</v>
      </c>
      <c r="D17" s="256"/>
      <c r="E17" s="257">
        <v>45041</v>
      </c>
      <c r="F17" s="257">
        <v>45237</v>
      </c>
      <c r="G17" s="301">
        <f t="shared" ca="1" si="0"/>
        <v>1028</v>
      </c>
      <c r="H17" s="256" t="s">
        <v>3304</v>
      </c>
      <c r="I17" s="256" t="s">
        <v>2637</v>
      </c>
      <c r="J17" s="256" t="s">
        <v>234</v>
      </c>
      <c r="K17" s="256"/>
      <c r="L17" s="256" t="s">
        <v>4051</v>
      </c>
      <c r="M17" s="256" t="s">
        <v>77</v>
      </c>
      <c r="N17" s="256" t="s">
        <v>2631</v>
      </c>
      <c r="O17" s="256" t="s">
        <v>3482</v>
      </c>
    </row>
    <row r="18" spans="1:15" s="296" customFormat="1" ht="19.95" customHeight="1" x14ac:dyDescent="0.3">
      <c r="A18" s="259" t="s">
        <v>2741</v>
      </c>
      <c r="B18" s="259" t="s">
        <v>2742</v>
      </c>
      <c r="C18" s="256" t="s">
        <v>136</v>
      </c>
      <c r="D18" s="256">
        <v>79</v>
      </c>
      <c r="E18" s="260">
        <v>45343</v>
      </c>
      <c r="F18" s="260">
        <v>45344</v>
      </c>
      <c r="G18" s="301">
        <f t="shared" ca="1" si="0"/>
        <v>726</v>
      </c>
      <c r="H18" s="256" t="s">
        <v>68</v>
      </c>
      <c r="I18" s="257">
        <v>45419</v>
      </c>
      <c r="J18" s="256" t="s">
        <v>234</v>
      </c>
      <c r="K18" s="256">
        <v>60</v>
      </c>
      <c r="L18" s="256" t="s">
        <v>4051</v>
      </c>
      <c r="M18" s="256" t="s">
        <v>3305</v>
      </c>
      <c r="N18" s="256" t="s">
        <v>3305</v>
      </c>
      <c r="O18" s="256" t="s">
        <v>3593</v>
      </c>
    </row>
    <row r="19" spans="1:15" s="296" customFormat="1" ht="19.95" customHeight="1" x14ac:dyDescent="0.3">
      <c r="A19" s="256" t="s">
        <v>2673</v>
      </c>
      <c r="B19" s="256" t="s">
        <v>2674</v>
      </c>
      <c r="C19" s="256" t="s">
        <v>163</v>
      </c>
      <c r="D19" s="256">
        <v>19</v>
      </c>
      <c r="E19" s="257">
        <v>44749</v>
      </c>
      <c r="F19" s="257">
        <v>44749</v>
      </c>
      <c r="G19" s="301">
        <f t="shared" ca="1" si="0"/>
        <v>1320</v>
      </c>
      <c r="H19" s="256" t="s">
        <v>3304</v>
      </c>
      <c r="I19" s="256" t="s">
        <v>2637</v>
      </c>
      <c r="J19" s="256" t="s">
        <v>3751</v>
      </c>
      <c r="K19" s="256">
        <v>150</v>
      </c>
      <c r="L19" s="256" t="s">
        <v>4051</v>
      </c>
      <c r="M19" s="256" t="s">
        <v>77</v>
      </c>
      <c r="N19" s="256" t="s">
        <v>2631</v>
      </c>
      <c r="O19" s="256" t="s">
        <v>3482</v>
      </c>
    </row>
    <row r="20" spans="1:15" s="296" customFormat="1" ht="19.95" customHeight="1" x14ac:dyDescent="0.3">
      <c r="A20" s="256" t="s">
        <v>2675</v>
      </c>
      <c r="B20" s="256" t="s">
        <v>2676</v>
      </c>
      <c r="C20" s="256" t="s">
        <v>94</v>
      </c>
      <c r="D20" s="256">
        <v>36</v>
      </c>
      <c r="E20" s="257">
        <v>45202</v>
      </c>
      <c r="F20" s="257">
        <v>45204</v>
      </c>
      <c r="G20" s="301">
        <f t="shared" ca="1" si="0"/>
        <v>867</v>
      </c>
      <c r="H20" s="256" t="s">
        <v>3304</v>
      </c>
      <c r="I20" s="257" t="s">
        <v>2637</v>
      </c>
      <c r="J20" s="256" t="s">
        <v>234</v>
      </c>
      <c r="K20" s="256">
        <v>560</v>
      </c>
      <c r="L20" s="256" t="s">
        <v>4051</v>
      </c>
      <c r="M20" s="256" t="s">
        <v>77</v>
      </c>
      <c r="N20" s="256" t="s">
        <v>2631</v>
      </c>
      <c r="O20" s="256" t="s">
        <v>3490</v>
      </c>
    </row>
    <row r="21" spans="1:15" s="296" customFormat="1" ht="19.95" customHeight="1" x14ac:dyDescent="0.3">
      <c r="A21" s="272" t="s">
        <v>3324</v>
      </c>
      <c r="B21" s="272" t="s">
        <v>3325</v>
      </c>
      <c r="C21" s="256" t="s">
        <v>162</v>
      </c>
      <c r="D21" s="256">
        <v>93</v>
      </c>
      <c r="E21" s="273">
        <v>45400</v>
      </c>
      <c r="F21" s="273">
        <v>45404</v>
      </c>
      <c r="G21" s="301">
        <f t="shared" ca="1" si="0"/>
        <v>669</v>
      </c>
      <c r="H21" s="256" t="s">
        <v>65</v>
      </c>
      <c r="I21" s="257">
        <v>45418</v>
      </c>
      <c r="J21" s="256" t="s">
        <v>234</v>
      </c>
      <c r="K21" s="256">
        <v>370</v>
      </c>
      <c r="L21" s="256" t="s">
        <v>4051</v>
      </c>
      <c r="M21" s="256" t="s">
        <v>66</v>
      </c>
      <c r="N21" s="256" t="s">
        <v>66</v>
      </c>
      <c r="O21" s="256" t="s">
        <v>3661</v>
      </c>
    </row>
    <row r="22" spans="1:15" s="296" customFormat="1" ht="19.95" customHeight="1" x14ac:dyDescent="0.3">
      <c r="A22" s="256" t="s">
        <v>2677</v>
      </c>
      <c r="B22" s="256" t="s">
        <v>2678</v>
      </c>
      <c r="C22" s="256" t="s">
        <v>163</v>
      </c>
      <c r="D22" s="256">
        <v>20</v>
      </c>
      <c r="E22" s="257">
        <v>45115</v>
      </c>
      <c r="F22" s="257">
        <v>45125</v>
      </c>
      <c r="G22" s="301">
        <f t="shared" ca="1" si="0"/>
        <v>954</v>
      </c>
      <c r="H22" s="256" t="s">
        <v>3304</v>
      </c>
      <c r="I22" s="256" t="s">
        <v>2637</v>
      </c>
      <c r="J22" s="256" t="s">
        <v>3751</v>
      </c>
      <c r="K22" s="256">
        <v>150</v>
      </c>
      <c r="L22" s="256" t="s">
        <v>4051</v>
      </c>
      <c r="M22" s="256" t="s">
        <v>77</v>
      </c>
      <c r="N22" s="256" t="s">
        <v>2631</v>
      </c>
      <c r="O22" s="256" t="s">
        <v>3482</v>
      </c>
    </row>
    <row r="23" spans="1:15" s="296" customFormat="1" ht="19.95" customHeight="1" x14ac:dyDescent="0.3">
      <c r="A23" s="256" t="s">
        <v>2679</v>
      </c>
      <c r="B23" s="256" t="s">
        <v>2680</v>
      </c>
      <c r="C23" s="256" t="s">
        <v>99</v>
      </c>
      <c r="D23" s="256"/>
      <c r="E23" s="257">
        <v>44637</v>
      </c>
      <c r="F23" s="257">
        <v>44595</v>
      </c>
      <c r="G23" s="301">
        <f t="shared" ca="1" si="0"/>
        <v>1432</v>
      </c>
      <c r="H23" s="256" t="s">
        <v>3304</v>
      </c>
      <c r="I23" s="256" t="s">
        <v>2637</v>
      </c>
      <c r="J23" s="256" t="s">
        <v>234</v>
      </c>
      <c r="K23" s="256"/>
      <c r="L23" s="256" t="s">
        <v>4051</v>
      </c>
      <c r="M23" s="256" t="s">
        <v>77</v>
      </c>
      <c r="N23" s="256" t="s">
        <v>2631</v>
      </c>
      <c r="O23" s="256" t="s">
        <v>3482</v>
      </c>
    </row>
    <row r="24" spans="1:15" s="296" customFormat="1" ht="19.95" customHeight="1" x14ac:dyDescent="0.3">
      <c r="A24" s="259" t="s">
        <v>2681</v>
      </c>
      <c r="B24" s="259" t="s">
        <v>2682</v>
      </c>
      <c r="C24" s="256" t="s">
        <v>165</v>
      </c>
      <c r="D24" s="256"/>
      <c r="E24" s="260">
        <v>45335</v>
      </c>
      <c r="F24" s="260">
        <v>45336</v>
      </c>
      <c r="G24" s="301">
        <f t="shared" ca="1" si="0"/>
        <v>734</v>
      </c>
      <c r="H24" s="256" t="s">
        <v>3304</v>
      </c>
      <c r="I24" s="256" t="s">
        <v>2637</v>
      </c>
      <c r="J24" s="256" t="s">
        <v>234</v>
      </c>
      <c r="K24" s="256"/>
      <c r="L24" s="256" t="s">
        <v>4051</v>
      </c>
      <c r="M24" s="256" t="s">
        <v>77</v>
      </c>
      <c r="N24" s="256" t="s">
        <v>2631</v>
      </c>
      <c r="O24" s="256" t="s">
        <v>3491</v>
      </c>
    </row>
    <row r="25" spans="1:15" s="296" customFormat="1" ht="19.95" customHeight="1" x14ac:dyDescent="0.3">
      <c r="A25" s="272" t="s">
        <v>2763</v>
      </c>
      <c r="B25" s="272" t="s">
        <v>2764</v>
      </c>
      <c r="C25" s="272" t="s">
        <v>4040</v>
      </c>
      <c r="D25" s="256">
        <v>3</v>
      </c>
      <c r="E25" s="273">
        <v>45381</v>
      </c>
      <c r="F25" s="273">
        <v>45384</v>
      </c>
      <c r="G25" s="301">
        <f t="shared" ca="1" si="0"/>
        <v>688</v>
      </c>
      <c r="H25" s="256" t="s">
        <v>68</v>
      </c>
      <c r="I25" s="257">
        <v>45419</v>
      </c>
      <c r="J25" s="256" t="s">
        <v>234</v>
      </c>
      <c r="K25" s="256">
        <v>150</v>
      </c>
      <c r="L25" s="256" t="s">
        <v>4051</v>
      </c>
      <c r="M25" s="256" t="s">
        <v>3305</v>
      </c>
      <c r="N25" s="256" t="s">
        <v>3305</v>
      </c>
      <c r="O25" s="256" t="s">
        <v>3631</v>
      </c>
    </row>
    <row r="26" spans="1:15" s="296" customFormat="1" ht="19.95" customHeight="1" x14ac:dyDescent="0.3">
      <c r="A26" s="259" t="s">
        <v>2889</v>
      </c>
      <c r="B26" s="259" t="s">
        <v>2890</v>
      </c>
      <c r="C26" s="259" t="s">
        <v>4041</v>
      </c>
      <c r="D26" s="256">
        <v>45</v>
      </c>
      <c r="E26" s="260">
        <v>45357</v>
      </c>
      <c r="F26" s="260">
        <v>45360</v>
      </c>
      <c r="G26" s="301">
        <f t="shared" ca="1" si="0"/>
        <v>712</v>
      </c>
      <c r="H26" s="256" t="s">
        <v>68</v>
      </c>
      <c r="I26" s="257">
        <v>45419</v>
      </c>
      <c r="J26" s="256" t="s">
        <v>234</v>
      </c>
      <c r="K26" s="256">
        <v>200</v>
      </c>
      <c r="L26" s="256" t="s">
        <v>4051</v>
      </c>
      <c r="M26" s="256" t="s">
        <v>3305</v>
      </c>
      <c r="N26" s="256" t="s">
        <v>3305</v>
      </c>
      <c r="O26" s="256" t="s">
        <v>3642</v>
      </c>
    </row>
    <row r="27" spans="1:15" s="296" customFormat="1" ht="19.95" customHeight="1" x14ac:dyDescent="0.3">
      <c r="A27" s="272" t="s">
        <v>3846</v>
      </c>
      <c r="B27" s="272" t="s">
        <v>3847</v>
      </c>
      <c r="C27" s="256" t="s">
        <v>162</v>
      </c>
      <c r="D27" s="256">
        <v>99</v>
      </c>
      <c r="E27" s="273">
        <v>45411</v>
      </c>
      <c r="F27" s="273">
        <v>45415</v>
      </c>
      <c r="G27" s="301">
        <f t="shared" ca="1" si="0"/>
        <v>658</v>
      </c>
      <c r="H27" s="256" t="s">
        <v>65</v>
      </c>
      <c r="I27" s="257">
        <v>45420</v>
      </c>
      <c r="J27" s="256" t="s">
        <v>234</v>
      </c>
      <c r="K27" s="256">
        <v>250</v>
      </c>
      <c r="L27" s="256" t="s">
        <v>4051</v>
      </c>
      <c r="M27" s="256" t="s">
        <v>66</v>
      </c>
      <c r="N27" s="256" t="s">
        <v>3308</v>
      </c>
      <c r="O27" s="256" t="s">
        <v>4052</v>
      </c>
    </row>
    <row r="28" spans="1:15" s="296" customFormat="1" ht="19.95" customHeight="1" x14ac:dyDescent="0.3">
      <c r="A28" s="270" t="s">
        <v>2687</v>
      </c>
      <c r="B28" s="270" t="s">
        <v>2688</v>
      </c>
      <c r="C28" s="256" t="s">
        <v>163</v>
      </c>
      <c r="D28" s="256"/>
      <c r="E28" s="271">
        <v>45372</v>
      </c>
      <c r="F28" s="271">
        <v>45374</v>
      </c>
      <c r="G28" s="301">
        <f t="shared" ca="1" si="0"/>
        <v>697</v>
      </c>
      <c r="H28" s="256" t="s">
        <v>3304</v>
      </c>
      <c r="I28" s="256" t="s">
        <v>2637</v>
      </c>
      <c r="J28" s="256" t="s">
        <v>234</v>
      </c>
      <c r="K28" s="256"/>
      <c r="L28" s="256" t="s">
        <v>4051</v>
      </c>
      <c r="M28" s="256" t="s">
        <v>77</v>
      </c>
      <c r="N28" s="256" t="s">
        <v>70</v>
      </c>
      <c r="O28" s="256" t="s">
        <v>70</v>
      </c>
    </row>
    <row r="29" spans="1:15" s="296" customFormat="1" ht="19.95" customHeight="1" x14ac:dyDescent="0.3">
      <c r="A29" s="256" t="s">
        <v>2689</v>
      </c>
      <c r="B29" s="256" t="s">
        <v>2690</v>
      </c>
      <c r="C29" s="256" t="s">
        <v>117</v>
      </c>
      <c r="D29" s="256">
        <v>47</v>
      </c>
      <c r="E29" s="257">
        <v>45272</v>
      </c>
      <c r="F29" s="257">
        <v>45273</v>
      </c>
      <c r="G29" s="301">
        <f t="shared" ca="1" si="0"/>
        <v>797</v>
      </c>
      <c r="H29" s="256" t="s">
        <v>3304</v>
      </c>
      <c r="I29" s="256" t="s">
        <v>2637</v>
      </c>
      <c r="J29" s="256" t="s">
        <v>234</v>
      </c>
      <c r="K29" s="256">
        <v>250</v>
      </c>
      <c r="L29" s="256" t="s">
        <v>4051</v>
      </c>
      <c r="M29" s="256" t="s">
        <v>77</v>
      </c>
      <c r="N29" s="256" t="s">
        <v>2631</v>
      </c>
      <c r="O29" s="256" t="s">
        <v>3494</v>
      </c>
    </row>
    <row r="30" spans="1:15" s="296" customFormat="1" ht="19.95" customHeight="1" x14ac:dyDescent="0.3">
      <c r="A30" s="256" t="s">
        <v>2691</v>
      </c>
      <c r="B30" s="256" t="s">
        <v>2692</v>
      </c>
      <c r="C30" s="256" t="s">
        <v>94</v>
      </c>
      <c r="D30" s="256">
        <v>3</v>
      </c>
      <c r="E30" s="257">
        <v>44936</v>
      </c>
      <c r="F30" s="257">
        <v>45190</v>
      </c>
      <c r="G30" s="301">
        <f t="shared" ca="1" si="0"/>
        <v>1133</v>
      </c>
      <c r="H30" s="256" t="s">
        <v>3304</v>
      </c>
      <c r="I30" s="256" t="s">
        <v>2637</v>
      </c>
      <c r="J30" s="256" t="s">
        <v>3751</v>
      </c>
      <c r="K30" s="256">
        <v>300</v>
      </c>
      <c r="L30" s="256" t="s">
        <v>4051</v>
      </c>
      <c r="M30" s="256" t="s">
        <v>77</v>
      </c>
      <c r="N30" s="256" t="s">
        <v>3306</v>
      </c>
      <c r="O30" s="256" t="s">
        <v>3495</v>
      </c>
    </row>
    <row r="31" spans="1:15" s="296" customFormat="1" ht="19.95" customHeight="1" x14ac:dyDescent="0.3">
      <c r="A31" s="256" t="s">
        <v>2693</v>
      </c>
      <c r="B31" s="256" t="s">
        <v>2694</v>
      </c>
      <c r="C31" s="256" t="s">
        <v>117</v>
      </c>
      <c r="D31" s="256">
        <v>38</v>
      </c>
      <c r="E31" s="257">
        <v>45203</v>
      </c>
      <c r="F31" s="257">
        <v>45204</v>
      </c>
      <c r="G31" s="301">
        <f t="shared" ca="1" si="0"/>
        <v>866</v>
      </c>
      <c r="H31" s="256" t="s">
        <v>3304</v>
      </c>
      <c r="I31" s="256" t="s">
        <v>2637</v>
      </c>
      <c r="J31" s="256" t="s">
        <v>234</v>
      </c>
      <c r="K31" s="256">
        <v>450</v>
      </c>
      <c r="L31" s="256" t="s">
        <v>4051</v>
      </c>
      <c r="M31" s="256" t="s">
        <v>77</v>
      </c>
      <c r="N31" s="256" t="s">
        <v>3307</v>
      </c>
      <c r="O31" s="256" t="s">
        <v>3496</v>
      </c>
    </row>
    <row r="32" spans="1:15" s="296" customFormat="1" ht="19.95" customHeight="1" x14ac:dyDescent="0.3">
      <c r="A32" s="256" t="s">
        <v>2695</v>
      </c>
      <c r="B32" s="256" t="s">
        <v>2696</v>
      </c>
      <c r="C32" s="256" t="s">
        <v>94</v>
      </c>
      <c r="D32" s="256"/>
      <c r="E32" s="257">
        <v>45296</v>
      </c>
      <c r="F32" s="257">
        <v>45299</v>
      </c>
      <c r="G32" s="301">
        <f t="shared" ca="1" si="0"/>
        <v>773</v>
      </c>
      <c r="H32" s="256" t="s">
        <v>3304</v>
      </c>
      <c r="I32" s="256" t="s">
        <v>2637</v>
      </c>
      <c r="J32" s="256" t="s">
        <v>234</v>
      </c>
      <c r="K32" s="256"/>
      <c r="L32" s="256" t="s">
        <v>4051</v>
      </c>
      <c r="M32" s="256" t="s">
        <v>77</v>
      </c>
      <c r="N32" s="256" t="s">
        <v>70</v>
      </c>
      <c r="O32" s="256" t="s">
        <v>3497</v>
      </c>
    </row>
    <row r="33" spans="1:15" s="296" customFormat="1" ht="19.95" customHeight="1" x14ac:dyDescent="0.3">
      <c r="A33" s="256" t="s">
        <v>2697</v>
      </c>
      <c r="B33" s="256" t="s">
        <v>2698</v>
      </c>
      <c r="C33" s="256" t="s">
        <v>163</v>
      </c>
      <c r="D33" s="256">
        <v>281</v>
      </c>
      <c r="E33" s="257">
        <v>45055</v>
      </c>
      <c r="F33" s="257">
        <v>45056</v>
      </c>
      <c r="G33" s="301">
        <f t="shared" ca="1" si="0"/>
        <v>1014</v>
      </c>
      <c r="H33" s="256" t="s">
        <v>3304</v>
      </c>
      <c r="I33" s="256" t="s">
        <v>2637</v>
      </c>
      <c r="J33" s="256" t="s">
        <v>234</v>
      </c>
      <c r="K33" s="256">
        <v>150</v>
      </c>
      <c r="L33" s="256" t="s">
        <v>4051</v>
      </c>
      <c r="M33" s="256" t="s">
        <v>77</v>
      </c>
      <c r="N33" s="256" t="s">
        <v>2631</v>
      </c>
      <c r="O33" s="256" t="s">
        <v>3482</v>
      </c>
    </row>
    <row r="34" spans="1:15" s="296" customFormat="1" ht="19.95" customHeight="1" x14ac:dyDescent="0.3">
      <c r="A34" s="272" t="s">
        <v>2699</v>
      </c>
      <c r="B34" s="272" t="s">
        <v>2700</v>
      </c>
      <c r="C34" s="256" t="s">
        <v>94</v>
      </c>
      <c r="D34" s="256"/>
      <c r="E34" s="273">
        <v>45385</v>
      </c>
      <c r="F34" s="273">
        <v>45387</v>
      </c>
      <c r="G34" s="301">
        <f t="shared" ca="1" si="0"/>
        <v>684</v>
      </c>
      <c r="H34" s="256" t="s">
        <v>68</v>
      </c>
      <c r="I34" s="266" t="s">
        <v>2637</v>
      </c>
      <c r="J34" s="256" t="s">
        <v>234</v>
      </c>
      <c r="K34" s="256">
        <v>400</v>
      </c>
      <c r="L34" s="256" t="s">
        <v>4051</v>
      </c>
      <c r="M34" s="256" t="s">
        <v>77</v>
      </c>
      <c r="N34" s="256" t="s">
        <v>86</v>
      </c>
      <c r="O34" s="256" t="s">
        <v>3811</v>
      </c>
    </row>
    <row r="35" spans="1:15" s="296" customFormat="1" ht="19.95" customHeight="1" x14ac:dyDescent="0.3">
      <c r="A35" s="256" t="s">
        <v>2841</v>
      </c>
      <c r="B35" s="256" t="s">
        <v>2842</v>
      </c>
      <c r="C35" s="256" t="s">
        <v>136</v>
      </c>
      <c r="D35" s="256">
        <v>72</v>
      </c>
      <c r="E35" s="257">
        <v>45309</v>
      </c>
      <c r="F35" s="257">
        <v>45336</v>
      </c>
      <c r="G35" s="301">
        <f t="shared" ca="1" si="0"/>
        <v>760</v>
      </c>
      <c r="H35" s="256" t="s">
        <v>68</v>
      </c>
      <c r="I35" s="257">
        <v>45420</v>
      </c>
      <c r="J35" s="256" t="s">
        <v>234</v>
      </c>
      <c r="K35" s="256">
        <v>200</v>
      </c>
      <c r="L35" s="256" t="s">
        <v>4051</v>
      </c>
      <c r="M35" s="256" t="s">
        <v>3305</v>
      </c>
      <c r="N35" s="256" t="s">
        <v>3305</v>
      </c>
      <c r="O35" s="256" t="s">
        <v>3539</v>
      </c>
    </row>
    <row r="36" spans="1:15" s="296" customFormat="1" ht="19.95" customHeight="1" x14ac:dyDescent="0.3">
      <c r="A36" s="272" t="s">
        <v>3320</v>
      </c>
      <c r="B36" s="272" t="s">
        <v>3321</v>
      </c>
      <c r="C36" s="256" t="s">
        <v>164</v>
      </c>
      <c r="D36" s="256">
        <v>11</v>
      </c>
      <c r="E36" s="273">
        <v>45403</v>
      </c>
      <c r="F36" s="273">
        <v>45404</v>
      </c>
      <c r="G36" s="301">
        <f t="shared" ca="1" si="0"/>
        <v>666</v>
      </c>
      <c r="H36" s="256" t="s">
        <v>65</v>
      </c>
      <c r="I36" s="257" t="s">
        <v>2637</v>
      </c>
      <c r="J36" s="256" t="s">
        <v>234</v>
      </c>
      <c r="K36" s="256">
        <v>100</v>
      </c>
      <c r="L36" s="256" t="s">
        <v>4051</v>
      </c>
      <c r="M36" s="256" t="s">
        <v>77</v>
      </c>
      <c r="N36" s="256" t="s">
        <v>3327</v>
      </c>
      <c r="O36" s="256" t="s">
        <v>3499</v>
      </c>
    </row>
    <row r="37" spans="1:15" s="296" customFormat="1" ht="19.95" customHeight="1" x14ac:dyDescent="0.3">
      <c r="A37" s="256" t="s">
        <v>2703</v>
      </c>
      <c r="B37" s="256" t="s">
        <v>2704</v>
      </c>
      <c r="C37" s="256" t="s">
        <v>165</v>
      </c>
      <c r="D37" s="256">
        <v>32</v>
      </c>
      <c r="E37" s="257">
        <v>45042</v>
      </c>
      <c r="F37" s="257">
        <v>45042</v>
      </c>
      <c r="G37" s="301">
        <f t="shared" ca="1" si="0"/>
        <v>1027</v>
      </c>
      <c r="H37" s="256" t="s">
        <v>3304</v>
      </c>
      <c r="I37" s="256" t="s">
        <v>2637</v>
      </c>
      <c r="J37" s="256" t="s">
        <v>234</v>
      </c>
      <c r="K37" s="256">
        <v>250</v>
      </c>
      <c r="L37" s="256" t="s">
        <v>4051</v>
      </c>
      <c r="M37" s="256" t="s">
        <v>77</v>
      </c>
      <c r="N37" s="256" t="s">
        <v>3306</v>
      </c>
      <c r="O37" s="256" t="s">
        <v>3500</v>
      </c>
    </row>
    <row r="38" spans="1:15" s="296" customFormat="1" ht="19.95" customHeight="1" x14ac:dyDescent="0.3">
      <c r="A38" s="256" t="s">
        <v>2705</v>
      </c>
      <c r="B38" s="256" t="s">
        <v>2706</v>
      </c>
      <c r="C38" s="256" t="s">
        <v>94</v>
      </c>
      <c r="D38" s="256">
        <v>60</v>
      </c>
      <c r="E38" s="257">
        <v>45258</v>
      </c>
      <c r="F38" s="257">
        <v>45259</v>
      </c>
      <c r="G38" s="301">
        <f t="shared" ca="1" si="0"/>
        <v>811</v>
      </c>
      <c r="H38" s="256" t="s">
        <v>3304</v>
      </c>
      <c r="I38" s="256" t="s">
        <v>2637</v>
      </c>
      <c r="J38" s="256" t="s">
        <v>234</v>
      </c>
      <c r="K38" s="256">
        <v>350</v>
      </c>
      <c r="L38" s="256" t="s">
        <v>4051</v>
      </c>
      <c r="M38" s="256" t="s">
        <v>77</v>
      </c>
      <c r="N38" s="256" t="s">
        <v>3307</v>
      </c>
      <c r="O38" s="256" t="s">
        <v>3501</v>
      </c>
    </row>
    <row r="39" spans="1:15" s="296" customFormat="1" ht="19.95" customHeight="1" x14ac:dyDescent="0.3">
      <c r="A39" s="256" t="s">
        <v>2873</v>
      </c>
      <c r="B39" s="256" t="s">
        <v>2874</v>
      </c>
      <c r="C39" s="259" t="s">
        <v>2648</v>
      </c>
      <c r="D39" s="256">
        <v>59</v>
      </c>
      <c r="E39" s="257">
        <v>45269</v>
      </c>
      <c r="F39" s="257">
        <v>45269</v>
      </c>
      <c r="G39" s="301">
        <f t="shared" ca="1" si="0"/>
        <v>800</v>
      </c>
      <c r="H39" s="256" t="s">
        <v>68</v>
      </c>
      <c r="I39" s="257">
        <v>45420</v>
      </c>
      <c r="J39" s="256" t="s">
        <v>234</v>
      </c>
      <c r="K39" s="256">
        <v>100</v>
      </c>
      <c r="L39" s="256" t="s">
        <v>4051</v>
      </c>
      <c r="M39" s="256" t="s">
        <v>3305</v>
      </c>
      <c r="N39" s="256" t="s">
        <v>3305</v>
      </c>
      <c r="O39" s="256" t="s">
        <v>3540</v>
      </c>
    </row>
    <row r="40" spans="1:15" s="296" customFormat="1" ht="19.95" customHeight="1" x14ac:dyDescent="0.3">
      <c r="A40" s="256" t="s">
        <v>2709</v>
      </c>
      <c r="B40" s="256" t="s">
        <v>2710</v>
      </c>
      <c r="C40" s="256" t="s">
        <v>94</v>
      </c>
      <c r="D40" s="256">
        <v>25</v>
      </c>
      <c r="E40" s="257">
        <v>45275</v>
      </c>
      <c r="F40" s="257">
        <v>45276</v>
      </c>
      <c r="G40" s="301">
        <f t="shared" ca="1" si="0"/>
        <v>794</v>
      </c>
      <c r="H40" s="256" t="s">
        <v>3304</v>
      </c>
      <c r="I40" s="257" t="s">
        <v>2637</v>
      </c>
      <c r="J40" s="256" t="s">
        <v>234</v>
      </c>
      <c r="K40" s="256">
        <v>300</v>
      </c>
      <c r="L40" s="256" t="s">
        <v>4051</v>
      </c>
      <c r="M40" s="256" t="s">
        <v>77</v>
      </c>
      <c r="N40" s="256" t="s">
        <v>3307</v>
      </c>
      <c r="O40" s="256" t="s">
        <v>3503</v>
      </c>
    </row>
    <row r="41" spans="1:15" s="296" customFormat="1" ht="19.95" customHeight="1" x14ac:dyDescent="0.3">
      <c r="A41" s="256" t="s">
        <v>2959</v>
      </c>
      <c r="B41" s="256" t="s">
        <v>2960</v>
      </c>
      <c r="C41" s="276" t="s">
        <v>93</v>
      </c>
      <c r="D41" s="256">
        <v>26</v>
      </c>
      <c r="E41" s="257">
        <v>45331</v>
      </c>
      <c r="F41" s="257">
        <v>45332</v>
      </c>
      <c r="G41" s="301">
        <f t="shared" ca="1" si="0"/>
        <v>738</v>
      </c>
      <c r="H41" s="256" t="s">
        <v>65</v>
      </c>
      <c r="I41" s="257">
        <v>45418</v>
      </c>
      <c r="J41" s="256" t="s">
        <v>234</v>
      </c>
      <c r="K41" s="256">
        <v>380</v>
      </c>
      <c r="L41" s="256" t="s">
        <v>4051</v>
      </c>
      <c r="M41" s="256" t="s">
        <v>66</v>
      </c>
      <c r="N41" s="256" t="s">
        <v>66</v>
      </c>
      <c r="O41" s="256" t="s">
        <v>3571</v>
      </c>
    </row>
    <row r="42" spans="1:15" s="296" customFormat="1" ht="19.95" customHeight="1" x14ac:dyDescent="0.3">
      <c r="A42" s="272" t="s">
        <v>2711</v>
      </c>
      <c r="B42" s="272" t="s">
        <v>2712</v>
      </c>
      <c r="C42" s="259" t="s">
        <v>98</v>
      </c>
      <c r="D42" s="256">
        <v>93</v>
      </c>
      <c r="E42" s="273">
        <v>45373</v>
      </c>
      <c r="F42" s="273">
        <v>45376</v>
      </c>
      <c r="G42" s="301">
        <f t="shared" ca="1" si="0"/>
        <v>696</v>
      </c>
      <c r="H42" s="256" t="s">
        <v>3304</v>
      </c>
      <c r="I42" s="257" t="s">
        <v>2637</v>
      </c>
      <c r="J42" s="256" t="s">
        <v>234</v>
      </c>
      <c r="K42" s="256">
        <v>250</v>
      </c>
      <c r="L42" s="256" t="s">
        <v>4051</v>
      </c>
      <c r="M42" s="256" t="s">
        <v>77</v>
      </c>
      <c r="N42" s="256" t="s">
        <v>3307</v>
      </c>
      <c r="O42" s="256" t="s">
        <v>4053</v>
      </c>
    </row>
    <row r="43" spans="1:15" s="296" customFormat="1" ht="19.95" customHeight="1" x14ac:dyDescent="0.3">
      <c r="A43" s="272" t="s">
        <v>3848</v>
      </c>
      <c r="B43" s="272" t="s">
        <v>3849</v>
      </c>
      <c r="C43" s="272" t="s">
        <v>100</v>
      </c>
      <c r="D43" s="256">
        <v>61</v>
      </c>
      <c r="E43" s="273">
        <v>45414</v>
      </c>
      <c r="F43" s="273">
        <v>45415</v>
      </c>
      <c r="G43" s="301">
        <f t="shared" ca="1" si="0"/>
        <v>655</v>
      </c>
      <c r="H43" s="256" t="s">
        <v>65</v>
      </c>
      <c r="I43" s="257">
        <v>45420</v>
      </c>
      <c r="J43" s="256" t="s">
        <v>234</v>
      </c>
      <c r="K43" s="256">
        <v>400</v>
      </c>
      <c r="L43" s="256" t="s">
        <v>4051</v>
      </c>
      <c r="M43" s="256" t="s">
        <v>66</v>
      </c>
      <c r="N43" s="256" t="s">
        <v>3308</v>
      </c>
      <c r="O43" s="256" t="s">
        <v>4054</v>
      </c>
    </row>
    <row r="44" spans="1:15" s="296" customFormat="1" ht="19.95" customHeight="1" x14ac:dyDescent="0.3">
      <c r="A44" s="272" t="s">
        <v>3314</v>
      </c>
      <c r="B44" s="272" t="s">
        <v>3315</v>
      </c>
      <c r="C44" s="259" t="s">
        <v>103</v>
      </c>
      <c r="D44" s="256"/>
      <c r="E44" s="273">
        <v>45402</v>
      </c>
      <c r="F44" s="273">
        <v>45404</v>
      </c>
      <c r="G44" s="301">
        <f t="shared" ca="1" si="0"/>
        <v>667</v>
      </c>
      <c r="H44" s="256" t="s">
        <v>3304</v>
      </c>
      <c r="I44" s="256"/>
      <c r="J44" s="256" t="s">
        <v>234</v>
      </c>
      <c r="K44" s="256"/>
      <c r="L44" s="256" t="s">
        <v>4051</v>
      </c>
      <c r="M44" s="256" t="s">
        <v>77</v>
      </c>
      <c r="N44" s="256" t="s">
        <v>70</v>
      </c>
      <c r="O44" s="256" t="s">
        <v>3505</v>
      </c>
    </row>
    <row r="45" spans="1:15" s="296" customFormat="1" ht="19.95" customHeight="1" x14ac:dyDescent="0.3">
      <c r="A45" s="256" t="s">
        <v>2713</v>
      </c>
      <c r="B45" s="256" t="s">
        <v>2714</v>
      </c>
      <c r="C45" s="259" t="s">
        <v>103</v>
      </c>
      <c r="D45" s="256">
        <v>67</v>
      </c>
      <c r="E45" s="257">
        <v>45237</v>
      </c>
      <c r="F45" s="257">
        <v>45238</v>
      </c>
      <c r="G45" s="301">
        <f t="shared" ca="1" si="0"/>
        <v>832</v>
      </c>
      <c r="H45" s="256" t="s">
        <v>3304</v>
      </c>
      <c r="I45" s="256" t="s">
        <v>2637</v>
      </c>
      <c r="J45" s="256" t="s">
        <v>234</v>
      </c>
      <c r="K45" s="256">
        <v>320</v>
      </c>
      <c r="L45" s="256" t="s">
        <v>4051</v>
      </c>
      <c r="M45" s="256" t="s">
        <v>77</v>
      </c>
      <c r="N45" s="256" t="s">
        <v>3306</v>
      </c>
      <c r="O45" s="256" t="s">
        <v>3506</v>
      </c>
    </row>
    <row r="46" spans="1:15" s="296" customFormat="1" ht="19.95" customHeight="1" x14ac:dyDescent="0.3">
      <c r="A46" s="256" t="s">
        <v>2715</v>
      </c>
      <c r="B46" s="256" t="s">
        <v>2716</v>
      </c>
      <c r="C46" s="256" t="s">
        <v>165</v>
      </c>
      <c r="D46" s="256">
        <v>32</v>
      </c>
      <c r="E46" s="256">
        <v>44599</v>
      </c>
      <c r="F46" s="256">
        <v>44599</v>
      </c>
      <c r="G46" s="301">
        <f t="shared" ca="1" si="0"/>
        <v>1470</v>
      </c>
      <c r="H46" s="256" t="s">
        <v>3304</v>
      </c>
      <c r="I46" s="256" t="s">
        <v>2637</v>
      </c>
      <c r="J46" s="256" t="s">
        <v>234</v>
      </c>
      <c r="K46" s="256">
        <v>150</v>
      </c>
      <c r="L46" s="256" t="s">
        <v>4051</v>
      </c>
      <c r="M46" s="256" t="s">
        <v>77</v>
      </c>
      <c r="N46" s="256" t="s">
        <v>3306</v>
      </c>
      <c r="O46" s="256" t="s">
        <v>3507</v>
      </c>
    </row>
    <row r="47" spans="1:15" s="296" customFormat="1" ht="19.95" customHeight="1" x14ac:dyDescent="0.3">
      <c r="A47" s="272" t="s">
        <v>2877</v>
      </c>
      <c r="B47" s="272" t="s">
        <v>2878</v>
      </c>
      <c r="C47" s="276" t="s">
        <v>93</v>
      </c>
      <c r="D47" s="256">
        <v>16</v>
      </c>
      <c r="E47" s="273">
        <v>45373</v>
      </c>
      <c r="F47" s="273">
        <v>45376</v>
      </c>
      <c r="G47" s="301">
        <f t="shared" ca="1" si="0"/>
        <v>696</v>
      </c>
      <c r="H47" s="256" t="s">
        <v>68</v>
      </c>
      <c r="I47" s="257">
        <v>45419</v>
      </c>
      <c r="J47" s="256" t="s">
        <v>234</v>
      </c>
      <c r="K47" s="256">
        <v>350</v>
      </c>
      <c r="L47" s="256" t="s">
        <v>4051</v>
      </c>
      <c r="M47" s="256" t="s">
        <v>66</v>
      </c>
      <c r="N47" s="256" t="s">
        <v>66</v>
      </c>
      <c r="O47" s="256" t="s">
        <v>3554</v>
      </c>
    </row>
    <row r="48" spans="1:15" s="296" customFormat="1" ht="19.95" customHeight="1" x14ac:dyDescent="0.3">
      <c r="A48" s="259" t="s">
        <v>2719</v>
      </c>
      <c r="B48" s="259" t="s">
        <v>2720</v>
      </c>
      <c r="C48" s="259" t="s">
        <v>103</v>
      </c>
      <c r="D48" s="256"/>
      <c r="E48" s="260">
        <v>45352</v>
      </c>
      <c r="F48" s="260">
        <v>45353</v>
      </c>
      <c r="G48" s="301">
        <f t="shared" ca="1" si="0"/>
        <v>717</v>
      </c>
      <c r="H48" s="256" t="s">
        <v>41</v>
      </c>
      <c r="I48" s="257" t="s">
        <v>2637</v>
      </c>
      <c r="J48" s="256" t="s">
        <v>234</v>
      </c>
      <c r="K48" s="256">
        <v>900</v>
      </c>
      <c r="L48" s="256"/>
      <c r="M48" s="256" t="s">
        <v>41</v>
      </c>
      <c r="N48" s="256" t="s">
        <v>41</v>
      </c>
      <c r="O48" s="256" t="s">
        <v>3508</v>
      </c>
    </row>
    <row r="49" spans="1:15" s="296" customFormat="1" ht="19.95" customHeight="1" x14ac:dyDescent="0.3">
      <c r="A49" s="256" t="s">
        <v>2721</v>
      </c>
      <c r="B49" s="256" t="s">
        <v>2722</v>
      </c>
      <c r="C49" s="256" t="s">
        <v>94</v>
      </c>
      <c r="D49" s="256">
        <v>25</v>
      </c>
      <c r="E49" s="257">
        <v>45161</v>
      </c>
      <c r="F49" s="257">
        <v>45162</v>
      </c>
      <c r="G49" s="301">
        <f t="shared" ca="1" si="0"/>
        <v>908</v>
      </c>
      <c r="H49" s="256" t="s">
        <v>3304</v>
      </c>
      <c r="I49" s="256" t="s">
        <v>2637</v>
      </c>
      <c r="J49" s="256" t="s">
        <v>234</v>
      </c>
      <c r="K49" s="256">
        <v>150</v>
      </c>
      <c r="L49" s="256" t="s">
        <v>4051</v>
      </c>
      <c r="M49" s="256" t="s">
        <v>77</v>
      </c>
      <c r="N49" s="256" t="s">
        <v>3307</v>
      </c>
      <c r="O49" s="256" t="s">
        <v>3509</v>
      </c>
    </row>
    <row r="50" spans="1:15" s="296" customFormat="1" ht="19.95" customHeight="1" x14ac:dyDescent="0.3">
      <c r="A50" s="256" t="s">
        <v>2723</v>
      </c>
      <c r="B50" s="256" t="s">
        <v>2724</v>
      </c>
      <c r="C50" s="256" t="s">
        <v>99</v>
      </c>
      <c r="D50" s="256">
        <v>67</v>
      </c>
      <c r="E50" s="257">
        <v>44601</v>
      </c>
      <c r="F50" s="257">
        <v>44601</v>
      </c>
      <c r="G50" s="301">
        <f t="shared" ca="1" si="0"/>
        <v>1468</v>
      </c>
      <c r="H50" s="256" t="s">
        <v>3304</v>
      </c>
      <c r="I50" s="256" t="s">
        <v>2637</v>
      </c>
      <c r="J50" s="256" t="s">
        <v>234</v>
      </c>
      <c r="K50" s="256">
        <v>260</v>
      </c>
      <c r="L50" s="256" t="s">
        <v>4051</v>
      </c>
      <c r="M50" s="256" t="s">
        <v>77</v>
      </c>
      <c r="N50" s="256" t="s">
        <v>2631</v>
      </c>
      <c r="O50" s="256" t="s">
        <v>3482</v>
      </c>
    </row>
    <row r="51" spans="1:15" s="296" customFormat="1" ht="19.95" customHeight="1" x14ac:dyDescent="0.3">
      <c r="A51" s="259" t="s">
        <v>2725</v>
      </c>
      <c r="B51" s="259" t="s">
        <v>2726</v>
      </c>
      <c r="C51" s="256" t="s">
        <v>163</v>
      </c>
      <c r="D51" s="256">
        <v>130</v>
      </c>
      <c r="E51" s="260">
        <v>45369</v>
      </c>
      <c r="F51" s="260">
        <v>45371</v>
      </c>
      <c r="G51" s="301">
        <f t="shared" ca="1" si="0"/>
        <v>700</v>
      </c>
      <c r="H51" s="256" t="s">
        <v>41</v>
      </c>
      <c r="I51" s="257" t="s">
        <v>2637</v>
      </c>
      <c r="J51" s="256" t="s">
        <v>234</v>
      </c>
      <c r="K51" s="256">
        <v>100</v>
      </c>
      <c r="L51" s="256" t="s">
        <v>4051</v>
      </c>
      <c r="M51" s="256" t="s">
        <v>41</v>
      </c>
      <c r="N51" s="256" t="s">
        <v>41</v>
      </c>
      <c r="O51" s="256" t="s">
        <v>3510</v>
      </c>
    </row>
    <row r="52" spans="1:15" s="296" customFormat="1" ht="19.95" customHeight="1" x14ac:dyDescent="0.3">
      <c r="A52" s="276" t="s">
        <v>2727</v>
      </c>
      <c r="B52" s="276" t="s">
        <v>2728</v>
      </c>
      <c r="C52" s="256" t="s">
        <v>94</v>
      </c>
      <c r="D52" s="256"/>
      <c r="E52" s="277">
        <v>45394</v>
      </c>
      <c r="F52" s="277">
        <v>45397</v>
      </c>
      <c r="G52" s="301">
        <f t="shared" ca="1" si="0"/>
        <v>675</v>
      </c>
      <c r="H52" s="256" t="s">
        <v>68</v>
      </c>
      <c r="I52" s="256" t="s">
        <v>2637</v>
      </c>
      <c r="J52" s="256" t="s">
        <v>234</v>
      </c>
      <c r="K52" s="256"/>
      <c r="L52" s="256" t="s">
        <v>4051</v>
      </c>
      <c r="M52" s="256" t="s">
        <v>77</v>
      </c>
      <c r="N52" s="306" t="s">
        <v>86</v>
      </c>
      <c r="O52" s="256" t="s">
        <v>3511</v>
      </c>
    </row>
    <row r="53" spans="1:15" s="296" customFormat="1" ht="19.95" customHeight="1" x14ac:dyDescent="0.3">
      <c r="A53" s="276" t="s">
        <v>3441</v>
      </c>
      <c r="B53" s="276" t="s">
        <v>3442</v>
      </c>
      <c r="C53" s="259" t="s">
        <v>4039</v>
      </c>
      <c r="D53" s="256">
        <v>38</v>
      </c>
      <c r="E53" s="277">
        <v>45408</v>
      </c>
      <c r="F53" s="277">
        <v>45408</v>
      </c>
      <c r="G53" s="301">
        <f t="shared" ca="1" si="0"/>
        <v>661</v>
      </c>
      <c r="H53" s="256" t="s">
        <v>65</v>
      </c>
      <c r="I53" s="257">
        <v>45418</v>
      </c>
      <c r="J53" s="256" t="s">
        <v>234</v>
      </c>
      <c r="K53" s="256">
        <v>300</v>
      </c>
      <c r="L53" s="256" t="s">
        <v>4051</v>
      </c>
      <c r="M53" s="256" t="s">
        <v>66</v>
      </c>
      <c r="N53" s="256" t="s">
        <v>66</v>
      </c>
      <c r="O53" s="256" t="s">
        <v>3810</v>
      </c>
    </row>
    <row r="54" spans="1:15" s="296" customFormat="1" ht="19.95" customHeight="1" x14ac:dyDescent="0.3">
      <c r="A54" s="256" t="s">
        <v>2729</v>
      </c>
      <c r="B54" s="256" t="s">
        <v>2730</v>
      </c>
      <c r="C54" s="256" t="s">
        <v>165</v>
      </c>
      <c r="D54" s="256"/>
      <c r="E54" s="257">
        <v>44595</v>
      </c>
      <c r="F54" s="257">
        <v>44596</v>
      </c>
      <c r="G54" s="301">
        <f t="shared" ca="1" si="0"/>
        <v>1474</v>
      </c>
      <c r="H54" s="256" t="s">
        <v>3304</v>
      </c>
      <c r="I54" s="256" t="s">
        <v>2637</v>
      </c>
      <c r="J54" s="256" t="s">
        <v>234</v>
      </c>
      <c r="K54" s="256"/>
      <c r="L54" s="256" t="s">
        <v>4051</v>
      </c>
      <c r="M54" s="256" t="s">
        <v>77</v>
      </c>
      <c r="N54" s="256" t="s">
        <v>2631</v>
      </c>
      <c r="O54" s="256" t="s">
        <v>3482</v>
      </c>
    </row>
    <row r="55" spans="1:15" s="296" customFormat="1" ht="19.95" customHeight="1" x14ac:dyDescent="0.3">
      <c r="A55" s="272" t="s">
        <v>2731</v>
      </c>
      <c r="B55" s="272" t="s">
        <v>2732</v>
      </c>
      <c r="C55" s="256" t="s">
        <v>163</v>
      </c>
      <c r="D55" s="256">
        <v>393</v>
      </c>
      <c r="E55" s="273">
        <v>45385</v>
      </c>
      <c r="F55" s="273">
        <v>45387</v>
      </c>
      <c r="G55" s="301">
        <f t="shared" ca="1" si="0"/>
        <v>684</v>
      </c>
      <c r="H55" s="256" t="s">
        <v>41</v>
      </c>
      <c r="I55" s="257" t="s">
        <v>2637</v>
      </c>
      <c r="J55" s="256" t="s">
        <v>234</v>
      </c>
      <c r="K55" s="256">
        <v>100</v>
      </c>
      <c r="L55" s="256" t="s">
        <v>4051</v>
      </c>
      <c r="M55" s="256" t="s">
        <v>41</v>
      </c>
      <c r="N55" s="256" t="s">
        <v>41</v>
      </c>
      <c r="O55" s="256" t="s">
        <v>3512</v>
      </c>
    </row>
    <row r="56" spans="1:15" s="296" customFormat="1" ht="19.95" customHeight="1" x14ac:dyDescent="0.3">
      <c r="A56" s="256" t="s">
        <v>2733</v>
      </c>
      <c r="B56" s="256" t="s">
        <v>2734</v>
      </c>
      <c r="C56" s="256" t="s">
        <v>94</v>
      </c>
      <c r="D56" s="256">
        <v>25</v>
      </c>
      <c r="E56" s="257">
        <v>44922</v>
      </c>
      <c r="F56" s="257">
        <v>45190</v>
      </c>
      <c r="G56" s="301">
        <f t="shared" ca="1" si="0"/>
        <v>1147</v>
      </c>
      <c r="H56" s="256" t="s">
        <v>3304</v>
      </c>
      <c r="I56" s="256" t="s">
        <v>2637</v>
      </c>
      <c r="J56" s="256" t="s">
        <v>3751</v>
      </c>
      <c r="K56" s="256">
        <v>200</v>
      </c>
      <c r="L56" s="256" t="s">
        <v>4051</v>
      </c>
      <c r="M56" s="256" t="s">
        <v>77</v>
      </c>
      <c r="N56" s="256" t="s">
        <v>2631</v>
      </c>
      <c r="O56" s="256" t="s">
        <v>3482</v>
      </c>
    </row>
    <row r="57" spans="1:15" s="296" customFormat="1" ht="19.95" customHeight="1" x14ac:dyDescent="0.3">
      <c r="A57" s="259" t="s">
        <v>2735</v>
      </c>
      <c r="B57" s="259" t="s">
        <v>2736</v>
      </c>
      <c r="C57" s="256" t="s">
        <v>165</v>
      </c>
      <c r="D57" s="256"/>
      <c r="E57" s="260">
        <v>45335</v>
      </c>
      <c r="F57" s="260">
        <v>45352</v>
      </c>
      <c r="G57" s="301">
        <f t="shared" ca="1" si="0"/>
        <v>734</v>
      </c>
      <c r="H57" s="256" t="s">
        <v>3304</v>
      </c>
      <c r="I57" s="257" t="s">
        <v>2637</v>
      </c>
      <c r="J57" s="256" t="s">
        <v>234</v>
      </c>
      <c r="K57" s="256"/>
      <c r="L57" s="256"/>
      <c r="M57" s="256" t="s">
        <v>77</v>
      </c>
      <c r="N57" s="256" t="s">
        <v>70</v>
      </c>
      <c r="O57" s="256" t="s">
        <v>3497</v>
      </c>
    </row>
    <row r="58" spans="1:15" s="296" customFormat="1" ht="19.95" customHeight="1" x14ac:dyDescent="0.3">
      <c r="A58" s="256" t="s">
        <v>2737</v>
      </c>
      <c r="B58" s="256" t="s">
        <v>2738</v>
      </c>
      <c r="C58" s="256" t="s">
        <v>117</v>
      </c>
      <c r="D58" s="256"/>
      <c r="E58" s="257">
        <v>44935</v>
      </c>
      <c r="F58" s="257">
        <v>44949</v>
      </c>
      <c r="G58" s="301">
        <f t="shared" ca="1" si="0"/>
        <v>1134</v>
      </c>
      <c r="H58" s="256" t="s">
        <v>3304</v>
      </c>
      <c r="I58" s="256" t="s">
        <v>2637</v>
      </c>
      <c r="J58" s="256" t="s">
        <v>234</v>
      </c>
      <c r="K58" s="256"/>
      <c r="L58" s="256" t="s">
        <v>4051</v>
      </c>
      <c r="M58" s="256" t="s">
        <v>77</v>
      </c>
      <c r="N58" s="256" t="s">
        <v>2631</v>
      </c>
      <c r="O58" s="256" t="s">
        <v>3482</v>
      </c>
    </row>
    <row r="59" spans="1:15" s="296" customFormat="1" ht="19.95" customHeight="1" x14ac:dyDescent="0.3">
      <c r="A59" s="276" t="s">
        <v>3431</v>
      </c>
      <c r="B59" s="276" t="s">
        <v>3432</v>
      </c>
      <c r="C59" s="256" t="s">
        <v>94</v>
      </c>
      <c r="D59" s="256"/>
      <c r="E59" s="277">
        <v>45406</v>
      </c>
      <c r="F59" s="277">
        <v>45407</v>
      </c>
      <c r="G59" s="301">
        <f t="shared" ca="1" si="0"/>
        <v>663</v>
      </c>
      <c r="H59" s="256" t="s">
        <v>68</v>
      </c>
      <c r="I59" s="256"/>
      <c r="J59" s="256" t="s">
        <v>234</v>
      </c>
      <c r="K59" s="256"/>
      <c r="L59" s="256" t="s">
        <v>4051</v>
      </c>
      <c r="M59" s="256" t="s">
        <v>77</v>
      </c>
      <c r="N59" s="306" t="s">
        <v>86</v>
      </c>
      <c r="O59" s="256" t="s">
        <v>3513</v>
      </c>
    </row>
    <row r="60" spans="1:15" s="296" customFormat="1" ht="19.95" customHeight="1" x14ac:dyDescent="0.3">
      <c r="A60" s="256" t="s">
        <v>2739</v>
      </c>
      <c r="B60" s="256" t="s">
        <v>2740</v>
      </c>
      <c r="C60" s="256" t="s">
        <v>165</v>
      </c>
      <c r="D60" s="256">
        <v>80</v>
      </c>
      <c r="E60" s="257">
        <v>45219</v>
      </c>
      <c r="F60" s="257">
        <v>45222</v>
      </c>
      <c r="G60" s="301">
        <f t="shared" ca="1" si="0"/>
        <v>850</v>
      </c>
      <c r="H60" s="256" t="s">
        <v>3304</v>
      </c>
      <c r="I60" s="257" t="s">
        <v>2637</v>
      </c>
      <c r="J60" s="256" t="s">
        <v>234</v>
      </c>
      <c r="K60" s="256">
        <v>420</v>
      </c>
      <c r="L60" s="256" t="s">
        <v>4051</v>
      </c>
      <c r="M60" s="256" t="s">
        <v>77</v>
      </c>
      <c r="N60" s="256" t="s">
        <v>2631</v>
      </c>
      <c r="O60" s="256" t="s">
        <v>3482</v>
      </c>
    </row>
    <row r="61" spans="1:15" s="296" customFormat="1" ht="19.95" customHeight="1" x14ac:dyDescent="0.3">
      <c r="A61" s="259" t="s">
        <v>2657</v>
      </c>
      <c r="B61" s="259" t="s">
        <v>2658</v>
      </c>
      <c r="C61" s="256" t="s">
        <v>2639</v>
      </c>
      <c r="D61" s="256">
        <v>67</v>
      </c>
      <c r="E61" s="260">
        <v>45349</v>
      </c>
      <c r="F61" s="260">
        <v>45369</v>
      </c>
      <c r="G61" s="301">
        <f t="shared" ca="1" si="0"/>
        <v>720</v>
      </c>
      <c r="H61" s="256" t="s">
        <v>68</v>
      </c>
      <c r="I61" s="257">
        <v>45420</v>
      </c>
      <c r="J61" s="256" t="s">
        <v>234</v>
      </c>
      <c r="K61" s="256">
        <v>300</v>
      </c>
      <c r="L61" s="256" t="s">
        <v>4051</v>
      </c>
      <c r="M61" s="256" t="s">
        <v>3305</v>
      </c>
      <c r="N61" s="256" t="s">
        <v>3305</v>
      </c>
      <c r="O61" s="256" t="s">
        <v>3639</v>
      </c>
    </row>
    <row r="62" spans="1:15" s="296" customFormat="1" ht="19.95" customHeight="1" x14ac:dyDescent="0.3">
      <c r="A62" s="256" t="s">
        <v>2743</v>
      </c>
      <c r="B62" s="256" t="s">
        <v>2744</v>
      </c>
      <c r="C62" s="276" t="s">
        <v>93</v>
      </c>
      <c r="D62" s="256">
        <v>58</v>
      </c>
      <c r="E62" s="257">
        <v>45300</v>
      </c>
      <c r="F62" s="257">
        <v>45301</v>
      </c>
      <c r="G62" s="301">
        <f t="shared" ca="1" si="0"/>
        <v>769</v>
      </c>
      <c r="H62" s="256" t="s">
        <v>3304</v>
      </c>
      <c r="I62" s="257" t="s">
        <v>2637</v>
      </c>
      <c r="J62" s="256" t="s">
        <v>234</v>
      </c>
      <c r="K62" s="256">
        <v>100</v>
      </c>
      <c r="L62" s="256" t="s">
        <v>4051</v>
      </c>
      <c r="M62" s="256" t="s">
        <v>77</v>
      </c>
      <c r="N62" s="256" t="s">
        <v>2631</v>
      </c>
      <c r="O62" s="256" t="s">
        <v>3515</v>
      </c>
    </row>
    <row r="63" spans="1:15" s="296" customFormat="1" ht="19.95" customHeight="1" x14ac:dyDescent="0.3">
      <c r="A63" s="276" t="s">
        <v>3792</v>
      </c>
      <c r="B63" s="276" t="s">
        <v>3793</v>
      </c>
      <c r="C63" s="276" t="s">
        <v>2515</v>
      </c>
      <c r="D63" s="256">
        <v>71</v>
      </c>
      <c r="E63" s="277">
        <v>45405</v>
      </c>
      <c r="F63" s="277">
        <v>45411</v>
      </c>
      <c r="G63" s="301">
        <f t="shared" ca="1" si="0"/>
        <v>664</v>
      </c>
      <c r="H63" s="256" t="s">
        <v>65</v>
      </c>
      <c r="I63" s="257">
        <v>45420</v>
      </c>
      <c r="J63" s="256" t="s">
        <v>234</v>
      </c>
      <c r="K63" s="256">
        <v>370</v>
      </c>
      <c r="L63" s="256" t="s">
        <v>4051</v>
      </c>
      <c r="M63" s="256" t="s">
        <v>66</v>
      </c>
      <c r="N63" s="256" t="s">
        <v>3308</v>
      </c>
      <c r="O63" s="256" t="s">
        <v>4055</v>
      </c>
    </row>
    <row r="64" spans="1:15" s="296" customFormat="1" ht="19.95" customHeight="1" x14ac:dyDescent="0.3">
      <c r="A64" s="272" t="s">
        <v>2901</v>
      </c>
      <c r="B64" s="272" t="s">
        <v>2902</v>
      </c>
      <c r="C64" s="259" t="s">
        <v>2650</v>
      </c>
      <c r="D64" s="256">
        <v>97</v>
      </c>
      <c r="E64" s="273">
        <v>45379</v>
      </c>
      <c r="F64" s="273">
        <v>45380</v>
      </c>
      <c r="G64" s="301">
        <f t="shared" ca="1" si="0"/>
        <v>690</v>
      </c>
      <c r="H64" s="256" t="s">
        <v>68</v>
      </c>
      <c r="I64" s="257">
        <v>45420</v>
      </c>
      <c r="J64" s="256" t="s">
        <v>234</v>
      </c>
      <c r="K64" s="256">
        <v>400</v>
      </c>
      <c r="L64" s="256" t="s">
        <v>4051</v>
      </c>
      <c r="M64" s="256" t="s">
        <v>3305</v>
      </c>
      <c r="N64" s="256" t="s">
        <v>3305</v>
      </c>
      <c r="O64" s="256" t="s">
        <v>3590</v>
      </c>
    </row>
    <row r="65" spans="1:15" s="296" customFormat="1" ht="19.95" customHeight="1" x14ac:dyDescent="0.3">
      <c r="A65" s="256" t="s">
        <v>2747</v>
      </c>
      <c r="B65" s="256" t="s">
        <v>2748</v>
      </c>
      <c r="C65" s="256" t="s">
        <v>165</v>
      </c>
      <c r="D65" s="256"/>
      <c r="E65" s="257">
        <v>44737</v>
      </c>
      <c r="F65" s="257">
        <v>45083</v>
      </c>
      <c r="G65" s="301">
        <f t="shared" ca="1" si="0"/>
        <v>1332</v>
      </c>
      <c r="H65" s="256" t="s">
        <v>3304</v>
      </c>
      <c r="I65" s="256" t="s">
        <v>2637</v>
      </c>
      <c r="J65" s="256" t="s">
        <v>234</v>
      </c>
      <c r="K65" s="256"/>
      <c r="L65" s="256" t="s">
        <v>4051</v>
      </c>
      <c r="M65" s="256" t="s">
        <v>77</v>
      </c>
      <c r="N65" s="256" t="s">
        <v>2631</v>
      </c>
      <c r="O65" s="256" t="s">
        <v>3482</v>
      </c>
    </row>
    <row r="66" spans="1:15" s="296" customFormat="1" ht="19.95" customHeight="1" x14ac:dyDescent="0.3">
      <c r="A66" s="272" t="s">
        <v>2749</v>
      </c>
      <c r="B66" s="272" t="s">
        <v>2750</v>
      </c>
      <c r="C66" s="256" t="s">
        <v>94</v>
      </c>
      <c r="D66" s="256"/>
      <c r="E66" s="273">
        <v>45390</v>
      </c>
      <c r="F66" s="273">
        <v>45391</v>
      </c>
      <c r="G66" s="301">
        <f t="shared" ca="1" si="0"/>
        <v>679</v>
      </c>
      <c r="H66" s="256" t="s">
        <v>3304</v>
      </c>
      <c r="I66" s="256" t="s">
        <v>2637</v>
      </c>
      <c r="J66" s="256" t="s">
        <v>234</v>
      </c>
      <c r="K66" s="256"/>
      <c r="L66" s="256" t="s">
        <v>4051</v>
      </c>
      <c r="M66" s="256" t="s">
        <v>77</v>
      </c>
      <c r="N66" s="256" t="s">
        <v>70</v>
      </c>
      <c r="O66" s="256" t="s">
        <v>70</v>
      </c>
    </row>
    <row r="67" spans="1:15" s="296" customFormat="1" ht="19.95" customHeight="1" x14ac:dyDescent="0.3">
      <c r="A67" s="256" t="s">
        <v>2751</v>
      </c>
      <c r="B67" s="256" t="s">
        <v>2752</v>
      </c>
      <c r="C67" s="256" t="s">
        <v>136</v>
      </c>
      <c r="D67" s="256">
        <v>40</v>
      </c>
      <c r="E67" s="257">
        <v>44888</v>
      </c>
      <c r="F67" s="257">
        <v>44893</v>
      </c>
      <c r="G67" s="301">
        <f t="shared" ref="G67:G130" ca="1" si="1">TODAY()-E67</f>
        <v>1181</v>
      </c>
      <c r="H67" s="256" t="s">
        <v>3304</v>
      </c>
      <c r="I67" s="256" t="s">
        <v>2637</v>
      </c>
      <c r="J67" s="256" t="s">
        <v>234</v>
      </c>
      <c r="K67" s="256">
        <v>680</v>
      </c>
      <c r="L67" s="256" t="s">
        <v>4051</v>
      </c>
      <c r="M67" s="256" t="s">
        <v>77</v>
      </c>
      <c r="N67" s="256" t="s">
        <v>3307</v>
      </c>
      <c r="O67" s="256" t="s">
        <v>3517</v>
      </c>
    </row>
    <row r="68" spans="1:15" s="296" customFormat="1" ht="19.95" customHeight="1" x14ac:dyDescent="0.3">
      <c r="A68" s="256" t="s">
        <v>2753</v>
      </c>
      <c r="B68" s="256" t="s">
        <v>2754</v>
      </c>
      <c r="C68" s="256" t="s">
        <v>165</v>
      </c>
      <c r="D68" s="256"/>
      <c r="E68" s="257">
        <v>44934</v>
      </c>
      <c r="F68" s="257">
        <v>45083</v>
      </c>
      <c r="G68" s="301">
        <f t="shared" ca="1" si="1"/>
        <v>1135</v>
      </c>
      <c r="H68" s="256" t="s">
        <v>3304</v>
      </c>
      <c r="I68" s="256" t="s">
        <v>2637</v>
      </c>
      <c r="J68" s="256" t="s">
        <v>234</v>
      </c>
      <c r="K68" s="256"/>
      <c r="L68" s="256" t="s">
        <v>4051</v>
      </c>
      <c r="M68" s="256" t="s">
        <v>77</v>
      </c>
      <c r="N68" s="256" t="s">
        <v>2631</v>
      </c>
      <c r="O68" s="256" t="s">
        <v>3482</v>
      </c>
    </row>
    <row r="69" spans="1:15" s="296" customFormat="1" ht="19.95" customHeight="1" x14ac:dyDescent="0.3">
      <c r="A69" s="259" t="s">
        <v>2755</v>
      </c>
      <c r="B69" s="259" t="s">
        <v>2756</v>
      </c>
      <c r="C69" s="256" t="s">
        <v>117</v>
      </c>
      <c r="D69" s="256">
        <v>21</v>
      </c>
      <c r="E69" s="260">
        <v>45367</v>
      </c>
      <c r="F69" s="260">
        <v>45369</v>
      </c>
      <c r="G69" s="301">
        <f t="shared" ca="1" si="1"/>
        <v>702</v>
      </c>
      <c r="H69" s="256" t="s">
        <v>3304</v>
      </c>
      <c r="I69" s="257" t="s">
        <v>2637</v>
      </c>
      <c r="J69" s="256" t="s">
        <v>234</v>
      </c>
      <c r="K69" s="256">
        <v>400</v>
      </c>
      <c r="L69" s="256" t="s">
        <v>4051</v>
      </c>
      <c r="M69" s="256" t="s">
        <v>77</v>
      </c>
      <c r="N69" s="256" t="s">
        <v>3307</v>
      </c>
      <c r="O69" s="256" t="s">
        <v>3518</v>
      </c>
    </row>
    <row r="70" spans="1:15" s="296" customFormat="1" ht="19.95" customHeight="1" x14ac:dyDescent="0.3">
      <c r="A70" s="256" t="s">
        <v>2757</v>
      </c>
      <c r="B70" s="256" t="s">
        <v>2758</v>
      </c>
      <c r="C70" s="276" t="s">
        <v>93</v>
      </c>
      <c r="D70" s="256"/>
      <c r="E70" s="257">
        <v>44623</v>
      </c>
      <c r="F70" s="257">
        <v>45083</v>
      </c>
      <c r="G70" s="301">
        <f t="shared" ca="1" si="1"/>
        <v>1446</v>
      </c>
      <c r="H70" s="256" t="s">
        <v>3304</v>
      </c>
      <c r="I70" s="256" t="s">
        <v>2637</v>
      </c>
      <c r="J70" s="256" t="s">
        <v>3751</v>
      </c>
      <c r="K70" s="256"/>
      <c r="L70" s="256" t="s">
        <v>4051</v>
      </c>
      <c r="M70" s="256" t="s">
        <v>77</v>
      </c>
      <c r="N70" s="256" t="s">
        <v>2631</v>
      </c>
      <c r="O70" s="256" t="s">
        <v>3482</v>
      </c>
    </row>
    <row r="71" spans="1:15" s="296" customFormat="1" ht="19.95" customHeight="1" x14ac:dyDescent="0.3">
      <c r="A71" s="256" t="s">
        <v>2759</v>
      </c>
      <c r="B71" s="256" t="s">
        <v>2760</v>
      </c>
      <c r="C71" s="256" t="s">
        <v>94</v>
      </c>
      <c r="D71" s="256"/>
      <c r="E71" s="257">
        <v>44518</v>
      </c>
      <c r="F71" s="257">
        <v>45083</v>
      </c>
      <c r="G71" s="301">
        <f t="shared" ca="1" si="1"/>
        <v>1551</v>
      </c>
      <c r="H71" s="256" t="s">
        <v>3304</v>
      </c>
      <c r="I71" s="256" t="s">
        <v>2637</v>
      </c>
      <c r="J71" s="256" t="s">
        <v>234</v>
      </c>
      <c r="K71" s="256"/>
      <c r="L71" s="256" t="s">
        <v>4051</v>
      </c>
      <c r="M71" s="256" t="s">
        <v>77</v>
      </c>
      <c r="N71" s="256" t="s">
        <v>2631</v>
      </c>
      <c r="O71" s="256" t="s">
        <v>3482</v>
      </c>
    </row>
    <row r="72" spans="1:15" s="296" customFormat="1" ht="19.95" customHeight="1" x14ac:dyDescent="0.3">
      <c r="A72" s="256" t="s">
        <v>2761</v>
      </c>
      <c r="B72" s="256" t="s">
        <v>2762</v>
      </c>
      <c r="C72" s="256" t="s">
        <v>3302</v>
      </c>
      <c r="D72" s="256"/>
      <c r="E72" s="257">
        <v>45125</v>
      </c>
      <c r="F72" s="257">
        <v>45335</v>
      </c>
      <c r="G72" s="301">
        <f t="shared" ca="1" si="1"/>
        <v>944</v>
      </c>
      <c r="H72" s="256" t="s">
        <v>3304</v>
      </c>
      <c r="I72" s="256" t="s">
        <v>2637</v>
      </c>
      <c r="J72" s="256" t="s">
        <v>234</v>
      </c>
      <c r="K72" s="256"/>
      <c r="L72" s="256" t="s">
        <v>4051</v>
      </c>
      <c r="M72" s="256" t="s">
        <v>77</v>
      </c>
      <c r="N72" s="256" t="s">
        <v>2631</v>
      </c>
      <c r="O72" s="256" t="s">
        <v>3482</v>
      </c>
    </row>
    <row r="73" spans="1:15" s="296" customFormat="1" ht="19.95" customHeight="1" x14ac:dyDescent="0.3">
      <c r="A73" s="276" t="s">
        <v>2985</v>
      </c>
      <c r="B73" s="276" t="s">
        <v>2986</v>
      </c>
      <c r="C73" s="276" t="s">
        <v>2650</v>
      </c>
      <c r="D73" s="256">
        <v>97</v>
      </c>
      <c r="E73" s="277">
        <v>45388</v>
      </c>
      <c r="F73" s="277">
        <v>45390</v>
      </c>
      <c r="G73" s="301">
        <f t="shared" ca="1" si="1"/>
        <v>681</v>
      </c>
      <c r="H73" s="256" t="s">
        <v>68</v>
      </c>
      <c r="I73" s="257">
        <v>45420</v>
      </c>
      <c r="J73" s="256" t="s">
        <v>234</v>
      </c>
      <c r="K73" s="256">
        <v>150</v>
      </c>
      <c r="L73" s="256" t="s">
        <v>4051</v>
      </c>
      <c r="M73" s="256" t="s">
        <v>3305</v>
      </c>
      <c r="N73" s="256" t="s">
        <v>3305</v>
      </c>
      <c r="O73" s="256" t="s">
        <v>3596</v>
      </c>
    </row>
    <row r="74" spans="1:15" s="296" customFormat="1" ht="19.95" customHeight="1" x14ac:dyDescent="0.3">
      <c r="A74" s="256" t="s">
        <v>2765</v>
      </c>
      <c r="B74" s="256" t="s">
        <v>2766</v>
      </c>
      <c r="C74" s="256" t="s">
        <v>136</v>
      </c>
      <c r="D74" s="256"/>
      <c r="E74" s="257">
        <v>44841</v>
      </c>
      <c r="F74" s="257">
        <v>44851</v>
      </c>
      <c r="G74" s="301">
        <f t="shared" ca="1" si="1"/>
        <v>1228</v>
      </c>
      <c r="H74" s="256" t="s">
        <v>3304</v>
      </c>
      <c r="I74" s="256" t="s">
        <v>2637</v>
      </c>
      <c r="J74" s="256" t="s">
        <v>234</v>
      </c>
      <c r="K74" s="256"/>
      <c r="L74" s="256" t="s">
        <v>4051</v>
      </c>
      <c r="M74" s="256" t="s">
        <v>77</v>
      </c>
      <c r="N74" s="256" t="s">
        <v>67</v>
      </c>
      <c r="O74" s="256" t="s">
        <v>3520</v>
      </c>
    </row>
    <row r="75" spans="1:15" s="296" customFormat="1" ht="19.95" customHeight="1" x14ac:dyDescent="0.3">
      <c r="A75" s="256" t="s">
        <v>2767</v>
      </c>
      <c r="B75" s="256" t="s">
        <v>2768</v>
      </c>
      <c r="C75" s="256" t="s">
        <v>94</v>
      </c>
      <c r="D75" s="256">
        <v>62</v>
      </c>
      <c r="E75" s="257">
        <v>45110</v>
      </c>
      <c r="F75" s="257">
        <v>45190</v>
      </c>
      <c r="G75" s="301">
        <f t="shared" ca="1" si="1"/>
        <v>959</v>
      </c>
      <c r="H75" s="256" t="s">
        <v>3304</v>
      </c>
      <c r="I75" s="256" t="s">
        <v>2637</v>
      </c>
      <c r="J75" s="256" t="s">
        <v>234</v>
      </c>
      <c r="K75" s="256">
        <v>150</v>
      </c>
      <c r="L75" s="256" t="s">
        <v>4051</v>
      </c>
      <c r="M75" s="256" t="s">
        <v>77</v>
      </c>
      <c r="N75" s="256" t="s">
        <v>3306</v>
      </c>
      <c r="O75" s="256" t="s">
        <v>3521</v>
      </c>
    </row>
    <row r="76" spans="1:15" s="296" customFormat="1" ht="19.95" customHeight="1" x14ac:dyDescent="0.3">
      <c r="A76" s="256" t="s">
        <v>2895</v>
      </c>
      <c r="B76" s="256" t="s">
        <v>2896</v>
      </c>
      <c r="C76" s="256" t="s">
        <v>117</v>
      </c>
      <c r="D76" s="256">
        <v>49</v>
      </c>
      <c r="E76" s="257">
        <v>45318</v>
      </c>
      <c r="F76" s="257">
        <v>45320</v>
      </c>
      <c r="G76" s="301">
        <f t="shared" ca="1" si="1"/>
        <v>751</v>
      </c>
      <c r="H76" s="256" t="s">
        <v>68</v>
      </c>
      <c r="I76" s="257">
        <v>45419</v>
      </c>
      <c r="J76" s="256" t="s">
        <v>234</v>
      </c>
      <c r="K76" s="256">
        <v>250</v>
      </c>
      <c r="L76" s="256" t="s">
        <v>4051</v>
      </c>
      <c r="M76" s="256" t="s">
        <v>66</v>
      </c>
      <c r="N76" s="256" t="s">
        <v>66</v>
      </c>
      <c r="O76" s="256" t="s">
        <v>3556</v>
      </c>
    </row>
    <row r="77" spans="1:15" s="296" customFormat="1" ht="19.95" customHeight="1" x14ac:dyDescent="0.3">
      <c r="A77" s="256" t="s">
        <v>2769</v>
      </c>
      <c r="B77" s="256" t="s">
        <v>2770</v>
      </c>
      <c r="C77" s="256" t="s">
        <v>99</v>
      </c>
      <c r="D77" s="256"/>
      <c r="E77" s="257">
        <v>44826</v>
      </c>
      <c r="F77" s="257">
        <v>44831</v>
      </c>
      <c r="G77" s="301">
        <f t="shared" ca="1" si="1"/>
        <v>1243</v>
      </c>
      <c r="H77" s="256" t="s">
        <v>3304</v>
      </c>
      <c r="I77" s="256" t="s">
        <v>2637</v>
      </c>
      <c r="J77" s="256" t="s">
        <v>234</v>
      </c>
      <c r="K77" s="256"/>
      <c r="L77" s="256" t="s">
        <v>4051</v>
      </c>
      <c r="M77" s="256" t="s">
        <v>77</v>
      </c>
      <c r="N77" s="256" t="s">
        <v>2631</v>
      </c>
      <c r="O77" s="256" t="s">
        <v>3482</v>
      </c>
    </row>
    <row r="78" spans="1:15" s="296" customFormat="1" ht="19.95" customHeight="1" x14ac:dyDescent="0.3">
      <c r="A78" s="272" t="s">
        <v>3316</v>
      </c>
      <c r="B78" s="272" t="s">
        <v>3317</v>
      </c>
      <c r="C78" s="256" t="s">
        <v>117</v>
      </c>
      <c r="D78" s="256">
        <v>43</v>
      </c>
      <c r="E78" s="273">
        <v>45402</v>
      </c>
      <c r="F78" s="273">
        <v>45404</v>
      </c>
      <c r="G78" s="301">
        <f t="shared" ca="1" si="1"/>
        <v>667</v>
      </c>
      <c r="H78" s="256" t="s">
        <v>65</v>
      </c>
      <c r="I78" s="257">
        <v>45418</v>
      </c>
      <c r="J78" s="256" t="s">
        <v>234</v>
      </c>
      <c r="K78" s="256">
        <v>450</v>
      </c>
      <c r="L78" s="256" t="s">
        <v>4051</v>
      </c>
      <c r="M78" s="256" t="s">
        <v>66</v>
      </c>
      <c r="N78" s="256" t="s">
        <v>66</v>
      </c>
      <c r="O78" s="256" t="s">
        <v>3573</v>
      </c>
    </row>
    <row r="79" spans="1:15" s="296" customFormat="1" ht="19.95" customHeight="1" x14ac:dyDescent="0.3">
      <c r="A79" s="256" t="s">
        <v>2771</v>
      </c>
      <c r="B79" s="256" t="s">
        <v>2772</v>
      </c>
      <c r="C79" s="256" t="s">
        <v>94</v>
      </c>
      <c r="D79" s="256">
        <v>62</v>
      </c>
      <c r="E79" s="257">
        <v>45278</v>
      </c>
      <c r="F79" s="257">
        <v>45279</v>
      </c>
      <c r="G79" s="301">
        <f t="shared" ca="1" si="1"/>
        <v>791</v>
      </c>
      <c r="H79" s="256" t="s">
        <v>3304</v>
      </c>
      <c r="I79" s="256" t="s">
        <v>2637</v>
      </c>
      <c r="J79" s="256" t="s">
        <v>234</v>
      </c>
      <c r="K79" s="256">
        <v>250</v>
      </c>
      <c r="L79" s="256" t="s">
        <v>4051</v>
      </c>
      <c r="M79" s="256" t="s">
        <v>77</v>
      </c>
      <c r="N79" s="256" t="s">
        <v>3306</v>
      </c>
      <c r="O79" s="256" t="s">
        <v>3522</v>
      </c>
    </row>
    <row r="80" spans="1:15" s="296" customFormat="1" ht="19.95" customHeight="1" x14ac:dyDescent="0.3">
      <c r="A80" s="256" t="s">
        <v>2773</v>
      </c>
      <c r="B80" s="256" t="s">
        <v>2774</v>
      </c>
      <c r="C80" s="256" t="s">
        <v>2648</v>
      </c>
      <c r="D80" s="256">
        <v>34</v>
      </c>
      <c r="E80" s="257">
        <v>45220</v>
      </c>
      <c r="F80" s="257">
        <v>45223</v>
      </c>
      <c r="G80" s="301">
        <f t="shared" ca="1" si="1"/>
        <v>849</v>
      </c>
      <c r="H80" s="256" t="s">
        <v>65</v>
      </c>
      <c r="I80" s="257" t="s">
        <v>2637</v>
      </c>
      <c r="J80" s="256" t="s">
        <v>234</v>
      </c>
      <c r="K80" s="256">
        <v>80</v>
      </c>
      <c r="L80" s="256" t="s">
        <v>4051</v>
      </c>
      <c r="M80" s="256" t="s">
        <v>77</v>
      </c>
      <c r="N80" s="256" t="s">
        <v>70</v>
      </c>
      <c r="O80" s="256" t="s">
        <v>3523</v>
      </c>
    </row>
    <row r="81" spans="1:15" s="296" customFormat="1" ht="19.95" customHeight="1" x14ac:dyDescent="0.3">
      <c r="A81" s="256" t="s">
        <v>2775</v>
      </c>
      <c r="B81" s="256" t="s">
        <v>2776</v>
      </c>
      <c r="C81" s="256" t="s">
        <v>117</v>
      </c>
      <c r="D81" s="256"/>
      <c r="E81" s="257">
        <v>45077</v>
      </c>
      <c r="F81" s="257">
        <v>45078</v>
      </c>
      <c r="G81" s="301">
        <f t="shared" ca="1" si="1"/>
        <v>992</v>
      </c>
      <c r="H81" s="256" t="s">
        <v>3304</v>
      </c>
      <c r="I81" s="256" t="s">
        <v>2637</v>
      </c>
      <c r="J81" s="256" t="s">
        <v>234</v>
      </c>
      <c r="K81" s="256"/>
      <c r="L81" s="256" t="s">
        <v>4051</v>
      </c>
      <c r="M81" s="256" t="s">
        <v>77</v>
      </c>
      <c r="N81" s="256" t="s">
        <v>2631</v>
      </c>
      <c r="O81" s="256" t="s">
        <v>3482</v>
      </c>
    </row>
    <row r="82" spans="1:15" s="296" customFormat="1" ht="19.95" customHeight="1" x14ac:dyDescent="0.3">
      <c r="A82" s="256" t="s">
        <v>2777</v>
      </c>
      <c r="B82" s="256" t="s">
        <v>2778</v>
      </c>
      <c r="C82" s="256" t="s">
        <v>94</v>
      </c>
      <c r="D82" s="256">
        <v>72</v>
      </c>
      <c r="E82" s="257">
        <v>45040</v>
      </c>
      <c r="F82" s="257">
        <v>45190</v>
      </c>
      <c r="G82" s="301">
        <f t="shared" ca="1" si="1"/>
        <v>1029</v>
      </c>
      <c r="H82" s="256" t="s">
        <v>3304</v>
      </c>
      <c r="I82" s="256" t="s">
        <v>2637</v>
      </c>
      <c r="J82" s="256" t="s">
        <v>3751</v>
      </c>
      <c r="K82" s="256">
        <v>300</v>
      </c>
      <c r="L82" s="256" t="s">
        <v>4051</v>
      </c>
      <c r="M82" s="256" t="s">
        <v>77</v>
      </c>
      <c r="N82" s="256" t="s">
        <v>3306</v>
      </c>
      <c r="O82" s="256" t="s">
        <v>3524</v>
      </c>
    </row>
    <row r="83" spans="1:15" s="296" customFormat="1" ht="19.95" customHeight="1" x14ac:dyDescent="0.3">
      <c r="A83" s="256" t="s">
        <v>2779</v>
      </c>
      <c r="B83" s="256" t="s">
        <v>2780</v>
      </c>
      <c r="C83" s="256" t="s">
        <v>136</v>
      </c>
      <c r="D83" s="256">
        <v>67</v>
      </c>
      <c r="E83" s="257">
        <v>45299</v>
      </c>
      <c r="F83" s="257">
        <v>45301</v>
      </c>
      <c r="G83" s="301">
        <f t="shared" ca="1" si="1"/>
        <v>770</v>
      </c>
      <c r="H83" s="256" t="s">
        <v>68</v>
      </c>
      <c r="I83" s="256" t="s">
        <v>2637</v>
      </c>
      <c r="J83" s="256" t="s">
        <v>234</v>
      </c>
      <c r="K83" s="256">
        <v>600</v>
      </c>
      <c r="L83" s="256" t="s">
        <v>4051</v>
      </c>
      <c r="M83" s="256" t="s">
        <v>77</v>
      </c>
      <c r="N83" s="306" t="s">
        <v>86</v>
      </c>
      <c r="O83" s="256" t="s">
        <v>3525</v>
      </c>
    </row>
    <row r="84" spans="1:15" s="296" customFormat="1" ht="19.95" customHeight="1" x14ac:dyDescent="0.3">
      <c r="A84" s="256" t="s">
        <v>2781</v>
      </c>
      <c r="B84" s="256" t="s">
        <v>2782</v>
      </c>
      <c r="C84" s="256" t="s">
        <v>165</v>
      </c>
      <c r="D84" s="256"/>
      <c r="E84" s="257">
        <v>44725</v>
      </c>
      <c r="F84" s="257">
        <v>44727</v>
      </c>
      <c r="G84" s="301">
        <f t="shared" ca="1" si="1"/>
        <v>1344</v>
      </c>
      <c r="H84" s="256" t="s">
        <v>3304</v>
      </c>
      <c r="I84" s="256" t="s">
        <v>2637</v>
      </c>
      <c r="J84" s="256" t="s">
        <v>234</v>
      </c>
      <c r="K84" s="256"/>
      <c r="L84" s="256" t="s">
        <v>4051</v>
      </c>
      <c r="M84" s="256" t="s">
        <v>77</v>
      </c>
      <c r="N84" s="256" t="s">
        <v>2631</v>
      </c>
      <c r="O84" s="256" t="s">
        <v>3482</v>
      </c>
    </row>
    <row r="85" spans="1:15" s="296" customFormat="1" ht="19.95" customHeight="1" x14ac:dyDescent="0.3">
      <c r="A85" s="256" t="s">
        <v>2783</v>
      </c>
      <c r="B85" s="256" t="s">
        <v>2784</v>
      </c>
      <c r="C85" s="259" t="s">
        <v>103</v>
      </c>
      <c r="D85" s="256">
        <v>25</v>
      </c>
      <c r="E85" s="256">
        <v>44894</v>
      </c>
      <c r="F85" s="256">
        <v>44900</v>
      </c>
      <c r="G85" s="301">
        <f t="shared" ca="1" si="1"/>
        <v>1175</v>
      </c>
      <c r="H85" s="256" t="s">
        <v>3304</v>
      </c>
      <c r="I85" s="256" t="s">
        <v>2637</v>
      </c>
      <c r="J85" s="256" t="s">
        <v>234</v>
      </c>
      <c r="K85" s="256">
        <v>500</v>
      </c>
      <c r="L85" s="256" t="s">
        <v>4051</v>
      </c>
      <c r="M85" s="256" t="s">
        <v>77</v>
      </c>
      <c r="N85" s="256" t="s">
        <v>3306</v>
      </c>
      <c r="O85" s="256" t="s">
        <v>3526</v>
      </c>
    </row>
    <row r="86" spans="1:15" s="296" customFormat="1" ht="19.95" customHeight="1" x14ac:dyDescent="0.3">
      <c r="A86" s="256" t="s">
        <v>2785</v>
      </c>
      <c r="B86" s="256" t="s">
        <v>2786</v>
      </c>
      <c r="C86" s="259" t="s">
        <v>2648</v>
      </c>
      <c r="D86" s="256">
        <v>75</v>
      </c>
      <c r="E86" s="257">
        <v>45278</v>
      </c>
      <c r="F86" s="257">
        <v>45279</v>
      </c>
      <c r="G86" s="301">
        <f t="shared" ca="1" si="1"/>
        <v>791</v>
      </c>
      <c r="H86" s="256" t="s">
        <v>3304</v>
      </c>
      <c r="I86" s="257" t="s">
        <v>2637</v>
      </c>
      <c r="J86" s="256" t="s">
        <v>234</v>
      </c>
      <c r="K86" s="256">
        <v>50</v>
      </c>
      <c r="L86" s="256" t="s">
        <v>4051</v>
      </c>
      <c r="M86" s="256" t="s">
        <v>77</v>
      </c>
      <c r="N86" s="256" t="s">
        <v>3307</v>
      </c>
      <c r="O86" s="256" t="s">
        <v>3647</v>
      </c>
    </row>
    <row r="87" spans="1:15" s="296" customFormat="1" ht="19.95" customHeight="1" x14ac:dyDescent="0.3">
      <c r="A87" s="256" t="s">
        <v>2787</v>
      </c>
      <c r="B87" s="256" t="s">
        <v>2788</v>
      </c>
      <c r="C87" s="256" t="s">
        <v>163</v>
      </c>
      <c r="D87" s="256">
        <v>15</v>
      </c>
      <c r="E87" s="257">
        <v>45222</v>
      </c>
      <c r="F87" s="257">
        <v>45224</v>
      </c>
      <c r="G87" s="301">
        <f t="shared" ca="1" si="1"/>
        <v>847</v>
      </c>
      <c r="H87" s="256" t="s">
        <v>3304</v>
      </c>
      <c r="I87" s="256" t="s">
        <v>2637</v>
      </c>
      <c r="J87" s="256" t="s">
        <v>234</v>
      </c>
      <c r="K87" s="256">
        <v>100</v>
      </c>
      <c r="L87" s="256" t="s">
        <v>4051</v>
      </c>
      <c r="M87" s="256" t="s">
        <v>77</v>
      </c>
      <c r="N87" s="256" t="s">
        <v>2631</v>
      </c>
      <c r="O87" s="256" t="s">
        <v>3482</v>
      </c>
    </row>
    <row r="88" spans="1:15" s="296" customFormat="1" ht="19.95" customHeight="1" x14ac:dyDescent="0.3">
      <c r="A88" s="256" t="s">
        <v>2789</v>
      </c>
      <c r="B88" s="256" t="s">
        <v>2790</v>
      </c>
      <c r="C88" s="256" t="s">
        <v>99</v>
      </c>
      <c r="D88" s="256"/>
      <c r="E88" s="257">
        <v>44804</v>
      </c>
      <c r="F88" s="257">
        <v>44807</v>
      </c>
      <c r="G88" s="301">
        <f t="shared" ca="1" si="1"/>
        <v>1265</v>
      </c>
      <c r="H88" s="256" t="s">
        <v>3304</v>
      </c>
      <c r="I88" s="256" t="s">
        <v>2637</v>
      </c>
      <c r="J88" s="256" t="s">
        <v>234</v>
      </c>
      <c r="K88" s="256">
        <v>470</v>
      </c>
      <c r="L88" s="256" t="s">
        <v>4051</v>
      </c>
      <c r="M88" s="256" t="s">
        <v>77</v>
      </c>
      <c r="N88" s="256" t="s">
        <v>70</v>
      </c>
      <c r="O88" s="256" t="s">
        <v>3527</v>
      </c>
    </row>
    <row r="89" spans="1:15" s="296" customFormat="1" ht="19.95" customHeight="1" x14ac:dyDescent="0.3">
      <c r="A89" s="259" t="s">
        <v>2791</v>
      </c>
      <c r="B89" s="259" t="s">
        <v>2792</v>
      </c>
      <c r="C89" s="256" t="s">
        <v>162</v>
      </c>
      <c r="D89" s="256"/>
      <c r="E89" s="260">
        <v>44860</v>
      </c>
      <c r="F89" s="260">
        <v>45359</v>
      </c>
      <c r="G89" s="301">
        <f t="shared" ca="1" si="1"/>
        <v>1209</v>
      </c>
      <c r="H89" s="256" t="s">
        <v>3304</v>
      </c>
      <c r="I89" s="256" t="s">
        <v>2637</v>
      </c>
      <c r="J89" s="256" t="s">
        <v>234</v>
      </c>
      <c r="K89" s="256"/>
      <c r="L89" s="256" t="s">
        <v>4051</v>
      </c>
      <c r="M89" s="256" t="s">
        <v>77</v>
      </c>
      <c r="N89" s="256" t="s">
        <v>2631</v>
      </c>
      <c r="O89" s="256" t="s">
        <v>3482</v>
      </c>
    </row>
    <row r="90" spans="1:15" s="296" customFormat="1" ht="19.95" customHeight="1" x14ac:dyDescent="0.3">
      <c r="A90" s="256" t="s">
        <v>2793</v>
      </c>
      <c r="B90" s="256" t="s">
        <v>2794</v>
      </c>
      <c r="C90" s="256" t="s">
        <v>97</v>
      </c>
      <c r="D90" s="256"/>
      <c r="E90" s="257">
        <v>44587</v>
      </c>
      <c r="F90" s="257">
        <v>44590</v>
      </c>
      <c r="G90" s="301">
        <f t="shared" ca="1" si="1"/>
        <v>1482</v>
      </c>
      <c r="H90" s="256" t="s">
        <v>3304</v>
      </c>
      <c r="I90" s="256" t="s">
        <v>2637</v>
      </c>
      <c r="J90" s="256" t="s">
        <v>234</v>
      </c>
      <c r="K90" s="256"/>
      <c r="L90" s="256" t="s">
        <v>4051</v>
      </c>
      <c r="M90" s="256" t="s">
        <v>77</v>
      </c>
      <c r="N90" s="256" t="s">
        <v>2631</v>
      </c>
      <c r="O90" s="256"/>
    </row>
    <row r="91" spans="1:15" s="296" customFormat="1" ht="19.95" customHeight="1" x14ac:dyDescent="0.3">
      <c r="A91" s="256" t="s">
        <v>2795</v>
      </c>
      <c r="B91" s="256" t="s">
        <v>2796</v>
      </c>
      <c r="C91" s="256" t="s">
        <v>136</v>
      </c>
      <c r="D91" s="256"/>
      <c r="E91" s="257">
        <v>45313</v>
      </c>
      <c r="F91" s="257">
        <v>45317</v>
      </c>
      <c r="G91" s="301">
        <f t="shared" ca="1" si="1"/>
        <v>756</v>
      </c>
      <c r="H91" s="256" t="s">
        <v>3304</v>
      </c>
      <c r="I91" s="257" t="s">
        <v>2637</v>
      </c>
      <c r="J91" s="256" t="s">
        <v>234</v>
      </c>
      <c r="K91" s="256"/>
      <c r="L91" s="256" t="s">
        <v>4051</v>
      </c>
      <c r="M91" s="256" t="s">
        <v>77</v>
      </c>
      <c r="N91" s="256" t="s">
        <v>3306</v>
      </c>
      <c r="O91" s="256" t="s">
        <v>3528</v>
      </c>
    </row>
    <row r="92" spans="1:15" s="296" customFormat="1" ht="19.95" customHeight="1" x14ac:dyDescent="0.3">
      <c r="A92" s="256" t="s">
        <v>2797</v>
      </c>
      <c r="B92" s="256" t="s">
        <v>2798</v>
      </c>
      <c r="C92" s="256" t="s">
        <v>136</v>
      </c>
      <c r="D92" s="256"/>
      <c r="E92" s="257">
        <v>45313</v>
      </c>
      <c r="F92" s="257">
        <v>45317</v>
      </c>
      <c r="G92" s="301">
        <f t="shared" ca="1" si="1"/>
        <v>756</v>
      </c>
      <c r="H92" s="256" t="s">
        <v>3304</v>
      </c>
      <c r="I92" s="257" t="s">
        <v>2637</v>
      </c>
      <c r="J92" s="256" t="s">
        <v>234</v>
      </c>
      <c r="K92" s="256"/>
      <c r="L92" s="256" t="s">
        <v>4051</v>
      </c>
      <c r="M92" s="256" t="s">
        <v>77</v>
      </c>
      <c r="N92" s="256" t="s">
        <v>3306</v>
      </c>
      <c r="O92" s="256" t="s">
        <v>3528</v>
      </c>
    </row>
    <row r="93" spans="1:15" s="296" customFormat="1" ht="19.95" customHeight="1" x14ac:dyDescent="0.3">
      <c r="A93" s="276" t="s">
        <v>3784</v>
      </c>
      <c r="B93" s="276" t="s">
        <v>3785</v>
      </c>
      <c r="C93" s="256" t="s">
        <v>117</v>
      </c>
      <c r="D93" s="256">
        <v>23</v>
      </c>
      <c r="E93" s="277">
        <v>45408</v>
      </c>
      <c r="F93" s="277">
        <v>45411</v>
      </c>
      <c r="G93" s="301">
        <f t="shared" ca="1" si="1"/>
        <v>661</v>
      </c>
      <c r="H93" s="256" t="s">
        <v>65</v>
      </c>
      <c r="I93" s="257">
        <v>45418</v>
      </c>
      <c r="J93" s="256" t="s">
        <v>234</v>
      </c>
      <c r="K93" s="256">
        <v>350</v>
      </c>
      <c r="L93" s="256" t="s">
        <v>4051</v>
      </c>
      <c r="M93" s="256" t="s">
        <v>66</v>
      </c>
      <c r="N93" s="256" t="s">
        <v>66</v>
      </c>
      <c r="O93" s="256" t="s">
        <v>4056</v>
      </c>
    </row>
    <row r="94" spans="1:15" s="296" customFormat="1" ht="19.95" customHeight="1" x14ac:dyDescent="0.3">
      <c r="A94" s="272" t="s">
        <v>3850</v>
      </c>
      <c r="B94" s="272" t="s">
        <v>3851</v>
      </c>
      <c r="C94" s="272" t="s">
        <v>118</v>
      </c>
      <c r="D94" s="256"/>
      <c r="E94" s="273">
        <v>45413</v>
      </c>
      <c r="F94" s="273">
        <v>45415</v>
      </c>
      <c r="G94" s="301">
        <f t="shared" ca="1" si="1"/>
        <v>656</v>
      </c>
      <c r="H94" s="256" t="s">
        <v>63</v>
      </c>
      <c r="I94" s="256"/>
      <c r="J94" s="256" t="s">
        <v>234</v>
      </c>
      <c r="K94" s="256"/>
      <c r="L94" s="256" t="s">
        <v>4051</v>
      </c>
      <c r="M94" s="256" t="s">
        <v>63</v>
      </c>
      <c r="N94" s="256" t="s">
        <v>63</v>
      </c>
      <c r="O94" s="256"/>
    </row>
    <row r="95" spans="1:15" s="296" customFormat="1" ht="19.95" customHeight="1" x14ac:dyDescent="0.3">
      <c r="A95" s="256" t="s">
        <v>2799</v>
      </c>
      <c r="B95" s="256" t="s">
        <v>2800</v>
      </c>
      <c r="C95" s="256" t="s">
        <v>163</v>
      </c>
      <c r="D95" s="256"/>
      <c r="E95" s="257">
        <v>45048</v>
      </c>
      <c r="F95" s="257">
        <v>45049</v>
      </c>
      <c r="G95" s="301">
        <f t="shared" ca="1" si="1"/>
        <v>1021</v>
      </c>
      <c r="H95" s="256" t="s">
        <v>3304</v>
      </c>
      <c r="I95" s="256" t="s">
        <v>2637</v>
      </c>
      <c r="J95" s="256" t="s">
        <v>234</v>
      </c>
      <c r="K95" s="256"/>
      <c r="L95" s="256" t="s">
        <v>4051</v>
      </c>
      <c r="M95" s="256" t="s">
        <v>77</v>
      </c>
      <c r="N95" s="256" t="s">
        <v>67</v>
      </c>
      <c r="O95" s="256" t="s">
        <v>3529</v>
      </c>
    </row>
    <row r="96" spans="1:15" s="296" customFormat="1" ht="19.95" customHeight="1" x14ac:dyDescent="0.3">
      <c r="A96" s="256" t="s">
        <v>2801</v>
      </c>
      <c r="B96" s="256" t="s">
        <v>2802</v>
      </c>
      <c r="C96" s="256" t="s">
        <v>3302</v>
      </c>
      <c r="D96" s="256">
        <v>11</v>
      </c>
      <c r="E96" s="257">
        <v>44585</v>
      </c>
      <c r="F96" s="257">
        <v>44845</v>
      </c>
      <c r="G96" s="301">
        <f t="shared" ca="1" si="1"/>
        <v>1484</v>
      </c>
      <c r="H96" s="256" t="s">
        <v>3304</v>
      </c>
      <c r="I96" s="256" t="s">
        <v>2637</v>
      </c>
      <c r="J96" s="256" t="s">
        <v>234</v>
      </c>
      <c r="K96" s="256">
        <v>150</v>
      </c>
      <c r="L96" s="256" t="s">
        <v>4051</v>
      </c>
      <c r="M96" s="256" t="s">
        <v>77</v>
      </c>
      <c r="N96" s="256" t="s">
        <v>2631</v>
      </c>
      <c r="O96" s="256" t="s">
        <v>3482</v>
      </c>
    </row>
    <row r="97" spans="1:15" s="296" customFormat="1" ht="19.95" customHeight="1" x14ac:dyDescent="0.3">
      <c r="A97" s="272" t="s">
        <v>3433</v>
      </c>
      <c r="B97" s="272" t="s">
        <v>3434</v>
      </c>
      <c r="C97" s="256" t="s">
        <v>3481</v>
      </c>
      <c r="D97" s="256">
        <v>6</v>
      </c>
      <c r="E97" s="273">
        <v>45404</v>
      </c>
      <c r="F97" s="273">
        <v>45405</v>
      </c>
      <c r="G97" s="301">
        <f t="shared" ca="1" si="1"/>
        <v>665</v>
      </c>
      <c r="H97" s="256" t="s">
        <v>41</v>
      </c>
      <c r="I97" s="256" t="s">
        <v>2637</v>
      </c>
      <c r="J97" s="256" t="s">
        <v>234</v>
      </c>
      <c r="K97" s="256">
        <v>100</v>
      </c>
      <c r="L97" s="256" t="s">
        <v>4051</v>
      </c>
      <c r="M97" s="256" t="s">
        <v>41</v>
      </c>
      <c r="N97" s="256" t="s">
        <v>41</v>
      </c>
      <c r="O97" s="256" t="s">
        <v>4057</v>
      </c>
    </row>
    <row r="98" spans="1:15" s="296" customFormat="1" ht="19.95" customHeight="1" x14ac:dyDescent="0.3">
      <c r="A98" s="256" t="s">
        <v>2803</v>
      </c>
      <c r="B98" s="256" t="s">
        <v>2804</v>
      </c>
      <c r="C98" s="256" t="s">
        <v>165</v>
      </c>
      <c r="D98" s="256">
        <v>47</v>
      </c>
      <c r="E98" s="257">
        <v>44588</v>
      </c>
      <c r="F98" s="257">
        <v>44610</v>
      </c>
      <c r="G98" s="301">
        <f t="shared" ca="1" si="1"/>
        <v>1481</v>
      </c>
      <c r="H98" s="256" t="s">
        <v>3304</v>
      </c>
      <c r="I98" s="256" t="s">
        <v>2637</v>
      </c>
      <c r="J98" s="256" t="s">
        <v>234</v>
      </c>
      <c r="K98" s="256">
        <v>1130</v>
      </c>
      <c r="L98" s="256" t="s">
        <v>4051</v>
      </c>
      <c r="M98" s="256" t="s">
        <v>77</v>
      </c>
      <c r="N98" s="256" t="s">
        <v>2631</v>
      </c>
      <c r="O98" s="256" t="s">
        <v>3482</v>
      </c>
    </row>
    <row r="99" spans="1:15" s="296" customFormat="1" ht="19.95" customHeight="1" x14ac:dyDescent="0.3">
      <c r="A99" s="256" t="s">
        <v>2805</v>
      </c>
      <c r="B99" s="256" t="s">
        <v>2806</v>
      </c>
      <c r="C99" s="256" t="s">
        <v>99</v>
      </c>
      <c r="D99" s="256"/>
      <c r="E99" s="257">
        <v>44592</v>
      </c>
      <c r="F99" s="257">
        <v>44610</v>
      </c>
      <c r="G99" s="301">
        <f t="shared" ca="1" si="1"/>
        <v>1477</v>
      </c>
      <c r="H99" s="256" t="s">
        <v>3304</v>
      </c>
      <c r="I99" s="256" t="s">
        <v>2637</v>
      </c>
      <c r="J99" s="256" t="s">
        <v>234</v>
      </c>
      <c r="K99" s="256">
        <v>1032</v>
      </c>
      <c r="L99" s="256" t="s">
        <v>4051</v>
      </c>
      <c r="M99" s="256" t="s">
        <v>77</v>
      </c>
      <c r="N99" s="256" t="s">
        <v>3307</v>
      </c>
      <c r="O99" s="256" t="s">
        <v>3530</v>
      </c>
    </row>
    <row r="100" spans="1:15" s="296" customFormat="1" ht="19.95" customHeight="1" x14ac:dyDescent="0.3">
      <c r="A100" s="256" t="s">
        <v>2807</v>
      </c>
      <c r="B100" s="256" t="s">
        <v>2808</v>
      </c>
      <c r="C100" s="256" t="s">
        <v>164</v>
      </c>
      <c r="D100" s="256">
        <v>240</v>
      </c>
      <c r="E100" s="257">
        <v>45265</v>
      </c>
      <c r="F100" s="257">
        <v>45266</v>
      </c>
      <c r="G100" s="301">
        <f t="shared" ca="1" si="1"/>
        <v>804</v>
      </c>
      <c r="H100" s="256" t="s">
        <v>41</v>
      </c>
      <c r="I100" s="257" t="s">
        <v>2637</v>
      </c>
      <c r="J100" s="256" t="s">
        <v>234</v>
      </c>
      <c r="K100" s="256">
        <v>280</v>
      </c>
      <c r="L100" s="256" t="s">
        <v>4051</v>
      </c>
      <c r="M100" s="256" t="s">
        <v>41</v>
      </c>
      <c r="N100" s="256" t="s">
        <v>41</v>
      </c>
      <c r="O100" s="256" t="s">
        <v>3531</v>
      </c>
    </row>
    <row r="101" spans="1:15" s="296" customFormat="1" ht="19.95" customHeight="1" x14ac:dyDescent="0.3">
      <c r="A101" s="256" t="s">
        <v>2809</v>
      </c>
      <c r="B101" s="256" t="s">
        <v>2810</v>
      </c>
      <c r="C101" s="256" t="s">
        <v>165</v>
      </c>
      <c r="D101" s="256"/>
      <c r="E101" s="257">
        <v>44942</v>
      </c>
      <c r="F101" s="257">
        <v>45083</v>
      </c>
      <c r="G101" s="301">
        <f t="shared" ca="1" si="1"/>
        <v>1127</v>
      </c>
      <c r="H101" s="256" t="s">
        <v>3304</v>
      </c>
      <c r="I101" s="256" t="s">
        <v>2637</v>
      </c>
      <c r="J101" s="256" t="s">
        <v>234</v>
      </c>
      <c r="K101" s="256"/>
      <c r="L101" s="256" t="s">
        <v>4051</v>
      </c>
      <c r="M101" s="256" t="s">
        <v>77</v>
      </c>
      <c r="N101" s="256" t="s">
        <v>2631</v>
      </c>
      <c r="O101" s="256" t="s">
        <v>3482</v>
      </c>
    </row>
    <row r="102" spans="1:15" s="296" customFormat="1" ht="19.95" customHeight="1" x14ac:dyDescent="0.3">
      <c r="A102" s="272" t="s">
        <v>3175</v>
      </c>
      <c r="B102" s="272" t="s">
        <v>3176</v>
      </c>
      <c r="C102" s="272" t="s">
        <v>101</v>
      </c>
      <c r="D102" s="256">
        <v>93</v>
      </c>
      <c r="E102" s="273">
        <v>45384</v>
      </c>
      <c r="F102" s="273">
        <v>45386</v>
      </c>
      <c r="G102" s="301">
        <f t="shared" ca="1" si="1"/>
        <v>685</v>
      </c>
      <c r="H102" s="256" t="s">
        <v>68</v>
      </c>
      <c r="I102" s="257">
        <v>45419</v>
      </c>
      <c r="J102" s="256" t="s">
        <v>234</v>
      </c>
      <c r="K102" s="256">
        <v>370</v>
      </c>
      <c r="L102" s="256" t="s">
        <v>4051</v>
      </c>
      <c r="M102" s="256" t="s">
        <v>66</v>
      </c>
      <c r="N102" s="256" t="s">
        <v>66</v>
      </c>
      <c r="O102" s="256" t="s">
        <v>3581</v>
      </c>
    </row>
    <row r="103" spans="1:15" s="296" customFormat="1" ht="19.95" customHeight="1" x14ac:dyDescent="0.3">
      <c r="A103" s="276" t="s">
        <v>3449</v>
      </c>
      <c r="B103" s="276" t="s">
        <v>3450</v>
      </c>
      <c r="C103" s="276" t="s">
        <v>3302</v>
      </c>
      <c r="D103" s="256">
        <v>47</v>
      </c>
      <c r="E103" s="277">
        <v>45406</v>
      </c>
      <c r="F103" s="277">
        <v>45407</v>
      </c>
      <c r="G103" s="301">
        <f t="shared" ca="1" si="1"/>
        <v>663</v>
      </c>
      <c r="H103" s="256" t="s">
        <v>65</v>
      </c>
      <c r="I103" s="257">
        <v>45418</v>
      </c>
      <c r="J103" s="256" t="s">
        <v>234</v>
      </c>
      <c r="K103" s="256">
        <v>250</v>
      </c>
      <c r="L103" s="256" t="s">
        <v>4051</v>
      </c>
      <c r="M103" s="256" t="s">
        <v>66</v>
      </c>
      <c r="N103" s="256" t="s">
        <v>66</v>
      </c>
      <c r="O103" s="256" t="s">
        <v>3586</v>
      </c>
    </row>
    <row r="104" spans="1:15" s="296" customFormat="1" ht="19.95" customHeight="1" x14ac:dyDescent="0.3">
      <c r="A104" s="256" t="s">
        <v>2997</v>
      </c>
      <c r="B104" s="256" t="s">
        <v>2998</v>
      </c>
      <c r="C104" s="256" t="s">
        <v>2647</v>
      </c>
      <c r="D104" s="256">
        <v>8</v>
      </c>
      <c r="E104" s="257">
        <v>45144</v>
      </c>
      <c r="F104" s="257">
        <v>45147</v>
      </c>
      <c r="G104" s="301">
        <f t="shared" ca="1" si="1"/>
        <v>925</v>
      </c>
      <c r="H104" s="256" t="s">
        <v>68</v>
      </c>
      <c r="I104" s="257">
        <v>45420</v>
      </c>
      <c r="J104" s="256" t="s">
        <v>234</v>
      </c>
      <c r="K104" s="256">
        <v>100</v>
      </c>
      <c r="L104" s="256" t="s">
        <v>4051</v>
      </c>
      <c r="M104" s="256" t="s">
        <v>3305</v>
      </c>
      <c r="N104" s="256" t="s">
        <v>3305</v>
      </c>
      <c r="O104" s="256" t="s">
        <v>3627</v>
      </c>
    </row>
    <row r="105" spans="1:15" s="296" customFormat="1" ht="19.95" customHeight="1" x14ac:dyDescent="0.3">
      <c r="A105" s="256" t="s">
        <v>2813</v>
      </c>
      <c r="B105" s="256" t="s">
        <v>2814</v>
      </c>
      <c r="C105" s="256" t="s">
        <v>94</v>
      </c>
      <c r="D105" s="256">
        <v>103</v>
      </c>
      <c r="E105" s="257">
        <v>44777</v>
      </c>
      <c r="F105" s="257">
        <v>44783</v>
      </c>
      <c r="G105" s="301">
        <f t="shared" ca="1" si="1"/>
        <v>1292</v>
      </c>
      <c r="H105" s="256" t="s">
        <v>3304</v>
      </c>
      <c r="I105" s="256" t="s">
        <v>2637</v>
      </c>
      <c r="J105" s="256" t="s">
        <v>234</v>
      </c>
      <c r="K105" s="256">
        <v>450</v>
      </c>
      <c r="L105" s="256" t="s">
        <v>4051</v>
      </c>
      <c r="M105" s="256" t="s">
        <v>77</v>
      </c>
      <c r="N105" s="256" t="s">
        <v>2631</v>
      </c>
      <c r="O105" s="256" t="s">
        <v>3482</v>
      </c>
    </row>
    <row r="106" spans="1:15" s="296" customFormat="1" ht="19.95" customHeight="1" x14ac:dyDescent="0.3">
      <c r="A106" s="256" t="s">
        <v>2815</v>
      </c>
      <c r="B106" s="256" t="s">
        <v>2816</v>
      </c>
      <c r="C106" s="256" t="s">
        <v>165</v>
      </c>
      <c r="D106" s="256"/>
      <c r="E106" s="257">
        <v>44585</v>
      </c>
      <c r="F106" s="257">
        <v>44585</v>
      </c>
      <c r="G106" s="301">
        <f t="shared" ca="1" si="1"/>
        <v>1484</v>
      </c>
      <c r="H106" s="256" t="s">
        <v>3304</v>
      </c>
      <c r="I106" s="256" t="s">
        <v>2637</v>
      </c>
      <c r="J106" s="256" t="s">
        <v>234</v>
      </c>
      <c r="K106" s="256"/>
      <c r="L106" s="256" t="s">
        <v>4051</v>
      </c>
      <c r="M106" s="256" t="s">
        <v>77</v>
      </c>
      <c r="N106" s="256" t="s">
        <v>2631</v>
      </c>
      <c r="O106" s="256" t="s">
        <v>3482</v>
      </c>
    </row>
    <row r="107" spans="1:15" s="296" customFormat="1" ht="19.95" customHeight="1" x14ac:dyDescent="0.3">
      <c r="A107" s="259" t="s">
        <v>3042</v>
      </c>
      <c r="B107" s="259" t="s">
        <v>3043</v>
      </c>
      <c r="C107" s="259" t="s">
        <v>2649</v>
      </c>
      <c r="D107" s="256">
        <v>106</v>
      </c>
      <c r="E107" s="260">
        <v>45350</v>
      </c>
      <c r="F107" s="260">
        <v>45351</v>
      </c>
      <c r="G107" s="301">
        <f t="shared" ca="1" si="1"/>
        <v>719</v>
      </c>
      <c r="H107" s="256" t="s">
        <v>68</v>
      </c>
      <c r="I107" s="257">
        <v>45420</v>
      </c>
      <c r="J107" s="256" t="s">
        <v>234</v>
      </c>
      <c r="K107" s="256">
        <v>300</v>
      </c>
      <c r="L107" s="256" t="s">
        <v>4051</v>
      </c>
      <c r="M107" s="256" t="s">
        <v>3305</v>
      </c>
      <c r="N107" s="256" t="s">
        <v>3305</v>
      </c>
      <c r="O107" s="256" t="s">
        <v>3548</v>
      </c>
    </row>
    <row r="108" spans="1:15" s="296" customFormat="1" ht="19.95" customHeight="1" x14ac:dyDescent="0.3">
      <c r="A108" s="259" t="s">
        <v>3051</v>
      </c>
      <c r="B108" s="259" t="s">
        <v>3052</v>
      </c>
      <c r="C108" s="256" t="s">
        <v>136</v>
      </c>
      <c r="D108" s="256">
        <v>70</v>
      </c>
      <c r="E108" s="260">
        <v>45267</v>
      </c>
      <c r="F108" s="260">
        <v>45281</v>
      </c>
      <c r="G108" s="301">
        <f t="shared" ca="1" si="1"/>
        <v>802</v>
      </c>
      <c r="H108" s="256" t="s">
        <v>68</v>
      </c>
      <c r="I108" s="257">
        <v>45420</v>
      </c>
      <c r="J108" s="256" t="s">
        <v>234</v>
      </c>
      <c r="K108" s="256">
        <v>150</v>
      </c>
      <c r="L108" s="256" t="s">
        <v>4051</v>
      </c>
      <c r="M108" s="256" t="s">
        <v>3305</v>
      </c>
      <c r="N108" s="256" t="s">
        <v>3305</v>
      </c>
      <c r="O108" s="256" t="s">
        <v>3514</v>
      </c>
    </row>
    <row r="109" spans="1:15" s="296" customFormat="1" ht="19.95" customHeight="1" x14ac:dyDescent="0.3">
      <c r="A109" s="272" t="s">
        <v>3467</v>
      </c>
      <c r="B109" s="272" t="s">
        <v>3468</v>
      </c>
      <c r="C109" s="256" t="s">
        <v>117</v>
      </c>
      <c r="D109" s="256"/>
      <c r="E109" s="273">
        <v>45408</v>
      </c>
      <c r="F109" s="273">
        <v>45409</v>
      </c>
      <c r="G109" s="301">
        <f t="shared" ca="1" si="1"/>
        <v>661</v>
      </c>
      <c r="H109" s="256" t="s">
        <v>68</v>
      </c>
      <c r="I109" s="256" t="s">
        <v>2637</v>
      </c>
      <c r="J109" s="256" t="s">
        <v>234</v>
      </c>
      <c r="K109" s="256"/>
      <c r="L109" s="256" t="s">
        <v>4051</v>
      </c>
      <c r="M109" s="256" t="s">
        <v>77</v>
      </c>
      <c r="N109" s="256" t="s">
        <v>86</v>
      </c>
      <c r="O109" s="256" t="s">
        <v>3812</v>
      </c>
    </row>
    <row r="110" spans="1:15" s="296" customFormat="1" ht="19.95" customHeight="1" x14ac:dyDescent="0.3">
      <c r="A110" s="256" t="s">
        <v>2821</v>
      </c>
      <c r="B110" s="256" t="s">
        <v>2822</v>
      </c>
      <c r="C110" s="276" t="s">
        <v>93</v>
      </c>
      <c r="D110" s="256"/>
      <c r="E110" s="257">
        <v>45276</v>
      </c>
      <c r="F110" s="257">
        <v>45278</v>
      </c>
      <c r="G110" s="301">
        <f t="shared" ca="1" si="1"/>
        <v>793</v>
      </c>
      <c r="H110" s="256" t="s">
        <v>3304</v>
      </c>
      <c r="I110" s="256" t="s">
        <v>2637</v>
      </c>
      <c r="J110" s="256" t="s">
        <v>234</v>
      </c>
      <c r="K110" s="256"/>
      <c r="L110" s="256" t="s">
        <v>4051</v>
      </c>
      <c r="M110" s="256" t="s">
        <v>77</v>
      </c>
      <c r="N110" s="256" t="s">
        <v>2631</v>
      </c>
      <c r="O110" s="256" t="s">
        <v>3482</v>
      </c>
    </row>
    <row r="111" spans="1:15" s="296" customFormat="1" ht="19.95" customHeight="1" x14ac:dyDescent="0.3">
      <c r="A111" s="256" t="s">
        <v>2823</v>
      </c>
      <c r="B111" s="256" t="s">
        <v>2824</v>
      </c>
      <c r="C111" s="276" t="s">
        <v>93</v>
      </c>
      <c r="D111" s="256"/>
      <c r="E111" s="257">
        <v>45244</v>
      </c>
      <c r="F111" s="257">
        <v>45250</v>
      </c>
      <c r="G111" s="301">
        <f t="shared" ca="1" si="1"/>
        <v>825</v>
      </c>
      <c r="H111" s="256" t="s">
        <v>3304</v>
      </c>
      <c r="I111" s="256" t="s">
        <v>2637</v>
      </c>
      <c r="J111" s="256" t="s">
        <v>234</v>
      </c>
      <c r="K111" s="256"/>
      <c r="L111" s="256" t="s">
        <v>4051</v>
      </c>
      <c r="M111" s="256" t="s">
        <v>77</v>
      </c>
      <c r="N111" s="256" t="s">
        <v>2631</v>
      </c>
      <c r="O111" s="256" t="s">
        <v>3482</v>
      </c>
    </row>
    <row r="112" spans="1:15" s="296" customFormat="1" ht="19.95" customHeight="1" x14ac:dyDescent="0.3">
      <c r="A112" s="256" t="s">
        <v>2825</v>
      </c>
      <c r="B112" s="256" t="s">
        <v>2826</v>
      </c>
      <c r="C112" s="256" t="s">
        <v>99</v>
      </c>
      <c r="D112" s="256">
        <v>78</v>
      </c>
      <c r="E112" s="257">
        <v>44564</v>
      </c>
      <c r="F112" s="257">
        <v>44564</v>
      </c>
      <c r="G112" s="301">
        <f t="shared" ca="1" si="1"/>
        <v>1505</v>
      </c>
      <c r="H112" s="256" t="s">
        <v>3304</v>
      </c>
      <c r="I112" s="256" t="s">
        <v>2637</v>
      </c>
      <c r="J112" s="256" t="s">
        <v>234</v>
      </c>
      <c r="K112" s="256">
        <v>150</v>
      </c>
      <c r="L112" s="256" t="s">
        <v>4051</v>
      </c>
      <c r="M112" s="256" t="s">
        <v>77</v>
      </c>
      <c r="N112" s="256" t="s">
        <v>2631</v>
      </c>
      <c r="O112" s="256" t="s">
        <v>3482</v>
      </c>
    </row>
    <row r="113" spans="1:15" s="296" customFormat="1" ht="19.95" customHeight="1" x14ac:dyDescent="0.3">
      <c r="A113" s="256" t="s">
        <v>2827</v>
      </c>
      <c r="B113" s="256" t="s">
        <v>2828</v>
      </c>
      <c r="C113" s="256" t="s">
        <v>94</v>
      </c>
      <c r="D113" s="256"/>
      <c r="E113" s="257">
        <v>44747</v>
      </c>
      <c r="F113" s="257">
        <v>45190</v>
      </c>
      <c r="G113" s="301">
        <f t="shared" ca="1" si="1"/>
        <v>1322</v>
      </c>
      <c r="H113" s="256" t="s">
        <v>3304</v>
      </c>
      <c r="I113" s="256" t="s">
        <v>2637</v>
      </c>
      <c r="J113" s="256" t="s">
        <v>3751</v>
      </c>
      <c r="K113" s="256"/>
      <c r="L113" s="256" t="s">
        <v>4051</v>
      </c>
      <c r="M113" s="256" t="s">
        <v>77</v>
      </c>
      <c r="N113" s="256" t="s">
        <v>67</v>
      </c>
      <c r="O113" s="256" t="s">
        <v>67</v>
      </c>
    </row>
    <row r="114" spans="1:15" s="296" customFormat="1" ht="19.95" customHeight="1" x14ac:dyDescent="0.3">
      <c r="A114" s="256" t="s">
        <v>2829</v>
      </c>
      <c r="B114" s="256" t="s">
        <v>2830</v>
      </c>
      <c r="C114" s="256" t="s">
        <v>165</v>
      </c>
      <c r="D114" s="256">
        <v>103</v>
      </c>
      <c r="E114" s="257">
        <v>45276</v>
      </c>
      <c r="F114" s="257">
        <v>45278</v>
      </c>
      <c r="G114" s="301">
        <f t="shared" ca="1" si="1"/>
        <v>793</v>
      </c>
      <c r="H114" s="256" t="s">
        <v>3304</v>
      </c>
      <c r="I114" s="257" t="s">
        <v>2637</v>
      </c>
      <c r="J114" s="256" t="s">
        <v>234</v>
      </c>
      <c r="K114" s="256">
        <v>150</v>
      </c>
      <c r="L114" s="256" t="s">
        <v>4051</v>
      </c>
      <c r="M114" s="256" t="s">
        <v>77</v>
      </c>
      <c r="N114" s="256" t="s">
        <v>2631</v>
      </c>
      <c r="O114" s="256" t="s">
        <v>3482</v>
      </c>
    </row>
    <row r="115" spans="1:15" s="296" customFormat="1" ht="19.95" customHeight="1" x14ac:dyDescent="0.3">
      <c r="A115" s="259" t="s">
        <v>2831</v>
      </c>
      <c r="B115" s="259" t="s">
        <v>2832</v>
      </c>
      <c r="C115" s="256" t="s">
        <v>167</v>
      </c>
      <c r="D115" s="256">
        <v>81</v>
      </c>
      <c r="E115" s="260">
        <v>45363</v>
      </c>
      <c r="F115" s="260">
        <v>45364</v>
      </c>
      <c r="G115" s="301">
        <f t="shared" ca="1" si="1"/>
        <v>706</v>
      </c>
      <c r="H115" s="256" t="s">
        <v>65</v>
      </c>
      <c r="I115" s="266" t="s">
        <v>2637</v>
      </c>
      <c r="J115" s="256" t="s">
        <v>234</v>
      </c>
      <c r="K115" s="256">
        <v>370</v>
      </c>
      <c r="L115" s="256" t="s">
        <v>4051</v>
      </c>
      <c r="M115" s="256" t="s">
        <v>77</v>
      </c>
      <c r="N115" s="256" t="s">
        <v>3307</v>
      </c>
      <c r="O115" s="256" t="s">
        <v>3535</v>
      </c>
    </row>
    <row r="116" spans="1:15" s="296" customFormat="1" ht="19.95" customHeight="1" x14ac:dyDescent="0.3">
      <c r="A116" s="256" t="s">
        <v>2833</v>
      </c>
      <c r="B116" s="256" t="s">
        <v>2834</v>
      </c>
      <c r="C116" s="256" t="s">
        <v>165</v>
      </c>
      <c r="D116" s="256">
        <v>74</v>
      </c>
      <c r="E116" s="257">
        <v>45272</v>
      </c>
      <c r="F116" s="257">
        <v>45274</v>
      </c>
      <c r="G116" s="301">
        <f t="shared" ca="1" si="1"/>
        <v>797</v>
      </c>
      <c r="H116" s="256" t="s">
        <v>3304</v>
      </c>
      <c r="I116" s="257" t="s">
        <v>2637</v>
      </c>
      <c r="J116" s="256" t="s">
        <v>234</v>
      </c>
      <c r="K116" s="256">
        <v>500</v>
      </c>
      <c r="L116" s="256" t="s">
        <v>4051</v>
      </c>
      <c r="M116" s="256" t="s">
        <v>77</v>
      </c>
      <c r="N116" s="256" t="s">
        <v>3306</v>
      </c>
      <c r="O116" s="256" t="s">
        <v>3536</v>
      </c>
    </row>
    <row r="117" spans="1:15" s="296" customFormat="1" ht="19.95" customHeight="1" x14ac:dyDescent="0.3">
      <c r="A117" s="256" t="s">
        <v>2835</v>
      </c>
      <c r="B117" s="256" t="s">
        <v>2836</v>
      </c>
      <c r="C117" s="272" t="s">
        <v>101</v>
      </c>
      <c r="D117" s="256">
        <v>68</v>
      </c>
      <c r="E117" s="257">
        <v>45197</v>
      </c>
      <c r="F117" s="257">
        <v>45201</v>
      </c>
      <c r="G117" s="301">
        <f t="shared" ca="1" si="1"/>
        <v>872</v>
      </c>
      <c r="H117" s="256" t="s">
        <v>65</v>
      </c>
      <c r="I117" s="257" t="s">
        <v>2637</v>
      </c>
      <c r="J117" s="256" t="s">
        <v>234</v>
      </c>
      <c r="K117" s="256">
        <v>250</v>
      </c>
      <c r="L117" s="256" t="s">
        <v>4051</v>
      </c>
      <c r="M117" s="256" t="s">
        <v>77</v>
      </c>
      <c r="N117" s="256" t="s">
        <v>70</v>
      </c>
      <c r="O117" s="256" t="s">
        <v>3537</v>
      </c>
    </row>
    <row r="118" spans="1:15" s="296" customFormat="1" ht="19.95" customHeight="1" x14ac:dyDescent="0.3">
      <c r="A118" s="256" t="s">
        <v>2837</v>
      </c>
      <c r="B118" s="256" t="s">
        <v>2838</v>
      </c>
      <c r="C118" s="256" t="s">
        <v>94</v>
      </c>
      <c r="D118" s="256">
        <v>37</v>
      </c>
      <c r="E118" s="257">
        <v>45194</v>
      </c>
      <c r="F118" s="257">
        <v>45201</v>
      </c>
      <c r="G118" s="301">
        <f t="shared" ca="1" si="1"/>
        <v>875</v>
      </c>
      <c r="H118" s="256" t="s">
        <v>3304</v>
      </c>
      <c r="I118" s="257" t="s">
        <v>2637</v>
      </c>
      <c r="J118" s="256" t="s">
        <v>234</v>
      </c>
      <c r="K118" s="256">
        <v>400</v>
      </c>
      <c r="L118" s="256" t="s">
        <v>4051</v>
      </c>
      <c r="M118" s="256" t="s">
        <v>77</v>
      </c>
      <c r="N118" s="256" t="s">
        <v>3307</v>
      </c>
      <c r="O118" s="256" t="s">
        <v>3538</v>
      </c>
    </row>
    <row r="119" spans="1:15" s="296" customFormat="1" ht="19.95" customHeight="1" x14ac:dyDescent="0.3">
      <c r="A119" s="256" t="s">
        <v>2839</v>
      </c>
      <c r="B119" s="256" t="s">
        <v>2840</v>
      </c>
      <c r="C119" s="256" t="s">
        <v>117</v>
      </c>
      <c r="D119" s="256">
        <v>39</v>
      </c>
      <c r="E119" s="256">
        <v>44907</v>
      </c>
      <c r="F119" s="256">
        <v>44907</v>
      </c>
      <c r="G119" s="301">
        <f t="shared" ca="1" si="1"/>
        <v>1162</v>
      </c>
      <c r="H119" s="256" t="s">
        <v>3304</v>
      </c>
      <c r="I119" s="256" t="s">
        <v>2637</v>
      </c>
      <c r="J119" s="256" t="s">
        <v>234</v>
      </c>
      <c r="K119" s="256">
        <v>250</v>
      </c>
      <c r="L119" s="256" t="s">
        <v>4051</v>
      </c>
      <c r="M119" s="256" t="s">
        <v>77</v>
      </c>
      <c r="N119" s="256" t="s">
        <v>2631</v>
      </c>
      <c r="O119" s="256" t="s">
        <v>3482</v>
      </c>
    </row>
    <row r="120" spans="1:15" s="296" customFormat="1" ht="19.95" customHeight="1" x14ac:dyDescent="0.3">
      <c r="A120" s="272" t="s">
        <v>3425</v>
      </c>
      <c r="B120" s="272" t="s">
        <v>3426</v>
      </c>
      <c r="C120" s="272" t="s">
        <v>2649</v>
      </c>
      <c r="D120" s="256">
        <v>19</v>
      </c>
      <c r="E120" s="273">
        <v>45395</v>
      </c>
      <c r="F120" s="273">
        <v>45406</v>
      </c>
      <c r="G120" s="301">
        <f t="shared" ca="1" si="1"/>
        <v>674</v>
      </c>
      <c r="H120" s="256" t="s">
        <v>65</v>
      </c>
      <c r="I120" s="257">
        <v>45418</v>
      </c>
      <c r="J120" s="256" t="s">
        <v>234</v>
      </c>
      <c r="K120" s="256">
        <v>100</v>
      </c>
      <c r="L120" s="256" t="s">
        <v>4051</v>
      </c>
      <c r="M120" s="256" t="s">
        <v>66</v>
      </c>
      <c r="N120" s="256" t="s">
        <v>66</v>
      </c>
      <c r="O120" s="256" t="s">
        <v>3483</v>
      </c>
    </row>
    <row r="121" spans="1:15" s="296" customFormat="1" ht="19.95" customHeight="1" x14ac:dyDescent="0.3">
      <c r="A121" s="276" t="s">
        <v>3852</v>
      </c>
      <c r="B121" s="276" t="s">
        <v>3853</v>
      </c>
      <c r="C121" s="276" t="s">
        <v>103</v>
      </c>
      <c r="D121" s="256">
        <v>53</v>
      </c>
      <c r="E121" s="277">
        <v>45411</v>
      </c>
      <c r="F121" s="277">
        <v>45414</v>
      </c>
      <c r="G121" s="301">
        <f t="shared" ca="1" si="1"/>
        <v>658</v>
      </c>
      <c r="H121" s="256" t="s">
        <v>68</v>
      </c>
      <c r="I121" s="257">
        <v>45420</v>
      </c>
      <c r="J121" s="256" t="s">
        <v>234</v>
      </c>
      <c r="K121" s="256">
        <v>300</v>
      </c>
      <c r="L121" s="256" t="s">
        <v>4051</v>
      </c>
      <c r="M121" s="256" t="s">
        <v>3305</v>
      </c>
      <c r="N121" s="256" t="s">
        <v>3305</v>
      </c>
      <c r="O121" s="256" t="s">
        <v>4058</v>
      </c>
    </row>
    <row r="122" spans="1:15" s="296" customFormat="1" ht="19.95" customHeight="1" x14ac:dyDescent="0.3">
      <c r="A122" s="256" t="s">
        <v>2843</v>
      </c>
      <c r="B122" s="256" t="s">
        <v>2844</v>
      </c>
      <c r="C122" s="256" t="s">
        <v>99</v>
      </c>
      <c r="D122" s="256">
        <v>63</v>
      </c>
      <c r="E122" s="257">
        <v>44826</v>
      </c>
      <c r="F122" s="257">
        <v>44831</v>
      </c>
      <c r="G122" s="301">
        <f t="shared" ca="1" si="1"/>
        <v>1243</v>
      </c>
      <c r="H122" s="256" t="s">
        <v>3304</v>
      </c>
      <c r="I122" s="256" t="s">
        <v>2637</v>
      </c>
      <c r="J122" s="256" t="s">
        <v>234</v>
      </c>
      <c r="K122" s="256">
        <v>150</v>
      </c>
      <c r="L122" s="256" t="s">
        <v>4051</v>
      </c>
      <c r="M122" s="256" t="s">
        <v>77</v>
      </c>
      <c r="N122" s="256" t="s">
        <v>2631</v>
      </c>
      <c r="O122" s="256" t="s">
        <v>3482</v>
      </c>
    </row>
    <row r="123" spans="1:15" s="296" customFormat="1" ht="19.95" customHeight="1" x14ac:dyDescent="0.3">
      <c r="A123" s="256" t="s">
        <v>2845</v>
      </c>
      <c r="B123" s="256" t="s">
        <v>2846</v>
      </c>
      <c r="C123" s="256" t="s">
        <v>3302</v>
      </c>
      <c r="D123" s="256">
        <v>29</v>
      </c>
      <c r="E123" s="257">
        <v>44918</v>
      </c>
      <c r="F123" s="257">
        <v>44923</v>
      </c>
      <c r="G123" s="301">
        <f t="shared" ca="1" si="1"/>
        <v>1151</v>
      </c>
      <c r="H123" s="256" t="s">
        <v>3304</v>
      </c>
      <c r="I123" s="256" t="s">
        <v>2637</v>
      </c>
      <c r="J123" s="256" t="s">
        <v>234</v>
      </c>
      <c r="K123" s="256">
        <v>450</v>
      </c>
      <c r="L123" s="256" t="s">
        <v>4051</v>
      </c>
      <c r="M123" s="256" t="s">
        <v>77</v>
      </c>
      <c r="N123" s="256" t="s">
        <v>2631</v>
      </c>
      <c r="O123" s="256" t="s">
        <v>3482</v>
      </c>
    </row>
    <row r="124" spans="1:15" s="296" customFormat="1" ht="19.95" customHeight="1" x14ac:dyDescent="0.3">
      <c r="A124" s="256" t="s">
        <v>2847</v>
      </c>
      <c r="B124" s="256" t="s">
        <v>2848</v>
      </c>
      <c r="C124" s="256" t="s">
        <v>136</v>
      </c>
      <c r="D124" s="256"/>
      <c r="E124" s="257">
        <v>44771</v>
      </c>
      <c r="F124" s="257">
        <v>44789</v>
      </c>
      <c r="G124" s="301">
        <f t="shared" ca="1" si="1"/>
        <v>1298</v>
      </c>
      <c r="H124" s="256" t="s">
        <v>3304</v>
      </c>
      <c r="I124" s="256" t="s">
        <v>2637</v>
      </c>
      <c r="J124" s="256" t="s">
        <v>3751</v>
      </c>
      <c r="K124" s="256"/>
      <c r="L124" s="256" t="s">
        <v>4051</v>
      </c>
      <c r="M124" s="256" t="s">
        <v>77</v>
      </c>
      <c r="N124" s="256" t="s">
        <v>2631</v>
      </c>
      <c r="O124" s="256" t="s">
        <v>3482</v>
      </c>
    </row>
    <row r="125" spans="1:15" s="296" customFormat="1" ht="19.95" customHeight="1" x14ac:dyDescent="0.3">
      <c r="A125" s="256" t="s">
        <v>2849</v>
      </c>
      <c r="B125" s="256" t="s">
        <v>2850</v>
      </c>
      <c r="C125" s="259" t="s">
        <v>103</v>
      </c>
      <c r="D125" s="256"/>
      <c r="E125" s="257">
        <v>44929</v>
      </c>
      <c r="F125" s="257">
        <v>45230</v>
      </c>
      <c r="G125" s="301">
        <f t="shared" ca="1" si="1"/>
        <v>1140</v>
      </c>
      <c r="H125" s="256" t="s">
        <v>3304</v>
      </c>
      <c r="I125" s="256" t="s">
        <v>2637</v>
      </c>
      <c r="J125" s="256" t="s">
        <v>234</v>
      </c>
      <c r="K125" s="256"/>
      <c r="L125" s="256" t="s">
        <v>4051</v>
      </c>
      <c r="M125" s="256" t="s">
        <v>77</v>
      </c>
      <c r="N125" s="256" t="s">
        <v>2631</v>
      </c>
      <c r="O125" s="256" t="s">
        <v>3482</v>
      </c>
    </row>
    <row r="126" spans="1:15" s="296" customFormat="1" ht="19.95" customHeight="1" x14ac:dyDescent="0.3">
      <c r="A126" s="256" t="s">
        <v>2851</v>
      </c>
      <c r="B126" s="256" t="s">
        <v>2852</v>
      </c>
      <c r="C126" s="272" t="s">
        <v>101</v>
      </c>
      <c r="D126" s="256">
        <v>119</v>
      </c>
      <c r="E126" s="257">
        <v>45209</v>
      </c>
      <c r="F126" s="257">
        <v>45210</v>
      </c>
      <c r="G126" s="301">
        <f t="shared" ca="1" si="1"/>
        <v>860</v>
      </c>
      <c r="H126" s="256" t="s">
        <v>3304</v>
      </c>
      <c r="I126" s="257" t="s">
        <v>2637</v>
      </c>
      <c r="J126" s="256" t="s">
        <v>234</v>
      </c>
      <c r="K126" s="256">
        <v>250</v>
      </c>
      <c r="L126" s="256" t="s">
        <v>4051</v>
      </c>
      <c r="M126" s="256" t="s">
        <v>77</v>
      </c>
      <c r="N126" s="256" t="s">
        <v>2631</v>
      </c>
      <c r="O126" s="256" t="s">
        <v>3482</v>
      </c>
    </row>
    <row r="127" spans="1:15" s="296" customFormat="1" ht="19.95" customHeight="1" x14ac:dyDescent="0.3">
      <c r="A127" s="272" t="s">
        <v>2853</v>
      </c>
      <c r="B127" s="272" t="s">
        <v>2854</v>
      </c>
      <c r="C127" s="256" t="s">
        <v>97</v>
      </c>
      <c r="D127" s="256"/>
      <c r="E127" s="273">
        <v>45381</v>
      </c>
      <c r="F127" s="273">
        <v>45384</v>
      </c>
      <c r="G127" s="301">
        <f t="shared" ca="1" si="1"/>
        <v>688</v>
      </c>
      <c r="H127" s="256" t="s">
        <v>41</v>
      </c>
      <c r="I127" s="257" t="s">
        <v>2637</v>
      </c>
      <c r="J127" s="256" t="s">
        <v>234</v>
      </c>
      <c r="K127" s="256"/>
      <c r="L127" s="256" t="s">
        <v>4051</v>
      </c>
      <c r="M127" s="256" t="s">
        <v>41</v>
      </c>
      <c r="N127" s="256" t="s">
        <v>41</v>
      </c>
      <c r="O127" s="256" t="s">
        <v>3541</v>
      </c>
    </row>
    <row r="128" spans="1:15" s="296" customFormat="1" ht="19.95" customHeight="1" x14ac:dyDescent="0.3">
      <c r="A128" s="256" t="s">
        <v>2855</v>
      </c>
      <c r="B128" s="256" t="s">
        <v>2856</v>
      </c>
      <c r="C128" s="256" t="s">
        <v>165</v>
      </c>
      <c r="D128" s="256"/>
      <c r="E128" s="257">
        <v>44652</v>
      </c>
      <c r="F128" s="257">
        <v>45216</v>
      </c>
      <c r="G128" s="301">
        <f t="shared" ca="1" si="1"/>
        <v>1417</v>
      </c>
      <c r="H128" s="256" t="s">
        <v>3304</v>
      </c>
      <c r="I128" s="256" t="s">
        <v>2637</v>
      </c>
      <c r="J128" s="256" t="s">
        <v>234</v>
      </c>
      <c r="K128" s="256"/>
      <c r="L128" s="256" t="s">
        <v>4051</v>
      </c>
      <c r="M128" s="256" t="s">
        <v>77</v>
      </c>
      <c r="N128" s="256" t="s">
        <v>70</v>
      </c>
      <c r="O128" s="256" t="s">
        <v>70</v>
      </c>
    </row>
    <row r="129" spans="1:15" s="296" customFormat="1" ht="19.95" customHeight="1" x14ac:dyDescent="0.3">
      <c r="A129" s="272" t="s">
        <v>3447</v>
      </c>
      <c r="B129" s="272" t="s">
        <v>3448</v>
      </c>
      <c r="C129" s="272" t="s">
        <v>2649</v>
      </c>
      <c r="D129" s="256">
        <v>9</v>
      </c>
      <c r="E129" s="273">
        <v>45395</v>
      </c>
      <c r="F129" s="273">
        <v>45406</v>
      </c>
      <c r="G129" s="301">
        <f t="shared" ca="1" si="1"/>
        <v>674</v>
      </c>
      <c r="H129" s="256" t="s">
        <v>65</v>
      </c>
      <c r="I129" s="257">
        <v>45418</v>
      </c>
      <c r="J129" s="256" t="s">
        <v>234</v>
      </c>
      <c r="K129" s="256">
        <v>350</v>
      </c>
      <c r="L129" s="256" t="s">
        <v>4051</v>
      </c>
      <c r="M129" s="256" t="s">
        <v>66</v>
      </c>
      <c r="N129" s="256" t="s">
        <v>66</v>
      </c>
      <c r="O129" s="256" t="s">
        <v>3580</v>
      </c>
    </row>
    <row r="130" spans="1:15" s="296" customFormat="1" ht="19.95" customHeight="1" x14ac:dyDescent="0.3">
      <c r="A130" s="256" t="s">
        <v>2857</v>
      </c>
      <c r="B130" s="256" t="s">
        <v>2858</v>
      </c>
      <c r="C130" s="256" t="s">
        <v>163</v>
      </c>
      <c r="D130" s="256">
        <v>223</v>
      </c>
      <c r="E130" s="257">
        <v>45301</v>
      </c>
      <c r="F130" s="257">
        <v>45302</v>
      </c>
      <c r="G130" s="301">
        <f t="shared" ca="1" si="1"/>
        <v>768</v>
      </c>
      <c r="H130" s="256" t="s">
        <v>3304</v>
      </c>
      <c r="I130" s="256" t="s">
        <v>2637</v>
      </c>
      <c r="J130" s="256" t="s">
        <v>234</v>
      </c>
      <c r="K130" s="256">
        <v>300</v>
      </c>
      <c r="L130" s="256" t="s">
        <v>4051</v>
      </c>
      <c r="M130" s="256" t="s">
        <v>77</v>
      </c>
      <c r="N130" s="256" t="s">
        <v>2631</v>
      </c>
      <c r="O130" s="256" t="s">
        <v>3482</v>
      </c>
    </row>
    <row r="131" spans="1:15" s="296" customFormat="1" ht="19.95" customHeight="1" x14ac:dyDescent="0.3">
      <c r="A131" s="259" t="s">
        <v>2683</v>
      </c>
      <c r="B131" s="259" t="s">
        <v>2684</v>
      </c>
      <c r="C131" s="259" t="s">
        <v>4042</v>
      </c>
      <c r="D131" s="256">
        <v>4</v>
      </c>
      <c r="E131" s="260">
        <v>45369</v>
      </c>
      <c r="F131" s="260">
        <v>45371</v>
      </c>
      <c r="G131" s="301">
        <f t="shared" ref="G131:G194" ca="1" si="2">TODAY()-E131</f>
        <v>700</v>
      </c>
      <c r="H131" s="256" t="s">
        <v>68</v>
      </c>
      <c r="I131" s="257">
        <v>45421</v>
      </c>
      <c r="J131" s="256" t="s">
        <v>234</v>
      </c>
      <c r="K131" s="256">
        <v>250</v>
      </c>
      <c r="L131" s="256" t="s">
        <v>4051</v>
      </c>
      <c r="M131" s="256" t="s">
        <v>3305</v>
      </c>
      <c r="N131" s="256" t="s">
        <v>3305</v>
      </c>
      <c r="O131" s="256" t="s">
        <v>3492</v>
      </c>
    </row>
    <row r="132" spans="1:15" s="296" customFormat="1" ht="19.95" customHeight="1" x14ac:dyDescent="0.3">
      <c r="A132" s="259" t="s">
        <v>2717</v>
      </c>
      <c r="B132" s="259" t="s">
        <v>2718</v>
      </c>
      <c r="C132" s="259" t="s">
        <v>2650</v>
      </c>
      <c r="D132" s="256">
        <v>12</v>
      </c>
      <c r="E132" s="260">
        <v>45343</v>
      </c>
      <c r="F132" s="260">
        <v>45352</v>
      </c>
      <c r="G132" s="301">
        <f t="shared" ca="1" si="2"/>
        <v>726</v>
      </c>
      <c r="H132" s="256" t="s">
        <v>68</v>
      </c>
      <c r="I132" s="257">
        <v>45419</v>
      </c>
      <c r="J132" s="256" t="s">
        <v>234</v>
      </c>
      <c r="K132" s="256">
        <v>250</v>
      </c>
      <c r="L132" s="256" t="s">
        <v>4051</v>
      </c>
      <c r="M132" s="256" t="s">
        <v>66</v>
      </c>
      <c r="N132" s="256" t="s">
        <v>66</v>
      </c>
      <c r="O132" s="256" t="s">
        <v>3558</v>
      </c>
    </row>
    <row r="133" spans="1:15" s="296" customFormat="1" ht="19.95" customHeight="1" x14ac:dyDescent="0.3">
      <c r="A133" s="276" t="s">
        <v>3437</v>
      </c>
      <c r="B133" s="276" t="s">
        <v>3438</v>
      </c>
      <c r="C133" s="276" t="s">
        <v>93</v>
      </c>
      <c r="D133" s="256">
        <v>46</v>
      </c>
      <c r="E133" s="277">
        <v>45408</v>
      </c>
      <c r="F133" s="277">
        <v>45408</v>
      </c>
      <c r="G133" s="301">
        <f t="shared" ca="1" si="2"/>
        <v>661</v>
      </c>
      <c r="H133" s="256" t="s">
        <v>41</v>
      </c>
      <c r="I133" s="256"/>
      <c r="J133" s="256" t="s">
        <v>234</v>
      </c>
      <c r="K133" s="256">
        <v>100</v>
      </c>
      <c r="L133" s="256" t="s">
        <v>4051</v>
      </c>
      <c r="M133" s="256" t="s">
        <v>41</v>
      </c>
      <c r="N133" s="256" t="s">
        <v>41</v>
      </c>
      <c r="O133" s="256" t="s">
        <v>3543</v>
      </c>
    </row>
    <row r="134" spans="1:15" s="296" customFormat="1" ht="19.95" customHeight="1" x14ac:dyDescent="0.3">
      <c r="A134" s="256" t="s">
        <v>2861</v>
      </c>
      <c r="B134" s="256" t="s">
        <v>2862</v>
      </c>
      <c r="C134" s="256" t="s">
        <v>117</v>
      </c>
      <c r="D134" s="256">
        <v>37</v>
      </c>
      <c r="E134" s="257">
        <v>45049</v>
      </c>
      <c r="F134" s="257">
        <v>45050</v>
      </c>
      <c r="G134" s="301">
        <f t="shared" ca="1" si="2"/>
        <v>1020</v>
      </c>
      <c r="H134" s="256" t="s">
        <v>3304</v>
      </c>
      <c r="I134" s="256" t="s">
        <v>2637</v>
      </c>
      <c r="J134" s="256" t="s">
        <v>234</v>
      </c>
      <c r="K134" s="256">
        <v>230</v>
      </c>
      <c r="L134" s="256" t="s">
        <v>4051</v>
      </c>
      <c r="M134" s="256" t="s">
        <v>77</v>
      </c>
      <c r="N134" s="256" t="s">
        <v>3306</v>
      </c>
      <c r="O134" s="256" t="s">
        <v>3544</v>
      </c>
    </row>
    <row r="135" spans="1:15" s="296" customFormat="1" ht="19.95" customHeight="1" x14ac:dyDescent="0.3">
      <c r="A135" s="256" t="s">
        <v>2863</v>
      </c>
      <c r="B135" s="256" t="s">
        <v>2864</v>
      </c>
      <c r="C135" s="256" t="s">
        <v>165</v>
      </c>
      <c r="D135" s="256">
        <v>32</v>
      </c>
      <c r="E135" s="257">
        <v>44953</v>
      </c>
      <c r="F135" s="257">
        <v>44956</v>
      </c>
      <c r="G135" s="301">
        <f t="shared" ca="1" si="2"/>
        <v>1116</v>
      </c>
      <c r="H135" s="256" t="s">
        <v>3304</v>
      </c>
      <c r="I135" s="256" t="s">
        <v>2637</v>
      </c>
      <c r="J135" s="256" t="s">
        <v>234</v>
      </c>
      <c r="K135" s="256">
        <v>200</v>
      </c>
      <c r="L135" s="256" t="s">
        <v>4051</v>
      </c>
      <c r="M135" s="256" t="s">
        <v>77</v>
      </c>
      <c r="N135" s="256" t="s">
        <v>3306</v>
      </c>
      <c r="O135" s="256" t="s">
        <v>3545</v>
      </c>
    </row>
    <row r="136" spans="1:15" s="296" customFormat="1" ht="19.95" customHeight="1" x14ac:dyDescent="0.3">
      <c r="A136" s="256" t="s">
        <v>2865</v>
      </c>
      <c r="B136" s="256" t="s">
        <v>2866</v>
      </c>
      <c r="C136" s="256" t="s">
        <v>163</v>
      </c>
      <c r="D136" s="256"/>
      <c r="E136" s="257">
        <v>44867</v>
      </c>
      <c r="F136" s="257">
        <v>45190</v>
      </c>
      <c r="G136" s="301">
        <f t="shared" ca="1" si="2"/>
        <v>1202</v>
      </c>
      <c r="H136" s="256" t="s">
        <v>3304</v>
      </c>
      <c r="I136" s="256" t="s">
        <v>2637</v>
      </c>
      <c r="J136" s="256" t="s">
        <v>3751</v>
      </c>
      <c r="K136" s="256"/>
      <c r="L136" s="256" t="s">
        <v>4051</v>
      </c>
      <c r="M136" s="256" t="s">
        <v>77</v>
      </c>
      <c r="N136" s="256" t="s">
        <v>67</v>
      </c>
      <c r="O136" s="256" t="s">
        <v>67</v>
      </c>
    </row>
    <row r="137" spans="1:15" s="296" customFormat="1" ht="19.95" customHeight="1" x14ac:dyDescent="0.3">
      <c r="A137" s="256" t="s">
        <v>2867</v>
      </c>
      <c r="B137" s="256" t="s">
        <v>2868</v>
      </c>
      <c r="C137" s="259" t="s">
        <v>103</v>
      </c>
      <c r="D137" s="256"/>
      <c r="E137" s="257">
        <v>45162</v>
      </c>
      <c r="F137" s="257">
        <v>45162</v>
      </c>
      <c r="G137" s="301">
        <f t="shared" ca="1" si="2"/>
        <v>907</v>
      </c>
      <c r="H137" s="256" t="s">
        <v>3304</v>
      </c>
      <c r="I137" s="256" t="s">
        <v>2637</v>
      </c>
      <c r="J137" s="256" t="s">
        <v>234</v>
      </c>
      <c r="K137" s="256"/>
      <c r="L137" s="256" t="s">
        <v>4051</v>
      </c>
      <c r="M137" s="256" t="s">
        <v>77</v>
      </c>
      <c r="N137" s="256" t="s">
        <v>3306</v>
      </c>
      <c r="O137" s="256" t="s">
        <v>3546</v>
      </c>
    </row>
    <row r="138" spans="1:15" s="296" customFormat="1" ht="19.95" customHeight="1" x14ac:dyDescent="0.3">
      <c r="A138" s="256" t="s">
        <v>2869</v>
      </c>
      <c r="B138" s="256" t="s">
        <v>2870</v>
      </c>
      <c r="C138" s="259" t="s">
        <v>98</v>
      </c>
      <c r="D138" s="256">
        <v>126</v>
      </c>
      <c r="E138" s="257">
        <v>45182</v>
      </c>
      <c r="F138" s="257">
        <v>45183</v>
      </c>
      <c r="G138" s="301">
        <f t="shared" ca="1" si="2"/>
        <v>887</v>
      </c>
      <c r="H138" s="256" t="s">
        <v>65</v>
      </c>
      <c r="I138" s="257" t="s">
        <v>2637</v>
      </c>
      <c r="J138" s="256" t="s">
        <v>234</v>
      </c>
      <c r="K138" s="256">
        <v>100</v>
      </c>
      <c r="L138" s="256" t="s">
        <v>4051</v>
      </c>
      <c r="M138" s="256" t="s">
        <v>77</v>
      </c>
      <c r="N138" s="256" t="s">
        <v>70</v>
      </c>
      <c r="O138" s="256" t="s">
        <v>3547</v>
      </c>
    </row>
    <row r="139" spans="1:15" s="296" customFormat="1" ht="19.95" customHeight="1" x14ac:dyDescent="0.3">
      <c r="A139" s="256" t="s">
        <v>2871</v>
      </c>
      <c r="B139" s="256" t="s">
        <v>2872</v>
      </c>
      <c r="C139" s="256" t="s">
        <v>99</v>
      </c>
      <c r="D139" s="256"/>
      <c r="E139" s="257">
        <v>44754</v>
      </c>
      <c r="F139" s="257">
        <v>44952</v>
      </c>
      <c r="G139" s="301">
        <f t="shared" ca="1" si="2"/>
        <v>1315</v>
      </c>
      <c r="H139" s="256" t="s">
        <v>3304</v>
      </c>
      <c r="I139" s="256" t="s">
        <v>2637</v>
      </c>
      <c r="J139" s="256" t="s">
        <v>234</v>
      </c>
      <c r="K139" s="256"/>
      <c r="L139" s="256" t="s">
        <v>4051</v>
      </c>
      <c r="M139" s="256" t="s">
        <v>77</v>
      </c>
      <c r="N139" s="256" t="s">
        <v>2631</v>
      </c>
      <c r="O139" s="256" t="s">
        <v>3482</v>
      </c>
    </row>
    <row r="140" spans="1:15" s="296" customFormat="1" ht="19.95" customHeight="1" x14ac:dyDescent="0.3">
      <c r="A140" s="272" t="s">
        <v>3776</v>
      </c>
      <c r="B140" s="272" t="s">
        <v>3777</v>
      </c>
      <c r="C140" s="256" t="s">
        <v>94</v>
      </c>
      <c r="D140" s="256"/>
      <c r="E140" s="273">
        <v>45409</v>
      </c>
      <c r="F140" s="273">
        <v>45411</v>
      </c>
      <c r="G140" s="301">
        <f t="shared" ca="1" si="2"/>
        <v>660</v>
      </c>
      <c r="H140" s="256" t="s">
        <v>68</v>
      </c>
      <c r="I140" s="256" t="s">
        <v>2637</v>
      </c>
      <c r="J140" s="256" t="s">
        <v>234</v>
      </c>
      <c r="K140" s="256"/>
      <c r="L140" s="256" t="s">
        <v>4051</v>
      </c>
      <c r="M140" s="256" t="s">
        <v>77</v>
      </c>
      <c r="N140" s="256" t="s">
        <v>86</v>
      </c>
      <c r="O140" s="256" t="s">
        <v>4059</v>
      </c>
    </row>
    <row r="141" spans="1:15" s="296" customFormat="1" ht="19.95" customHeight="1" x14ac:dyDescent="0.3">
      <c r="A141" s="272" t="s">
        <v>2685</v>
      </c>
      <c r="B141" s="272" t="s">
        <v>2686</v>
      </c>
      <c r="C141" s="272" t="s">
        <v>4043</v>
      </c>
      <c r="D141" s="256">
        <v>1</v>
      </c>
      <c r="E141" s="273">
        <v>45380</v>
      </c>
      <c r="F141" s="273">
        <v>45381</v>
      </c>
      <c r="G141" s="301">
        <f t="shared" ca="1" si="2"/>
        <v>689</v>
      </c>
      <c r="H141" s="256" t="s">
        <v>68</v>
      </c>
      <c r="I141" s="257">
        <v>45421</v>
      </c>
      <c r="J141" s="256" t="s">
        <v>234</v>
      </c>
      <c r="K141" s="256">
        <v>200</v>
      </c>
      <c r="L141" s="256" t="s">
        <v>4051</v>
      </c>
      <c r="M141" s="256" t="s">
        <v>3305</v>
      </c>
      <c r="N141" s="256" t="s">
        <v>3305</v>
      </c>
      <c r="O141" s="256" t="s">
        <v>3493</v>
      </c>
    </row>
    <row r="142" spans="1:15" s="296" customFormat="1" ht="19.95" customHeight="1" x14ac:dyDescent="0.3">
      <c r="A142" s="259" t="s">
        <v>2875</v>
      </c>
      <c r="B142" s="259" t="s">
        <v>2876</v>
      </c>
      <c r="C142" s="256" t="s">
        <v>164</v>
      </c>
      <c r="D142" s="256">
        <v>130</v>
      </c>
      <c r="E142" s="260">
        <v>45341</v>
      </c>
      <c r="F142" s="260">
        <v>45342</v>
      </c>
      <c r="G142" s="301">
        <f t="shared" ca="1" si="2"/>
        <v>728</v>
      </c>
      <c r="H142" s="256" t="s">
        <v>41</v>
      </c>
      <c r="I142" s="257" t="s">
        <v>2637</v>
      </c>
      <c r="J142" s="256" t="s">
        <v>234</v>
      </c>
      <c r="K142" s="256">
        <v>100</v>
      </c>
      <c r="L142" s="256" t="s">
        <v>4051</v>
      </c>
      <c r="M142" s="256" t="s">
        <v>41</v>
      </c>
      <c r="N142" s="256" t="s">
        <v>41</v>
      </c>
      <c r="O142" s="256" t="s">
        <v>3549</v>
      </c>
    </row>
    <row r="143" spans="1:15" s="296" customFormat="1" ht="19.95" customHeight="1" x14ac:dyDescent="0.3">
      <c r="A143" s="272" t="s">
        <v>2913</v>
      </c>
      <c r="B143" s="272" t="s">
        <v>2914</v>
      </c>
      <c r="C143" s="256" t="s">
        <v>136</v>
      </c>
      <c r="D143" s="256">
        <v>50</v>
      </c>
      <c r="E143" s="273">
        <v>45381</v>
      </c>
      <c r="F143" s="273">
        <v>45384</v>
      </c>
      <c r="G143" s="301">
        <f t="shared" ca="1" si="2"/>
        <v>688</v>
      </c>
      <c r="H143" s="256" t="s">
        <v>65</v>
      </c>
      <c r="I143" s="257">
        <v>45418</v>
      </c>
      <c r="J143" s="256" t="s">
        <v>234</v>
      </c>
      <c r="K143" s="256">
        <v>450</v>
      </c>
      <c r="L143" s="256" t="s">
        <v>4051</v>
      </c>
      <c r="M143" s="256" t="s">
        <v>66</v>
      </c>
      <c r="N143" s="256" t="s">
        <v>66</v>
      </c>
      <c r="O143" s="256" t="s">
        <v>3559</v>
      </c>
    </row>
    <row r="144" spans="1:15" s="296" customFormat="1" ht="19.95" customHeight="1" x14ac:dyDescent="0.3">
      <c r="A144" s="256" t="s">
        <v>2879</v>
      </c>
      <c r="B144" s="256" t="s">
        <v>2880</v>
      </c>
      <c r="C144" s="276" t="s">
        <v>93</v>
      </c>
      <c r="D144" s="256"/>
      <c r="E144" s="257">
        <v>45323</v>
      </c>
      <c r="F144" s="257">
        <v>45324</v>
      </c>
      <c r="G144" s="301">
        <f t="shared" ca="1" si="2"/>
        <v>746</v>
      </c>
      <c r="H144" s="256" t="s">
        <v>41</v>
      </c>
      <c r="I144" s="257" t="s">
        <v>2637</v>
      </c>
      <c r="J144" s="256" t="s">
        <v>234</v>
      </c>
      <c r="K144" s="256">
        <v>800</v>
      </c>
      <c r="L144" s="256" t="s">
        <v>4051</v>
      </c>
      <c r="M144" s="256" t="s">
        <v>41</v>
      </c>
      <c r="N144" s="256" t="s">
        <v>41</v>
      </c>
      <c r="O144" s="256" t="s">
        <v>3551</v>
      </c>
    </row>
    <row r="145" spans="1:15" s="296" customFormat="1" ht="19.95" customHeight="1" x14ac:dyDescent="0.3">
      <c r="A145" s="256" t="s">
        <v>2881</v>
      </c>
      <c r="B145" s="256" t="s">
        <v>2882</v>
      </c>
      <c r="C145" s="259" t="s">
        <v>103</v>
      </c>
      <c r="D145" s="256">
        <v>57</v>
      </c>
      <c r="E145" s="257">
        <v>44783</v>
      </c>
      <c r="F145" s="257">
        <v>44789</v>
      </c>
      <c r="G145" s="301">
        <f t="shared" ca="1" si="2"/>
        <v>1286</v>
      </c>
      <c r="H145" s="256" t="s">
        <v>3304</v>
      </c>
      <c r="I145" s="256" t="s">
        <v>2637</v>
      </c>
      <c r="J145" s="256" t="s">
        <v>234</v>
      </c>
      <c r="K145" s="256">
        <v>175</v>
      </c>
      <c r="L145" s="256" t="s">
        <v>4051</v>
      </c>
      <c r="M145" s="256" t="s">
        <v>77</v>
      </c>
      <c r="N145" s="256" t="s">
        <v>2631</v>
      </c>
      <c r="O145" s="256" t="s">
        <v>3482</v>
      </c>
    </row>
    <row r="146" spans="1:15" s="296" customFormat="1" ht="19.95" customHeight="1" x14ac:dyDescent="0.3">
      <c r="A146" s="272" t="s">
        <v>3439</v>
      </c>
      <c r="B146" s="272" t="s">
        <v>3440</v>
      </c>
      <c r="C146" s="256" t="s">
        <v>163</v>
      </c>
      <c r="D146" s="256">
        <v>334</v>
      </c>
      <c r="E146" s="273">
        <v>45404</v>
      </c>
      <c r="F146" s="273">
        <v>45405</v>
      </c>
      <c r="G146" s="301">
        <f t="shared" ca="1" si="2"/>
        <v>665</v>
      </c>
      <c r="H146" s="256" t="s">
        <v>41</v>
      </c>
      <c r="I146" s="256" t="s">
        <v>2637</v>
      </c>
      <c r="J146" s="256" t="s">
        <v>234</v>
      </c>
      <c r="K146" s="256">
        <v>100</v>
      </c>
      <c r="L146" s="256" t="s">
        <v>4051</v>
      </c>
      <c r="M146" s="256" t="s">
        <v>41</v>
      </c>
      <c r="N146" s="256" t="s">
        <v>41</v>
      </c>
      <c r="O146" s="256" t="s">
        <v>3552</v>
      </c>
    </row>
    <row r="147" spans="1:15" s="296" customFormat="1" ht="19.95" customHeight="1" x14ac:dyDescent="0.3">
      <c r="A147" s="256" t="s">
        <v>2883</v>
      </c>
      <c r="B147" s="256" t="s">
        <v>2884</v>
      </c>
      <c r="C147" s="256" t="s">
        <v>94</v>
      </c>
      <c r="D147" s="256"/>
      <c r="E147" s="257">
        <v>44650</v>
      </c>
      <c r="F147" s="257">
        <v>45190</v>
      </c>
      <c r="G147" s="301">
        <f t="shared" ca="1" si="2"/>
        <v>1419</v>
      </c>
      <c r="H147" s="256" t="s">
        <v>3304</v>
      </c>
      <c r="I147" s="256" t="s">
        <v>2637</v>
      </c>
      <c r="J147" s="256" t="s">
        <v>3752</v>
      </c>
      <c r="K147" s="256">
        <v>290</v>
      </c>
      <c r="L147" s="256" t="s">
        <v>4051</v>
      </c>
      <c r="M147" s="256" t="s">
        <v>77</v>
      </c>
      <c r="N147" s="256" t="s">
        <v>2631</v>
      </c>
      <c r="O147" s="256" t="s">
        <v>3482</v>
      </c>
    </row>
    <row r="148" spans="1:15" s="296" customFormat="1" ht="19.95" customHeight="1" x14ac:dyDescent="0.3">
      <c r="A148" s="256" t="s">
        <v>2885</v>
      </c>
      <c r="B148" s="256" t="s">
        <v>2886</v>
      </c>
      <c r="C148" s="276" t="s">
        <v>93</v>
      </c>
      <c r="D148" s="256"/>
      <c r="E148" s="257">
        <v>45304</v>
      </c>
      <c r="F148" s="257">
        <v>45306</v>
      </c>
      <c r="G148" s="301">
        <f t="shared" ca="1" si="2"/>
        <v>765</v>
      </c>
      <c r="H148" s="256" t="s">
        <v>3304</v>
      </c>
      <c r="I148" s="256" t="s">
        <v>2637</v>
      </c>
      <c r="J148" s="256" t="s">
        <v>234</v>
      </c>
      <c r="K148" s="256"/>
      <c r="L148" s="256" t="s">
        <v>4051</v>
      </c>
      <c r="M148" s="256" t="s">
        <v>77</v>
      </c>
      <c r="N148" s="256" t="s">
        <v>70</v>
      </c>
      <c r="O148" s="256"/>
    </row>
    <row r="149" spans="1:15" s="296" customFormat="1" ht="19.95" customHeight="1" x14ac:dyDescent="0.3">
      <c r="A149" s="256" t="s">
        <v>2887</v>
      </c>
      <c r="B149" s="256" t="s">
        <v>2888</v>
      </c>
      <c r="C149" s="256" t="s">
        <v>96</v>
      </c>
      <c r="D149" s="256"/>
      <c r="E149" s="257">
        <v>45299</v>
      </c>
      <c r="F149" s="257">
        <v>45301</v>
      </c>
      <c r="G149" s="301">
        <f t="shared" ca="1" si="2"/>
        <v>770</v>
      </c>
      <c r="H149" s="256" t="s">
        <v>3304</v>
      </c>
      <c r="I149" s="256" t="s">
        <v>2637</v>
      </c>
      <c r="J149" s="256" t="s">
        <v>234</v>
      </c>
      <c r="K149" s="256"/>
      <c r="L149" s="256" t="s">
        <v>4051</v>
      </c>
      <c r="M149" s="256" t="s">
        <v>77</v>
      </c>
      <c r="N149" s="256" t="s">
        <v>70</v>
      </c>
      <c r="O149" s="256" t="s">
        <v>3553</v>
      </c>
    </row>
    <row r="150" spans="1:15" s="296" customFormat="1" ht="19.95" customHeight="1" x14ac:dyDescent="0.3">
      <c r="A150" s="306" t="s">
        <v>2817</v>
      </c>
      <c r="B150" s="306" t="s">
        <v>2818</v>
      </c>
      <c r="C150" s="256" t="s">
        <v>117</v>
      </c>
      <c r="D150" s="256">
        <v>55</v>
      </c>
      <c r="E150" s="312">
        <v>45380</v>
      </c>
      <c r="F150" s="312">
        <v>45381</v>
      </c>
      <c r="G150" s="301">
        <f t="shared" ca="1" si="2"/>
        <v>689</v>
      </c>
      <c r="H150" s="256" t="s">
        <v>68</v>
      </c>
      <c r="I150" s="257">
        <v>45421</v>
      </c>
      <c r="J150" s="256" t="s">
        <v>234</v>
      </c>
      <c r="K150" s="256">
        <v>250</v>
      </c>
      <c r="L150" s="256" t="s">
        <v>4051</v>
      </c>
      <c r="M150" s="256" t="s">
        <v>3305</v>
      </c>
      <c r="N150" s="256" t="s">
        <v>3305</v>
      </c>
      <c r="O150" s="256" t="s">
        <v>3533</v>
      </c>
    </row>
    <row r="151" spans="1:15" s="296" customFormat="1" ht="19.95" customHeight="1" x14ac:dyDescent="0.3">
      <c r="A151" s="272" t="s">
        <v>3778</v>
      </c>
      <c r="B151" s="272" t="s">
        <v>3779</v>
      </c>
      <c r="C151" s="256" t="s">
        <v>117</v>
      </c>
      <c r="D151" s="256"/>
      <c r="E151" s="273">
        <v>45409</v>
      </c>
      <c r="F151" s="273">
        <v>45411</v>
      </c>
      <c r="G151" s="301">
        <f t="shared" ca="1" si="2"/>
        <v>660</v>
      </c>
      <c r="H151" s="256" t="s">
        <v>68</v>
      </c>
      <c r="I151" s="256" t="s">
        <v>2637</v>
      </c>
      <c r="J151" s="256" t="s">
        <v>234</v>
      </c>
      <c r="K151" s="256"/>
      <c r="L151" s="256" t="s">
        <v>4051</v>
      </c>
      <c r="M151" s="256" t="s">
        <v>77</v>
      </c>
      <c r="N151" s="256" t="s">
        <v>86</v>
      </c>
      <c r="O151" s="256" t="s">
        <v>4060</v>
      </c>
    </row>
    <row r="152" spans="1:15" s="296" customFormat="1" ht="19.95" customHeight="1" x14ac:dyDescent="0.3">
      <c r="A152" s="272" t="s">
        <v>2859</v>
      </c>
      <c r="B152" s="272" t="s">
        <v>2860</v>
      </c>
      <c r="C152" s="272" t="s">
        <v>2528</v>
      </c>
      <c r="D152" s="256">
        <v>2</v>
      </c>
      <c r="E152" s="273">
        <v>45375</v>
      </c>
      <c r="F152" s="273">
        <v>45376</v>
      </c>
      <c r="G152" s="301">
        <f t="shared" ca="1" si="2"/>
        <v>694</v>
      </c>
      <c r="H152" s="256" t="s">
        <v>68</v>
      </c>
      <c r="I152" s="257">
        <v>45421</v>
      </c>
      <c r="J152" s="256" t="s">
        <v>234</v>
      </c>
      <c r="K152" s="256">
        <v>100</v>
      </c>
      <c r="L152" s="256" t="s">
        <v>4051</v>
      </c>
      <c r="M152" s="256" t="s">
        <v>3305</v>
      </c>
      <c r="N152" s="256" t="s">
        <v>3305</v>
      </c>
      <c r="O152" s="256" t="s">
        <v>3542</v>
      </c>
    </row>
    <row r="153" spans="1:15" s="296" customFormat="1" ht="19.95" customHeight="1" x14ac:dyDescent="0.3">
      <c r="A153" s="256" t="s">
        <v>2893</v>
      </c>
      <c r="B153" s="256" t="s">
        <v>2894</v>
      </c>
      <c r="C153" s="256" t="s">
        <v>99</v>
      </c>
      <c r="D153" s="256"/>
      <c r="E153" s="257">
        <v>45233</v>
      </c>
      <c r="F153" s="257">
        <v>45265</v>
      </c>
      <c r="G153" s="301">
        <f t="shared" ca="1" si="2"/>
        <v>836</v>
      </c>
      <c r="H153" s="256" t="s">
        <v>3304</v>
      </c>
      <c r="I153" s="256" t="s">
        <v>2637</v>
      </c>
      <c r="J153" s="256" t="s">
        <v>234</v>
      </c>
      <c r="K153" s="256"/>
      <c r="L153" s="256" t="s">
        <v>4051</v>
      </c>
      <c r="M153" s="256" t="s">
        <v>77</v>
      </c>
      <c r="N153" s="256" t="s">
        <v>70</v>
      </c>
      <c r="O153" s="256" t="s">
        <v>67</v>
      </c>
    </row>
    <row r="154" spans="1:15" s="296" customFormat="1" ht="19.95" customHeight="1" x14ac:dyDescent="0.3">
      <c r="A154" s="272" t="s">
        <v>3429</v>
      </c>
      <c r="B154" s="272" t="s">
        <v>3430</v>
      </c>
      <c r="C154" s="256" t="s">
        <v>136</v>
      </c>
      <c r="D154" s="256">
        <v>76</v>
      </c>
      <c r="E154" s="273">
        <v>45404</v>
      </c>
      <c r="F154" s="273">
        <v>45405</v>
      </c>
      <c r="G154" s="301">
        <f t="shared" ca="1" si="2"/>
        <v>665</v>
      </c>
      <c r="H154" s="256" t="s">
        <v>65</v>
      </c>
      <c r="I154" s="257">
        <v>45418</v>
      </c>
      <c r="J154" s="256" t="s">
        <v>234</v>
      </c>
      <c r="K154" s="256">
        <v>500</v>
      </c>
      <c r="L154" s="256" t="s">
        <v>4051</v>
      </c>
      <c r="M154" s="256" t="s">
        <v>66</v>
      </c>
      <c r="N154" s="256" t="s">
        <v>66</v>
      </c>
      <c r="O154" s="256" t="s">
        <v>3504</v>
      </c>
    </row>
    <row r="155" spans="1:15" s="296" customFormat="1" ht="19.95" customHeight="1" x14ac:dyDescent="0.3">
      <c r="A155" s="256" t="s">
        <v>2897</v>
      </c>
      <c r="B155" s="256" t="s">
        <v>2898</v>
      </c>
      <c r="C155" s="256" t="s">
        <v>99</v>
      </c>
      <c r="D155" s="256">
        <v>59</v>
      </c>
      <c r="E155" s="257">
        <v>45159</v>
      </c>
      <c r="F155" s="257">
        <v>45160</v>
      </c>
      <c r="G155" s="301">
        <f t="shared" ca="1" si="2"/>
        <v>910</v>
      </c>
      <c r="H155" s="256" t="s">
        <v>3304</v>
      </c>
      <c r="I155" s="257" t="s">
        <v>2637</v>
      </c>
      <c r="J155" s="256" t="s">
        <v>234</v>
      </c>
      <c r="K155" s="256">
        <v>350</v>
      </c>
      <c r="L155" s="256" t="s">
        <v>4051</v>
      </c>
      <c r="M155" s="256" t="s">
        <v>77</v>
      </c>
      <c r="N155" s="256" t="s">
        <v>2631</v>
      </c>
      <c r="O155" s="256" t="s">
        <v>3482</v>
      </c>
    </row>
    <row r="156" spans="1:15" s="296" customFormat="1" ht="19.95" customHeight="1" x14ac:dyDescent="0.3">
      <c r="A156" s="256" t="s">
        <v>2899</v>
      </c>
      <c r="B156" s="256" t="s">
        <v>2900</v>
      </c>
      <c r="C156" s="256" t="s">
        <v>136</v>
      </c>
      <c r="D156" s="256">
        <v>23</v>
      </c>
      <c r="E156" s="257">
        <v>44515</v>
      </c>
      <c r="F156" s="257">
        <v>44519</v>
      </c>
      <c r="G156" s="301">
        <f t="shared" ca="1" si="2"/>
        <v>1554</v>
      </c>
      <c r="H156" s="256" t="s">
        <v>3304</v>
      </c>
      <c r="I156" s="256" t="s">
        <v>2637</v>
      </c>
      <c r="J156" s="256" t="s">
        <v>234</v>
      </c>
      <c r="K156" s="256"/>
      <c r="L156" s="256" t="s">
        <v>4051</v>
      </c>
      <c r="M156" s="256" t="s">
        <v>77</v>
      </c>
      <c r="N156" s="256" t="s">
        <v>3307</v>
      </c>
      <c r="O156" s="256" t="s">
        <v>3557</v>
      </c>
    </row>
    <row r="157" spans="1:15" s="296" customFormat="1" ht="19.95" customHeight="1" x14ac:dyDescent="0.3">
      <c r="A157" s="259" t="s">
        <v>3057</v>
      </c>
      <c r="B157" s="259" t="s">
        <v>151</v>
      </c>
      <c r="C157" s="259" t="s">
        <v>4044</v>
      </c>
      <c r="D157" s="256">
        <v>1</v>
      </c>
      <c r="E157" s="260">
        <v>45347</v>
      </c>
      <c r="F157" s="260">
        <v>45365</v>
      </c>
      <c r="G157" s="301">
        <f t="shared" ca="1" si="2"/>
        <v>722</v>
      </c>
      <c r="H157" s="256" t="s">
        <v>68</v>
      </c>
      <c r="I157" s="257">
        <v>45421</v>
      </c>
      <c r="J157" s="256" t="s">
        <v>234</v>
      </c>
      <c r="K157" s="256">
        <v>80</v>
      </c>
      <c r="L157" s="256" t="s">
        <v>4051</v>
      </c>
      <c r="M157" s="256" t="s">
        <v>3305</v>
      </c>
      <c r="N157" s="256" t="s">
        <v>3305</v>
      </c>
      <c r="O157" s="256" t="s">
        <v>3644</v>
      </c>
    </row>
    <row r="158" spans="1:15" s="296" customFormat="1" ht="19.95" customHeight="1" x14ac:dyDescent="0.3">
      <c r="A158" s="272" t="s">
        <v>3780</v>
      </c>
      <c r="B158" s="272" t="s">
        <v>3781</v>
      </c>
      <c r="C158" s="256" t="s">
        <v>162</v>
      </c>
      <c r="D158" s="256"/>
      <c r="E158" s="273">
        <v>45409</v>
      </c>
      <c r="F158" s="273">
        <v>45411</v>
      </c>
      <c r="G158" s="301">
        <f t="shared" ca="1" si="2"/>
        <v>660</v>
      </c>
      <c r="H158" s="256" t="s">
        <v>68</v>
      </c>
      <c r="I158" s="257" t="s">
        <v>2637</v>
      </c>
      <c r="J158" s="256" t="s">
        <v>234</v>
      </c>
      <c r="K158" s="256"/>
      <c r="L158" s="256" t="s">
        <v>4051</v>
      </c>
      <c r="M158" s="256" t="s">
        <v>77</v>
      </c>
      <c r="N158" s="256" t="s">
        <v>86</v>
      </c>
      <c r="O158" s="256" t="s">
        <v>4061</v>
      </c>
    </row>
    <row r="159" spans="1:15" s="296" customFormat="1" ht="19.95" customHeight="1" x14ac:dyDescent="0.3">
      <c r="A159" s="256" t="s">
        <v>2903</v>
      </c>
      <c r="B159" s="256" t="s">
        <v>2904</v>
      </c>
      <c r="C159" s="256" t="s">
        <v>99</v>
      </c>
      <c r="D159" s="256">
        <v>75</v>
      </c>
      <c r="E159" s="257">
        <v>44914</v>
      </c>
      <c r="F159" s="257">
        <v>44915</v>
      </c>
      <c r="G159" s="301">
        <f t="shared" ca="1" si="2"/>
        <v>1155</v>
      </c>
      <c r="H159" s="256" t="s">
        <v>3304</v>
      </c>
      <c r="I159" s="256" t="s">
        <v>2637</v>
      </c>
      <c r="J159" s="256" t="s">
        <v>234</v>
      </c>
      <c r="K159" s="256">
        <v>150</v>
      </c>
      <c r="L159" s="256" t="s">
        <v>4051</v>
      </c>
      <c r="M159" s="256" t="s">
        <v>77</v>
      </c>
      <c r="N159" s="256" t="s">
        <v>2631</v>
      </c>
      <c r="O159" s="256" t="s">
        <v>3482</v>
      </c>
    </row>
    <row r="160" spans="1:15" s="296" customFormat="1" ht="19.95" customHeight="1" x14ac:dyDescent="0.3">
      <c r="A160" s="276" t="s">
        <v>3854</v>
      </c>
      <c r="B160" s="276" t="s">
        <v>3855</v>
      </c>
      <c r="C160" s="276" t="s">
        <v>237</v>
      </c>
      <c r="D160" s="256"/>
      <c r="E160" s="277">
        <v>45412</v>
      </c>
      <c r="F160" s="277">
        <v>45414</v>
      </c>
      <c r="G160" s="301">
        <f t="shared" ca="1" si="2"/>
        <v>657</v>
      </c>
      <c r="H160" s="256" t="s">
        <v>68</v>
      </c>
      <c r="I160" s="256"/>
      <c r="J160" s="256" t="s">
        <v>234</v>
      </c>
      <c r="K160" s="256"/>
      <c r="L160" s="256"/>
      <c r="M160" s="256" t="s">
        <v>77</v>
      </c>
      <c r="N160" s="256" t="s">
        <v>86</v>
      </c>
      <c r="O160" s="256" t="s">
        <v>4062</v>
      </c>
    </row>
    <row r="161" spans="1:15" s="296" customFormat="1" ht="19.95" customHeight="1" x14ac:dyDescent="0.3">
      <c r="A161" s="256" t="s">
        <v>2905</v>
      </c>
      <c r="B161" s="256" t="s">
        <v>2906</v>
      </c>
      <c r="C161" s="256" t="s">
        <v>165</v>
      </c>
      <c r="D161" s="256">
        <v>34</v>
      </c>
      <c r="E161" s="257">
        <v>45055</v>
      </c>
      <c r="F161" s="257">
        <v>45057</v>
      </c>
      <c r="G161" s="301">
        <f t="shared" ca="1" si="2"/>
        <v>1014</v>
      </c>
      <c r="H161" s="256" t="s">
        <v>3304</v>
      </c>
      <c r="I161" s="256" t="s">
        <v>2637</v>
      </c>
      <c r="J161" s="256" t="s">
        <v>234</v>
      </c>
      <c r="K161" s="256">
        <v>250</v>
      </c>
      <c r="L161" s="256" t="s">
        <v>4051</v>
      </c>
      <c r="M161" s="256" t="s">
        <v>77</v>
      </c>
      <c r="N161" s="256" t="s">
        <v>2631</v>
      </c>
      <c r="O161" s="256" t="s">
        <v>3482</v>
      </c>
    </row>
    <row r="162" spans="1:15" s="296" customFormat="1" ht="19.95" customHeight="1" x14ac:dyDescent="0.3">
      <c r="A162" s="256" t="s">
        <v>2907</v>
      </c>
      <c r="B162" s="256" t="s">
        <v>2908</v>
      </c>
      <c r="C162" s="256" t="s">
        <v>165</v>
      </c>
      <c r="D162" s="256">
        <v>12</v>
      </c>
      <c r="E162" s="257">
        <v>44573</v>
      </c>
      <c r="F162" s="257">
        <v>44579</v>
      </c>
      <c r="G162" s="301">
        <f t="shared" ca="1" si="2"/>
        <v>1496</v>
      </c>
      <c r="H162" s="256" t="s">
        <v>3304</v>
      </c>
      <c r="I162" s="256" t="s">
        <v>2637</v>
      </c>
      <c r="J162" s="256" t="s">
        <v>234</v>
      </c>
      <c r="K162" s="256">
        <v>300</v>
      </c>
      <c r="L162" s="256" t="s">
        <v>4051</v>
      </c>
      <c r="M162" s="256" t="s">
        <v>77</v>
      </c>
      <c r="N162" s="256" t="s">
        <v>2631</v>
      </c>
      <c r="O162" s="256" t="s">
        <v>3482</v>
      </c>
    </row>
    <row r="163" spans="1:15" s="296" customFormat="1" ht="19.95" customHeight="1" x14ac:dyDescent="0.3">
      <c r="A163" s="256" t="s">
        <v>2909</v>
      </c>
      <c r="B163" s="256" t="s">
        <v>2910</v>
      </c>
      <c r="C163" s="256" t="s">
        <v>162</v>
      </c>
      <c r="D163" s="256">
        <v>32</v>
      </c>
      <c r="E163" s="257">
        <v>44739</v>
      </c>
      <c r="F163" s="257">
        <v>45083</v>
      </c>
      <c r="G163" s="301">
        <f t="shared" ca="1" si="2"/>
        <v>1330</v>
      </c>
      <c r="H163" s="256" t="s">
        <v>3304</v>
      </c>
      <c r="I163" s="256" t="s">
        <v>2637</v>
      </c>
      <c r="J163" s="256" t="s">
        <v>234</v>
      </c>
      <c r="K163" s="256">
        <v>270</v>
      </c>
      <c r="L163" s="256" t="s">
        <v>4051</v>
      </c>
      <c r="M163" s="256" t="s">
        <v>77</v>
      </c>
      <c r="N163" s="256" t="s">
        <v>2631</v>
      </c>
      <c r="O163" s="256" t="s">
        <v>3482</v>
      </c>
    </row>
    <row r="164" spans="1:15" s="296" customFormat="1" ht="19.95" customHeight="1" x14ac:dyDescent="0.3">
      <c r="A164" s="256" t="s">
        <v>2911</v>
      </c>
      <c r="B164" s="256" t="s">
        <v>2912</v>
      </c>
      <c r="C164" s="256" t="s">
        <v>136</v>
      </c>
      <c r="D164" s="256"/>
      <c r="E164" s="257">
        <v>45209</v>
      </c>
      <c r="F164" s="257">
        <v>45210</v>
      </c>
      <c r="G164" s="301">
        <f t="shared" ca="1" si="2"/>
        <v>860</v>
      </c>
      <c r="H164" s="256" t="s">
        <v>3304</v>
      </c>
      <c r="I164" s="256" t="s">
        <v>2637</v>
      </c>
      <c r="J164" s="256" t="s">
        <v>234</v>
      </c>
      <c r="K164" s="256"/>
      <c r="L164" s="256" t="s">
        <v>4051</v>
      </c>
      <c r="M164" s="256" t="s">
        <v>77</v>
      </c>
      <c r="N164" s="256" t="s">
        <v>70</v>
      </c>
      <c r="O164" s="256" t="s">
        <v>70</v>
      </c>
    </row>
    <row r="165" spans="1:15" s="296" customFormat="1" ht="19.95" customHeight="1" x14ac:dyDescent="0.3">
      <c r="A165" s="272" t="s">
        <v>3318</v>
      </c>
      <c r="B165" s="272" t="s">
        <v>3319</v>
      </c>
      <c r="C165" s="272" t="s">
        <v>91</v>
      </c>
      <c r="D165" s="256">
        <v>4</v>
      </c>
      <c r="E165" s="273">
        <v>45403</v>
      </c>
      <c r="F165" s="273">
        <v>45404</v>
      </c>
      <c r="G165" s="301">
        <f t="shared" ca="1" si="2"/>
        <v>666</v>
      </c>
      <c r="H165" s="256" t="s">
        <v>65</v>
      </c>
      <c r="I165" s="257">
        <v>45418</v>
      </c>
      <c r="J165" s="256" t="s">
        <v>234</v>
      </c>
      <c r="K165" s="256">
        <v>150</v>
      </c>
      <c r="L165" s="256" t="s">
        <v>4051</v>
      </c>
      <c r="M165" s="256" t="s">
        <v>66</v>
      </c>
      <c r="N165" s="256" t="s">
        <v>66</v>
      </c>
      <c r="O165" s="256" t="s">
        <v>3564</v>
      </c>
    </row>
    <row r="166" spans="1:15" s="296" customFormat="1" ht="19.95" customHeight="1" x14ac:dyDescent="0.3">
      <c r="A166" s="272" t="s">
        <v>3856</v>
      </c>
      <c r="B166" s="272" t="s">
        <v>3857</v>
      </c>
      <c r="C166" s="272" t="s">
        <v>91</v>
      </c>
      <c r="D166" s="306">
        <v>127</v>
      </c>
      <c r="E166" s="273">
        <v>45412</v>
      </c>
      <c r="F166" s="273">
        <v>45415</v>
      </c>
      <c r="G166" s="301">
        <f t="shared" ca="1" si="2"/>
        <v>657</v>
      </c>
      <c r="H166" s="306" t="s">
        <v>65</v>
      </c>
      <c r="I166" s="257">
        <v>45418</v>
      </c>
      <c r="J166" s="272" t="s">
        <v>234</v>
      </c>
      <c r="K166" s="306">
        <v>150</v>
      </c>
      <c r="L166" s="272" t="s">
        <v>4051</v>
      </c>
      <c r="M166" s="306" t="s">
        <v>66</v>
      </c>
      <c r="N166" s="256" t="s">
        <v>66</v>
      </c>
      <c r="O166" s="306" t="s">
        <v>4063</v>
      </c>
    </row>
    <row r="167" spans="1:15" s="296" customFormat="1" ht="19.95" customHeight="1" x14ac:dyDescent="0.3">
      <c r="A167" s="256" t="s">
        <v>2915</v>
      </c>
      <c r="B167" s="256" t="s">
        <v>2916</v>
      </c>
      <c r="C167" s="272" t="s">
        <v>101</v>
      </c>
      <c r="D167" s="256">
        <v>20</v>
      </c>
      <c r="E167" s="257">
        <v>45161</v>
      </c>
      <c r="F167" s="257">
        <v>45162</v>
      </c>
      <c r="G167" s="301">
        <f t="shared" ca="1" si="2"/>
        <v>908</v>
      </c>
      <c r="H167" s="256" t="s">
        <v>3304</v>
      </c>
      <c r="I167" s="257" t="s">
        <v>2637</v>
      </c>
      <c r="J167" s="256" t="s">
        <v>234</v>
      </c>
      <c r="K167" s="256">
        <v>300</v>
      </c>
      <c r="L167" s="256" t="s">
        <v>4051</v>
      </c>
      <c r="M167" s="256" t="s">
        <v>77</v>
      </c>
      <c r="N167" s="256" t="s">
        <v>2631</v>
      </c>
      <c r="O167" s="256" t="s">
        <v>3560</v>
      </c>
    </row>
    <row r="168" spans="1:15" s="296" customFormat="1" ht="19.95" customHeight="1" x14ac:dyDescent="0.3">
      <c r="A168" s="256" t="s">
        <v>2917</v>
      </c>
      <c r="B168" s="256" t="s">
        <v>2918</v>
      </c>
      <c r="C168" s="256" t="s">
        <v>94</v>
      </c>
      <c r="D168" s="256"/>
      <c r="E168" s="257">
        <v>45045</v>
      </c>
      <c r="F168" s="257">
        <v>45190</v>
      </c>
      <c r="G168" s="301">
        <f t="shared" ca="1" si="2"/>
        <v>1024</v>
      </c>
      <c r="H168" s="256" t="s">
        <v>3304</v>
      </c>
      <c r="I168" s="256" t="s">
        <v>2637</v>
      </c>
      <c r="J168" s="256" t="s">
        <v>3751</v>
      </c>
      <c r="K168" s="256">
        <v>200</v>
      </c>
      <c r="L168" s="256" t="s">
        <v>4051</v>
      </c>
      <c r="M168" s="256" t="s">
        <v>77</v>
      </c>
      <c r="N168" s="256" t="s">
        <v>3306</v>
      </c>
      <c r="O168" s="256" t="s">
        <v>3561</v>
      </c>
    </row>
    <row r="169" spans="1:15" s="296" customFormat="1" ht="19.95" customHeight="1" x14ac:dyDescent="0.3">
      <c r="A169" s="256" t="s">
        <v>2919</v>
      </c>
      <c r="B169" s="256" t="s">
        <v>2920</v>
      </c>
      <c r="C169" s="256" t="s">
        <v>117</v>
      </c>
      <c r="D169" s="256">
        <v>12</v>
      </c>
      <c r="E169" s="257">
        <v>44779</v>
      </c>
      <c r="F169" s="257">
        <v>44783</v>
      </c>
      <c r="G169" s="301">
        <f t="shared" ca="1" si="2"/>
        <v>1290</v>
      </c>
      <c r="H169" s="256" t="s">
        <v>3304</v>
      </c>
      <c r="I169" s="256" t="s">
        <v>2637</v>
      </c>
      <c r="J169" s="256" t="s">
        <v>234</v>
      </c>
      <c r="K169" s="256">
        <v>150</v>
      </c>
      <c r="L169" s="256" t="s">
        <v>4051</v>
      </c>
      <c r="M169" s="256" t="s">
        <v>77</v>
      </c>
      <c r="N169" s="256" t="s">
        <v>2631</v>
      </c>
      <c r="O169" s="256" t="s">
        <v>3482</v>
      </c>
    </row>
    <row r="170" spans="1:15" s="296" customFormat="1" ht="19.95" customHeight="1" x14ac:dyDescent="0.3">
      <c r="A170" s="272" t="s">
        <v>3858</v>
      </c>
      <c r="B170" s="272" t="s">
        <v>3859</v>
      </c>
      <c r="C170" s="272" t="s">
        <v>91</v>
      </c>
      <c r="D170" s="256">
        <v>128</v>
      </c>
      <c r="E170" s="273">
        <v>45414</v>
      </c>
      <c r="F170" s="273">
        <v>45415</v>
      </c>
      <c r="G170" s="301">
        <f t="shared" ca="1" si="2"/>
        <v>655</v>
      </c>
      <c r="H170" s="256" t="s">
        <v>65</v>
      </c>
      <c r="I170" s="257">
        <v>45418</v>
      </c>
      <c r="J170" s="256" t="s">
        <v>234</v>
      </c>
      <c r="K170" s="256">
        <v>100</v>
      </c>
      <c r="L170" s="256" t="s">
        <v>4051</v>
      </c>
      <c r="M170" s="256" t="s">
        <v>66</v>
      </c>
      <c r="N170" s="256" t="s">
        <v>66</v>
      </c>
      <c r="O170" s="256" t="s">
        <v>4064</v>
      </c>
    </row>
    <row r="171" spans="1:15" s="296" customFormat="1" ht="19.95" customHeight="1" x14ac:dyDescent="0.3">
      <c r="A171" s="256" t="s">
        <v>2923</v>
      </c>
      <c r="B171" s="256" t="s">
        <v>2924</v>
      </c>
      <c r="C171" s="256" t="s">
        <v>117</v>
      </c>
      <c r="D171" s="256"/>
      <c r="E171" s="257">
        <v>44823</v>
      </c>
      <c r="F171" s="257">
        <v>44825</v>
      </c>
      <c r="G171" s="301">
        <f t="shared" ca="1" si="2"/>
        <v>1246</v>
      </c>
      <c r="H171" s="256" t="s">
        <v>3304</v>
      </c>
      <c r="I171" s="256" t="s">
        <v>2637</v>
      </c>
      <c r="J171" s="256" t="s">
        <v>234</v>
      </c>
      <c r="K171" s="256"/>
      <c r="L171" s="256" t="s">
        <v>4051</v>
      </c>
      <c r="M171" s="256" t="s">
        <v>77</v>
      </c>
      <c r="N171" s="256" t="s">
        <v>2631</v>
      </c>
      <c r="O171" s="256" t="s">
        <v>3482</v>
      </c>
    </row>
    <row r="172" spans="1:15" s="296" customFormat="1" ht="19.95" customHeight="1" x14ac:dyDescent="0.3">
      <c r="A172" s="259" t="s">
        <v>2819</v>
      </c>
      <c r="B172" s="259" t="s">
        <v>2820</v>
      </c>
      <c r="C172" s="256" t="s">
        <v>94</v>
      </c>
      <c r="D172" s="256">
        <v>89</v>
      </c>
      <c r="E172" s="260">
        <v>45346</v>
      </c>
      <c r="F172" s="260">
        <v>45352</v>
      </c>
      <c r="G172" s="301">
        <f t="shared" ca="1" si="2"/>
        <v>723</v>
      </c>
      <c r="H172" s="256" t="s">
        <v>68</v>
      </c>
      <c r="I172" s="257">
        <v>45421</v>
      </c>
      <c r="J172" s="256" t="s">
        <v>234</v>
      </c>
      <c r="K172" s="256">
        <v>150</v>
      </c>
      <c r="L172" s="256" t="s">
        <v>4051</v>
      </c>
      <c r="M172" s="256" t="s">
        <v>3305</v>
      </c>
      <c r="N172" s="256" t="s">
        <v>3305</v>
      </c>
      <c r="O172" s="256" t="s">
        <v>3516</v>
      </c>
    </row>
    <row r="173" spans="1:15" s="296" customFormat="1" ht="19.95" customHeight="1" x14ac:dyDescent="0.3">
      <c r="A173" s="256" t="s">
        <v>2927</v>
      </c>
      <c r="B173" s="256" t="s">
        <v>2928</v>
      </c>
      <c r="C173" s="256" t="s">
        <v>94</v>
      </c>
      <c r="D173" s="256">
        <v>1</v>
      </c>
      <c r="E173" s="257">
        <v>44773</v>
      </c>
      <c r="F173" s="257">
        <v>45190</v>
      </c>
      <c r="G173" s="301">
        <f t="shared" ca="1" si="2"/>
        <v>1296</v>
      </c>
      <c r="H173" s="256" t="s">
        <v>3304</v>
      </c>
      <c r="I173" s="256" t="s">
        <v>2637</v>
      </c>
      <c r="J173" s="256" t="s">
        <v>3751</v>
      </c>
      <c r="K173" s="256">
        <v>500</v>
      </c>
      <c r="L173" s="256" t="s">
        <v>4051</v>
      </c>
      <c r="M173" s="256" t="s">
        <v>77</v>
      </c>
      <c r="N173" s="256" t="s">
        <v>3306</v>
      </c>
      <c r="O173" s="256" t="s">
        <v>3563</v>
      </c>
    </row>
    <row r="174" spans="1:15" s="296" customFormat="1" ht="19.95" customHeight="1" x14ac:dyDescent="0.3">
      <c r="A174" s="256" t="s">
        <v>2929</v>
      </c>
      <c r="B174" s="256" t="s">
        <v>2930</v>
      </c>
      <c r="C174" s="256" t="s">
        <v>117</v>
      </c>
      <c r="D174" s="256"/>
      <c r="E174" s="257">
        <v>45183</v>
      </c>
      <c r="F174" s="257">
        <v>45183</v>
      </c>
      <c r="G174" s="301">
        <f t="shared" ca="1" si="2"/>
        <v>886</v>
      </c>
      <c r="H174" s="256" t="s">
        <v>3304</v>
      </c>
      <c r="I174" s="256" t="s">
        <v>2637</v>
      </c>
      <c r="J174" s="256" t="s">
        <v>234</v>
      </c>
      <c r="K174" s="256"/>
      <c r="L174" s="256" t="s">
        <v>4051</v>
      </c>
      <c r="M174" s="256" t="s">
        <v>77</v>
      </c>
      <c r="N174" s="256" t="s">
        <v>70</v>
      </c>
      <c r="O174" s="256" t="s">
        <v>3505</v>
      </c>
    </row>
    <row r="175" spans="1:15" s="296" customFormat="1" ht="19.95" customHeight="1" x14ac:dyDescent="0.3">
      <c r="A175" s="272" t="s">
        <v>3860</v>
      </c>
      <c r="B175" s="272" t="s">
        <v>3861</v>
      </c>
      <c r="C175" s="272" t="s">
        <v>91</v>
      </c>
      <c r="D175" s="306">
        <v>104</v>
      </c>
      <c r="E175" s="273">
        <v>45413</v>
      </c>
      <c r="F175" s="273">
        <v>45415</v>
      </c>
      <c r="G175" s="301">
        <f t="shared" ca="1" si="2"/>
        <v>656</v>
      </c>
      <c r="H175" s="306" t="s">
        <v>65</v>
      </c>
      <c r="I175" s="257">
        <v>45418</v>
      </c>
      <c r="J175" s="272" t="s">
        <v>234</v>
      </c>
      <c r="K175" s="306">
        <v>120</v>
      </c>
      <c r="L175" s="272" t="s">
        <v>4051</v>
      </c>
      <c r="M175" s="306" t="s">
        <v>66</v>
      </c>
      <c r="N175" s="256" t="s">
        <v>66</v>
      </c>
      <c r="O175" s="306" t="s">
        <v>4065</v>
      </c>
    </row>
    <row r="176" spans="1:15" s="296" customFormat="1" ht="19.95" customHeight="1" x14ac:dyDescent="0.3">
      <c r="A176" s="256" t="s">
        <v>2931</v>
      </c>
      <c r="B176" s="256" t="s">
        <v>2932</v>
      </c>
      <c r="C176" s="256" t="s">
        <v>94</v>
      </c>
      <c r="D176" s="256"/>
      <c r="E176" s="257">
        <v>45045</v>
      </c>
      <c r="F176" s="257">
        <v>45190</v>
      </c>
      <c r="G176" s="301">
        <f t="shared" ca="1" si="2"/>
        <v>1024</v>
      </c>
      <c r="H176" s="256" t="s">
        <v>3304</v>
      </c>
      <c r="I176" s="256" t="s">
        <v>2637</v>
      </c>
      <c r="J176" s="256" t="s">
        <v>3751</v>
      </c>
      <c r="K176" s="256">
        <v>0</v>
      </c>
      <c r="L176" s="256" t="s">
        <v>4051</v>
      </c>
      <c r="M176" s="256" t="s">
        <v>77</v>
      </c>
      <c r="N176" s="256" t="s">
        <v>3306</v>
      </c>
      <c r="O176" s="256"/>
    </row>
    <row r="177" spans="1:15" s="296" customFormat="1" ht="19.95" customHeight="1" x14ac:dyDescent="0.3">
      <c r="A177" s="256" t="s">
        <v>2933</v>
      </c>
      <c r="B177" s="256" t="s">
        <v>2934</v>
      </c>
      <c r="C177" s="259" t="s">
        <v>103</v>
      </c>
      <c r="D177" s="256">
        <v>32</v>
      </c>
      <c r="E177" s="257">
        <v>44546</v>
      </c>
      <c r="F177" s="257">
        <v>44546</v>
      </c>
      <c r="G177" s="301">
        <f t="shared" ca="1" si="2"/>
        <v>1523</v>
      </c>
      <c r="H177" s="256" t="s">
        <v>3304</v>
      </c>
      <c r="I177" s="256" t="s">
        <v>2637</v>
      </c>
      <c r="J177" s="256" t="s">
        <v>234</v>
      </c>
      <c r="K177" s="256">
        <v>300</v>
      </c>
      <c r="L177" s="256" t="s">
        <v>4051</v>
      </c>
      <c r="M177" s="256" t="s">
        <v>77</v>
      </c>
      <c r="N177" s="256" t="s">
        <v>3306</v>
      </c>
      <c r="O177" s="256" t="s">
        <v>3565</v>
      </c>
    </row>
    <row r="178" spans="1:15" s="296" customFormat="1" ht="19.95" customHeight="1" x14ac:dyDescent="0.3">
      <c r="A178" s="256" t="s">
        <v>2935</v>
      </c>
      <c r="B178" s="256" t="s">
        <v>2936</v>
      </c>
      <c r="C178" s="276" t="s">
        <v>93</v>
      </c>
      <c r="D178" s="256"/>
      <c r="E178" s="257">
        <v>45244</v>
      </c>
      <c r="F178" s="257">
        <v>45294</v>
      </c>
      <c r="G178" s="301">
        <f t="shared" ca="1" si="2"/>
        <v>825</v>
      </c>
      <c r="H178" s="256" t="s">
        <v>3304</v>
      </c>
      <c r="I178" s="256" t="s">
        <v>2637</v>
      </c>
      <c r="J178" s="256" t="s">
        <v>234</v>
      </c>
      <c r="K178" s="256"/>
      <c r="L178" s="256" t="s">
        <v>4051</v>
      </c>
      <c r="M178" s="256" t="s">
        <v>77</v>
      </c>
      <c r="N178" s="256" t="s">
        <v>70</v>
      </c>
      <c r="O178" s="256"/>
    </row>
    <row r="179" spans="1:15" s="296" customFormat="1" ht="19.95" customHeight="1" x14ac:dyDescent="0.3">
      <c r="A179" s="256" t="s">
        <v>2937</v>
      </c>
      <c r="B179" s="256" t="s">
        <v>2938</v>
      </c>
      <c r="C179" s="256" t="s">
        <v>136</v>
      </c>
      <c r="D179" s="256">
        <v>6</v>
      </c>
      <c r="E179" s="257">
        <v>44819</v>
      </c>
      <c r="F179" s="257">
        <v>44823</v>
      </c>
      <c r="G179" s="301">
        <f t="shared" ca="1" si="2"/>
        <v>1250</v>
      </c>
      <c r="H179" s="256" t="s">
        <v>3304</v>
      </c>
      <c r="I179" s="256" t="s">
        <v>2637</v>
      </c>
      <c r="J179" s="256" t="s">
        <v>3751</v>
      </c>
      <c r="K179" s="256"/>
      <c r="L179" s="256" t="s">
        <v>4051</v>
      </c>
      <c r="M179" s="256" t="s">
        <v>77</v>
      </c>
      <c r="N179" s="256" t="s">
        <v>2631</v>
      </c>
      <c r="O179" s="256" t="s">
        <v>3482</v>
      </c>
    </row>
    <row r="180" spans="1:15" s="296" customFormat="1" ht="19.95" customHeight="1" x14ac:dyDescent="0.3">
      <c r="A180" s="272" t="s">
        <v>3443</v>
      </c>
      <c r="B180" s="272" t="s">
        <v>3444</v>
      </c>
      <c r="C180" s="256" t="s">
        <v>94</v>
      </c>
      <c r="D180" s="256"/>
      <c r="E180" s="273">
        <v>45404</v>
      </c>
      <c r="F180" s="273">
        <v>45405</v>
      </c>
      <c r="G180" s="301">
        <f t="shared" ca="1" si="2"/>
        <v>665</v>
      </c>
      <c r="H180" s="256" t="s">
        <v>41</v>
      </c>
      <c r="I180" s="256" t="s">
        <v>2637</v>
      </c>
      <c r="J180" s="256" t="s">
        <v>234</v>
      </c>
      <c r="K180" s="256"/>
      <c r="L180" s="256" t="s">
        <v>4051</v>
      </c>
      <c r="M180" s="256" t="s">
        <v>41</v>
      </c>
      <c r="N180" s="256" t="s">
        <v>41</v>
      </c>
      <c r="O180" s="256" t="s">
        <v>3566</v>
      </c>
    </row>
    <row r="181" spans="1:15" s="296" customFormat="1" ht="19.95" customHeight="1" x14ac:dyDescent="0.3">
      <c r="A181" s="256" t="s">
        <v>2939</v>
      </c>
      <c r="B181" s="256" t="s">
        <v>2940</v>
      </c>
      <c r="C181" s="256" t="s">
        <v>136</v>
      </c>
      <c r="D181" s="256"/>
      <c r="E181" s="257">
        <v>44804</v>
      </c>
      <c r="F181" s="257">
        <v>44807</v>
      </c>
      <c r="G181" s="301">
        <f t="shared" ca="1" si="2"/>
        <v>1265</v>
      </c>
      <c r="H181" s="256" t="s">
        <v>3304</v>
      </c>
      <c r="I181" s="256" t="s">
        <v>2637</v>
      </c>
      <c r="J181" s="256" t="s">
        <v>3751</v>
      </c>
      <c r="K181" s="256"/>
      <c r="L181" s="256" t="s">
        <v>4051</v>
      </c>
      <c r="M181" s="256" t="s">
        <v>77</v>
      </c>
      <c r="N181" s="256" t="s">
        <v>2631</v>
      </c>
      <c r="O181" s="256" t="s">
        <v>3482</v>
      </c>
    </row>
    <row r="182" spans="1:15" s="296" customFormat="1" ht="19.95" customHeight="1" x14ac:dyDescent="0.3">
      <c r="A182" s="256" t="s">
        <v>2941</v>
      </c>
      <c r="B182" s="256" t="s">
        <v>2942</v>
      </c>
      <c r="C182" s="256" t="s">
        <v>165</v>
      </c>
      <c r="D182" s="256">
        <v>60</v>
      </c>
      <c r="E182" s="257">
        <v>45198</v>
      </c>
      <c r="F182" s="257">
        <v>45201</v>
      </c>
      <c r="G182" s="301">
        <f t="shared" ca="1" si="2"/>
        <v>871</v>
      </c>
      <c r="H182" s="256" t="s">
        <v>3304</v>
      </c>
      <c r="I182" s="256" t="s">
        <v>2637</v>
      </c>
      <c r="J182" s="256" t="s">
        <v>234</v>
      </c>
      <c r="K182" s="256">
        <v>600</v>
      </c>
      <c r="L182" s="256" t="s">
        <v>4051</v>
      </c>
      <c r="M182" s="256" t="s">
        <v>77</v>
      </c>
      <c r="N182" s="256" t="s">
        <v>3306</v>
      </c>
      <c r="O182" s="256" t="s">
        <v>3567</v>
      </c>
    </row>
    <row r="183" spans="1:15" s="296" customFormat="1" ht="19.95" customHeight="1" x14ac:dyDescent="0.3">
      <c r="A183" s="256" t="s">
        <v>2943</v>
      </c>
      <c r="B183" s="256" t="s">
        <v>2944</v>
      </c>
      <c r="C183" s="256" t="s">
        <v>117</v>
      </c>
      <c r="D183" s="256">
        <v>33</v>
      </c>
      <c r="E183" s="257">
        <v>44852</v>
      </c>
      <c r="F183" s="257">
        <v>44853</v>
      </c>
      <c r="G183" s="301">
        <f t="shared" ca="1" si="2"/>
        <v>1217</v>
      </c>
      <c r="H183" s="256" t="s">
        <v>3304</v>
      </c>
      <c r="I183" s="256" t="s">
        <v>2637</v>
      </c>
      <c r="J183" s="256" t="s">
        <v>234</v>
      </c>
      <c r="K183" s="256">
        <v>200</v>
      </c>
      <c r="L183" s="256" t="s">
        <v>4051</v>
      </c>
      <c r="M183" s="256" t="s">
        <v>77</v>
      </c>
      <c r="N183" s="256" t="s">
        <v>2631</v>
      </c>
      <c r="O183" s="256" t="s">
        <v>3482</v>
      </c>
    </row>
    <row r="184" spans="1:15" s="296" customFormat="1" ht="19.95" customHeight="1" x14ac:dyDescent="0.3">
      <c r="A184" s="256" t="s">
        <v>2945</v>
      </c>
      <c r="B184" s="256" t="s">
        <v>2946</v>
      </c>
      <c r="C184" s="256" t="s">
        <v>163</v>
      </c>
      <c r="D184" s="256"/>
      <c r="E184" s="257">
        <v>45331</v>
      </c>
      <c r="F184" s="257">
        <v>45332</v>
      </c>
      <c r="G184" s="301">
        <f t="shared" ca="1" si="2"/>
        <v>738</v>
      </c>
      <c r="H184" s="256" t="s">
        <v>3304</v>
      </c>
      <c r="I184" s="257" t="s">
        <v>2637</v>
      </c>
      <c r="J184" s="256" t="s">
        <v>234</v>
      </c>
      <c r="K184" s="256"/>
      <c r="L184" s="256" t="s">
        <v>4051</v>
      </c>
      <c r="M184" s="256" t="s">
        <v>77</v>
      </c>
      <c r="N184" s="256" t="s">
        <v>70</v>
      </c>
      <c r="O184" s="256" t="s">
        <v>70</v>
      </c>
    </row>
    <row r="185" spans="1:15" s="296" customFormat="1" ht="19.95" customHeight="1" x14ac:dyDescent="0.3">
      <c r="A185" s="256" t="s">
        <v>2947</v>
      </c>
      <c r="B185" s="256" t="s">
        <v>2948</v>
      </c>
      <c r="C185" s="256" t="s">
        <v>99</v>
      </c>
      <c r="D185" s="256">
        <v>84</v>
      </c>
      <c r="E185" s="257">
        <v>45251</v>
      </c>
      <c r="F185" s="257">
        <v>45258</v>
      </c>
      <c r="G185" s="301">
        <f t="shared" ca="1" si="2"/>
        <v>818</v>
      </c>
      <c r="H185" s="256" t="s">
        <v>65</v>
      </c>
      <c r="I185" s="257" t="s">
        <v>2637</v>
      </c>
      <c r="J185" s="256" t="s">
        <v>234</v>
      </c>
      <c r="K185" s="256">
        <v>250</v>
      </c>
      <c r="L185" s="256" t="s">
        <v>4051</v>
      </c>
      <c r="M185" s="256" t="s">
        <v>77</v>
      </c>
      <c r="N185" s="256" t="s">
        <v>70</v>
      </c>
      <c r="O185" s="256" t="s">
        <v>3568</v>
      </c>
    </row>
    <row r="186" spans="1:15" s="296" customFormat="1" ht="19.95" customHeight="1" x14ac:dyDescent="0.3">
      <c r="A186" s="272" t="s">
        <v>3862</v>
      </c>
      <c r="B186" s="272" t="s">
        <v>3863</v>
      </c>
      <c r="C186" s="272" t="s">
        <v>91</v>
      </c>
      <c r="D186" s="256">
        <v>70</v>
      </c>
      <c r="E186" s="273">
        <v>45414</v>
      </c>
      <c r="F186" s="273">
        <v>45415</v>
      </c>
      <c r="G186" s="301">
        <f t="shared" ca="1" si="2"/>
        <v>655</v>
      </c>
      <c r="H186" s="256" t="s">
        <v>65</v>
      </c>
      <c r="I186" s="257">
        <v>45419</v>
      </c>
      <c r="J186" s="256" t="s">
        <v>234</v>
      </c>
      <c r="K186" s="256">
        <v>100</v>
      </c>
      <c r="L186" s="256" t="s">
        <v>4051</v>
      </c>
      <c r="M186" s="256" t="s">
        <v>66</v>
      </c>
      <c r="N186" s="256" t="s">
        <v>66</v>
      </c>
      <c r="O186" s="256" t="s">
        <v>4066</v>
      </c>
    </row>
    <row r="187" spans="1:15" s="296" customFormat="1" ht="19.95" customHeight="1" x14ac:dyDescent="0.3">
      <c r="A187" s="256" t="s">
        <v>2951</v>
      </c>
      <c r="B187" s="256" t="s">
        <v>2952</v>
      </c>
      <c r="C187" s="272" t="s">
        <v>101</v>
      </c>
      <c r="D187" s="256">
        <v>97</v>
      </c>
      <c r="E187" s="257">
        <v>45182</v>
      </c>
      <c r="F187" s="257">
        <v>45183</v>
      </c>
      <c r="G187" s="301">
        <f t="shared" ca="1" si="2"/>
        <v>887</v>
      </c>
      <c r="H187" s="256" t="s">
        <v>3304</v>
      </c>
      <c r="I187" s="257" t="s">
        <v>2637</v>
      </c>
      <c r="J187" s="256" t="s">
        <v>234</v>
      </c>
      <c r="K187" s="256">
        <v>100</v>
      </c>
      <c r="L187" s="256" t="s">
        <v>4051</v>
      </c>
      <c r="M187" s="256" t="s">
        <v>77</v>
      </c>
      <c r="N187" s="256" t="s">
        <v>3307</v>
      </c>
      <c r="O187" s="256" t="s">
        <v>3569</v>
      </c>
    </row>
    <row r="188" spans="1:15" s="296" customFormat="1" ht="19.95" customHeight="1" x14ac:dyDescent="0.3">
      <c r="A188" s="272" t="s">
        <v>3864</v>
      </c>
      <c r="B188" s="272" t="s">
        <v>3865</v>
      </c>
      <c r="C188" s="256" t="s">
        <v>136</v>
      </c>
      <c r="D188" s="306"/>
      <c r="E188" s="273">
        <v>45406</v>
      </c>
      <c r="F188" s="273">
        <v>45414</v>
      </c>
      <c r="G188" s="301">
        <f t="shared" ca="1" si="2"/>
        <v>663</v>
      </c>
      <c r="H188" s="256" t="s">
        <v>63</v>
      </c>
      <c r="I188" s="306"/>
      <c r="J188" s="256" t="s">
        <v>234</v>
      </c>
      <c r="K188" s="306"/>
      <c r="L188" s="256" t="s">
        <v>4051</v>
      </c>
      <c r="M188" s="256" t="s">
        <v>63</v>
      </c>
      <c r="N188" s="256" t="s">
        <v>63</v>
      </c>
      <c r="O188" s="306"/>
    </row>
    <row r="189" spans="1:15" s="296" customFormat="1" ht="19.95" customHeight="1" x14ac:dyDescent="0.3">
      <c r="A189" s="256" t="s">
        <v>2953</v>
      </c>
      <c r="B189" s="256" t="s">
        <v>2954</v>
      </c>
      <c r="C189" s="256" t="s">
        <v>94</v>
      </c>
      <c r="D189" s="256"/>
      <c r="E189" s="257">
        <v>45057</v>
      </c>
      <c r="F189" s="257">
        <v>45190</v>
      </c>
      <c r="G189" s="301">
        <f t="shared" ca="1" si="2"/>
        <v>1012</v>
      </c>
      <c r="H189" s="256" t="s">
        <v>3304</v>
      </c>
      <c r="I189" s="256" t="s">
        <v>2637</v>
      </c>
      <c r="J189" s="256" t="s">
        <v>3751</v>
      </c>
      <c r="K189" s="256">
        <v>0</v>
      </c>
      <c r="L189" s="256" t="s">
        <v>4051</v>
      </c>
      <c r="M189" s="256" t="s">
        <v>77</v>
      </c>
      <c r="N189" s="256" t="s">
        <v>3306</v>
      </c>
      <c r="O189" s="256" t="s">
        <v>3570</v>
      </c>
    </row>
    <row r="190" spans="1:15" s="296" customFormat="1" ht="19.95" customHeight="1" x14ac:dyDescent="0.3">
      <c r="A190" s="256" t="s">
        <v>2955</v>
      </c>
      <c r="B190" s="256" t="s">
        <v>2956</v>
      </c>
      <c r="C190" s="256" t="s">
        <v>99</v>
      </c>
      <c r="D190" s="256">
        <v>47</v>
      </c>
      <c r="E190" s="257">
        <v>44840</v>
      </c>
      <c r="F190" s="257">
        <v>44842</v>
      </c>
      <c r="G190" s="301">
        <f t="shared" ca="1" si="2"/>
        <v>1229</v>
      </c>
      <c r="H190" s="256" t="s">
        <v>3304</v>
      </c>
      <c r="I190" s="256" t="s">
        <v>2637</v>
      </c>
      <c r="J190" s="256" t="s">
        <v>234</v>
      </c>
      <c r="K190" s="256">
        <v>500</v>
      </c>
      <c r="L190" s="256" t="s">
        <v>4051</v>
      </c>
      <c r="M190" s="256" t="s">
        <v>77</v>
      </c>
      <c r="N190" s="256" t="s">
        <v>2631</v>
      </c>
      <c r="O190" s="256" t="s">
        <v>3482</v>
      </c>
    </row>
    <row r="191" spans="1:15" s="296" customFormat="1" ht="19.95" customHeight="1" x14ac:dyDescent="0.3">
      <c r="A191" s="276" t="s">
        <v>3435</v>
      </c>
      <c r="B191" s="276" t="s">
        <v>3436</v>
      </c>
      <c r="C191" s="256" t="s">
        <v>162</v>
      </c>
      <c r="D191" s="256">
        <v>75</v>
      </c>
      <c r="E191" s="277">
        <v>45407</v>
      </c>
      <c r="F191" s="277">
        <v>45408</v>
      </c>
      <c r="G191" s="301">
        <f t="shared" ca="1" si="2"/>
        <v>662</v>
      </c>
      <c r="H191" s="256" t="s">
        <v>65</v>
      </c>
      <c r="I191" s="257">
        <v>45419</v>
      </c>
      <c r="J191" s="256" t="s">
        <v>234</v>
      </c>
      <c r="K191" s="256">
        <v>280</v>
      </c>
      <c r="L191" s="256" t="s">
        <v>4051</v>
      </c>
      <c r="M191" s="256" t="s">
        <v>66</v>
      </c>
      <c r="N191" s="256" t="s">
        <v>66</v>
      </c>
      <c r="O191" s="256" t="s">
        <v>3817</v>
      </c>
    </row>
    <row r="192" spans="1:15" s="296" customFormat="1" ht="19.95" customHeight="1" x14ac:dyDescent="0.3">
      <c r="A192" s="256" t="s">
        <v>2957</v>
      </c>
      <c r="B192" s="256" t="s">
        <v>2958</v>
      </c>
      <c r="C192" s="256" t="s">
        <v>97</v>
      </c>
      <c r="D192" s="256">
        <v>38</v>
      </c>
      <c r="E192" s="257">
        <v>44978</v>
      </c>
      <c r="F192" s="257">
        <v>45190</v>
      </c>
      <c r="G192" s="301">
        <f t="shared" ca="1" si="2"/>
        <v>1091</v>
      </c>
      <c r="H192" s="256" t="s">
        <v>3304</v>
      </c>
      <c r="I192" s="256" t="s">
        <v>2637</v>
      </c>
      <c r="J192" s="256" t="s">
        <v>3751</v>
      </c>
      <c r="K192" s="256">
        <v>300</v>
      </c>
      <c r="L192" s="256" t="s">
        <v>4051</v>
      </c>
      <c r="M192" s="256" t="s">
        <v>77</v>
      </c>
      <c r="N192" s="256" t="s">
        <v>3306</v>
      </c>
      <c r="O192" s="256" t="s">
        <v>3563</v>
      </c>
    </row>
    <row r="193" spans="1:15" s="296" customFormat="1" ht="19.95" customHeight="1" x14ac:dyDescent="0.3">
      <c r="A193" s="307" t="s">
        <v>3457</v>
      </c>
      <c r="B193" s="307" t="s">
        <v>3458</v>
      </c>
      <c r="C193" s="256" t="s">
        <v>162</v>
      </c>
      <c r="D193" s="256">
        <v>99</v>
      </c>
      <c r="E193" s="313">
        <v>45407</v>
      </c>
      <c r="F193" s="313">
        <v>45408</v>
      </c>
      <c r="G193" s="301">
        <f t="shared" ca="1" si="2"/>
        <v>662</v>
      </c>
      <c r="H193" s="256" t="s">
        <v>65</v>
      </c>
      <c r="I193" s="257">
        <v>45419</v>
      </c>
      <c r="J193" s="256" t="s">
        <v>234</v>
      </c>
      <c r="K193" s="256">
        <v>150</v>
      </c>
      <c r="L193" s="256" t="s">
        <v>4051</v>
      </c>
      <c r="M193" s="256" t="s">
        <v>66</v>
      </c>
      <c r="N193" s="256" t="s">
        <v>66</v>
      </c>
      <c r="O193" s="256" t="s">
        <v>3655</v>
      </c>
    </row>
    <row r="194" spans="1:15" s="296" customFormat="1" ht="19.95" customHeight="1" x14ac:dyDescent="0.3">
      <c r="A194" s="256" t="s">
        <v>2961</v>
      </c>
      <c r="B194" s="256" t="s">
        <v>2962</v>
      </c>
      <c r="C194" s="256" t="s">
        <v>136</v>
      </c>
      <c r="D194" s="256">
        <v>63</v>
      </c>
      <c r="E194" s="257">
        <v>45257</v>
      </c>
      <c r="F194" s="257">
        <v>45257</v>
      </c>
      <c r="G194" s="301">
        <f t="shared" ca="1" si="2"/>
        <v>812</v>
      </c>
      <c r="H194" s="256" t="s">
        <v>3304</v>
      </c>
      <c r="I194" s="256" t="s">
        <v>2637</v>
      </c>
      <c r="J194" s="256" t="s">
        <v>234</v>
      </c>
      <c r="K194" s="256">
        <v>100</v>
      </c>
      <c r="L194" s="256" t="s">
        <v>4051</v>
      </c>
      <c r="M194" s="256" t="s">
        <v>77</v>
      </c>
      <c r="N194" s="256" t="s">
        <v>2631</v>
      </c>
      <c r="O194" s="256" t="s">
        <v>3482</v>
      </c>
    </row>
    <row r="195" spans="1:15" s="296" customFormat="1" ht="19.95" customHeight="1" x14ac:dyDescent="0.3">
      <c r="A195" s="256" t="s">
        <v>2963</v>
      </c>
      <c r="B195" s="256" t="s">
        <v>2964</v>
      </c>
      <c r="C195" s="256" t="s">
        <v>99</v>
      </c>
      <c r="D195" s="256"/>
      <c r="E195" s="257">
        <v>44799</v>
      </c>
      <c r="F195" s="257">
        <v>44803</v>
      </c>
      <c r="G195" s="301">
        <f t="shared" ref="G195:G258" ca="1" si="3">TODAY()-E195</f>
        <v>1270</v>
      </c>
      <c r="H195" s="256" t="s">
        <v>3304</v>
      </c>
      <c r="I195" s="256" t="s">
        <v>2637</v>
      </c>
      <c r="J195" s="256" t="s">
        <v>234</v>
      </c>
      <c r="K195" s="256"/>
      <c r="L195" s="256" t="s">
        <v>4051</v>
      </c>
      <c r="M195" s="256" t="s">
        <v>77</v>
      </c>
      <c r="N195" s="256" t="s">
        <v>70</v>
      </c>
      <c r="O195" s="256" t="s">
        <v>3572</v>
      </c>
    </row>
    <row r="196" spans="1:15" s="296" customFormat="1" ht="19.95" customHeight="1" x14ac:dyDescent="0.3">
      <c r="A196" s="256" t="s">
        <v>2965</v>
      </c>
      <c r="B196" s="256" t="s">
        <v>2966</v>
      </c>
      <c r="C196" s="256" t="s">
        <v>94</v>
      </c>
      <c r="D196" s="256">
        <v>37</v>
      </c>
      <c r="E196" s="257">
        <v>45167</v>
      </c>
      <c r="F196" s="257">
        <v>45169</v>
      </c>
      <c r="G196" s="301">
        <f t="shared" ca="1" si="3"/>
        <v>902</v>
      </c>
      <c r="H196" s="256" t="s">
        <v>3304</v>
      </c>
      <c r="I196" s="256" t="s">
        <v>2637</v>
      </c>
      <c r="J196" s="256" t="s">
        <v>234</v>
      </c>
      <c r="K196" s="256">
        <v>300</v>
      </c>
      <c r="L196" s="256" t="s">
        <v>4051</v>
      </c>
      <c r="M196" s="256" t="s">
        <v>77</v>
      </c>
      <c r="N196" s="256" t="s">
        <v>2631</v>
      </c>
      <c r="O196" s="256" t="s">
        <v>3482</v>
      </c>
    </row>
    <row r="197" spans="1:15" s="296" customFormat="1" ht="19.95" customHeight="1" x14ac:dyDescent="0.3">
      <c r="A197" s="256" t="s">
        <v>2967</v>
      </c>
      <c r="B197" s="256" t="s">
        <v>2968</v>
      </c>
      <c r="C197" s="256" t="s">
        <v>165</v>
      </c>
      <c r="D197" s="256"/>
      <c r="E197" s="257">
        <v>44639</v>
      </c>
      <c r="F197" s="257">
        <v>44845</v>
      </c>
      <c r="G197" s="301">
        <f t="shared" ca="1" si="3"/>
        <v>1430</v>
      </c>
      <c r="H197" s="256" t="s">
        <v>3304</v>
      </c>
      <c r="I197" s="256" t="s">
        <v>2637</v>
      </c>
      <c r="J197" s="256" t="s">
        <v>234</v>
      </c>
      <c r="K197" s="256"/>
      <c r="L197" s="256" t="s">
        <v>4051</v>
      </c>
      <c r="M197" s="256" t="s">
        <v>77</v>
      </c>
      <c r="N197" s="256" t="s">
        <v>2631</v>
      </c>
      <c r="O197" s="256" t="s">
        <v>3482</v>
      </c>
    </row>
    <row r="198" spans="1:15" s="296" customFormat="1" ht="19.95" customHeight="1" x14ac:dyDescent="0.3">
      <c r="A198" s="256" t="s">
        <v>2969</v>
      </c>
      <c r="B198" s="256" t="s">
        <v>2970</v>
      </c>
      <c r="C198" s="256" t="s">
        <v>99</v>
      </c>
      <c r="D198" s="256">
        <v>1</v>
      </c>
      <c r="E198" s="257">
        <v>44587</v>
      </c>
      <c r="F198" s="257">
        <v>44587</v>
      </c>
      <c r="G198" s="301">
        <f t="shared" ca="1" si="3"/>
        <v>1482</v>
      </c>
      <c r="H198" s="256" t="s">
        <v>3304</v>
      </c>
      <c r="I198" s="256" t="s">
        <v>2637</v>
      </c>
      <c r="J198" s="256" t="s">
        <v>234</v>
      </c>
      <c r="K198" s="256">
        <v>550</v>
      </c>
      <c r="L198" s="256" t="s">
        <v>4051</v>
      </c>
      <c r="M198" s="256" t="s">
        <v>77</v>
      </c>
      <c r="N198" s="256" t="s">
        <v>2631</v>
      </c>
      <c r="O198" s="256" t="s">
        <v>3482</v>
      </c>
    </row>
    <row r="199" spans="1:15" s="296" customFormat="1" ht="19.95" customHeight="1" x14ac:dyDescent="0.3">
      <c r="A199" s="256" t="s">
        <v>3866</v>
      </c>
      <c r="B199" s="256" t="s">
        <v>3867</v>
      </c>
      <c r="C199" s="256" t="s">
        <v>94</v>
      </c>
      <c r="D199" s="256">
        <v>31</v>
      </c>
      <c r="E199" s="257">
        <v>45162</v>
      </c>
      <c r="F199" s="257">
        <v>45162</v>
      </c>
      <c r="G199" s="301">
        <f t="shared" ca="1" si="3"/>
        <v>907</v>
      </c>
      <c r="H199" s="256" t="s">
        <v>65</v>
      </c>
      <c r="I199" s="257">
        <v>45419</v>
      </c>
      <c r="J199" s="256" t="s">
        <v>234</v>
      </c>
      <c r="K199" s="256">
        <v>460</v>
      </c>
      <c r="L199" s="256" t="s">
        <v>4051</v>
      </c>
      <c r="M199" s="256" t="s">
        <v>66</v>
      </c>
      <c r="N199" s="256" t="s">
        <v>66</v>
      </c>
      <c r="O199" s="256" t="s">
        <v>4067</v>
      </c>
    </row>
    <row r="200" spans="1:15" s="296" customFormat="1" ht="19.95" customHeight="1" x14ac:dyDescent="0.3">
      <c r="A200" s="256" t="s">
        <v>2971</v>
      </c>
      <c r="B200" s="256" t="s">
        <v>2972</v>
      </c>
      <c r="C200" s="259" t="s">
        <v>4039</v>
      </c>
      <c r="D200" s="256">
        <v>23</v>
      </c>
      <c r="E200" s="257">
        <v>45036</v>
      </c>
      <c r="F200" s="257">
        <v>45037</v>
      </c>
      <c r="G200" s="301">
        <f t="shared" ca="1" si="3"/>
        <v>1033</v>
      </c>
      <c r="H200" s="256" t="s">
        <v>3304</v>
      </c>
      <c r="I200" s="256" t="s">
        <v>2637</v>
      </c>
      <c r="J200" s="256" t="s">
        <v>234</v>
      </c>
      <c r="K200" s="256">
        <v>550</v>
      </c>
      <c r="L200" s="256" t="s">
        <v>4051</v>
      </c>
      <c r="M200" s="256" t="s">
        <v>77</v>
      </c>
      <c r="N200" s="256" t="s">
        <v>2631</v>
      </c>
      <c r="O200" s="256" t="s">
        <v>3482</v>
      </c>
    </row>
    <row r="201" spans="1:15" s="296" customFormat="1" ht="19.95" customHeight="1" x14ac:dyDescent="0.3">
      <c r="A201" s="259" t="s">
        <v>2973</v>
      </c>
      <c r="B201" s="259" t="s">
        <v>2974</v>
      </c>
      <c r="C201" s="272" t="s">
        <v>91</v>
      </c>
      <c r="D201" s="256"/>
      <c r="E201" s="260">
        <v>45362</v>
      </c>
      <c r="F201" s="260">
        <v>45363</v>
      </c>
      <c r="G201" s="301">
        <f t="shared" ca="1" si="3"/>
        <v>707</v>
      </c>
      <c r="H201" s="256" t="s">
        <v>3304</v>
      </c>
      <c r="I201" s="256" t="s">
        <v>2637</v>
      </c>
      <c r="J201" s="256" t="s">
        <v>234</v>
      </c>
      <c r="K201" s="256"/>
      <c r="L201" s="256" t="s">
        <v>4051</v>
      </c>
      <c r="M201" s="256" t="s">
        <v>77</v>
      </c>
      <c r="N201" s="256" t="s">
        <v>67</v>
      </c>
      <c r="O201" s="256" t="s">
        <v>3529</v>
      </c>
    </row>
    <row r="202" spans="1:15" s="296" customFormat="1" ht="19.95" customHeight="1" x14ac:dyDescent="0.3">
      <c r="A202" s="256" t="s">
        <v>2975</v>
      </c>
      <c r="B202" s="256" t="s">
        <v>2976</v>
      </c>
      <c r="C202" s="256" t="s">
        <v>99</v>
      </c>
      <c r="D202" s="256"/>
      <c r="E202" s="257">
        <v>44783</v>
      </c>
      <c r="F202" s="257">
        <v>44991</v>
      </c>
      <c r="G202" s="301">
        <f t="shared" ca="1" si="3"/>
        <v>1286</v>
      </c>
      <c r="H202" s="256" t="s">
        <v>3304</v>
      </c>
      <c r="I202" s="256" t="s">
        <v>2637</v>
      </c>
      <c r="J202" s="256" t="s">
        <v>234</v>
      </c>
      <c r="K202" s="256"/>
      <c r="L202" s="256" t="s">
        <v>4051</v>
      </c>
      <c r="M202" s="256" t="s">
        <v>77</v>
      </c>
      <c r="N202" s="256" t="s">
        <v>70</v>
      </c>
      <c r="O202" s="256" t="s">
        <v>3527</v>
      </c>
    </row>
    <row r="203" spans="1:15" s="296" customFormat="1" ht="19.95" customHeight="1" x14ac:dyDescent="0.3">
      <c r="A203" s="256" t="s">
        <v>2977</v>
      </c>
      <c r="B203" s="256" t="s">
        <v>2978</v>
      </c>
      <c r="C203" s="259" t="s">
        <v>98</v>
      </c>
      <c r="D203" s="256">
        <v>128</v>
      </c>
      <c r="E203" s="257">
        <v>45220</v>
      </c>
      <c r="F203" s="257">
        <v>45223</v>
      </c>
      <c r="G203" s="301">
        <f t="shared" ca="1" si="3"/>
        <v>849</v>
      </c>
      <c r="H203" s="256" t="s">
        <v>3304</v>
      </c>
      <c r="I203" s="257" t="s">
        <v>2637</v>
      </c>
      <c r="J203" s="256" t="s">
        <v>234</v>
      </c>
      <c r="K203" s="256">
        <v>200</v>
      </c>
      <c r="L203" s="256" t="s">
        <v>4051</v>
      </c>
      <c r="M203" s="256" t="s">
        <v>77</v>
      </c>
      <c r="N203" s="256" t="s">
        <v>2631</v>
      </c>
      <c r="O203" s="256" t="s">
        <v>3482</v>
      </c>
    </row>
    <row r="204" spans="1:15" s="296" customFormat="1" ht="19.95" customHeight="1" x14ac:dyDescent="0.3">
      <c r="A204" s="256" t="s">
        <v>2979</v>
      </c>
      <c r="B204" s="256" t="s">
        <v>2980</v>
      </c>
      <c r="C204" s="256" t="s">
        <v>165</v>
      </c>
      <c r="D204" s="256">
        <v>32</v>
      </c>
      <c r="E204" s="257">
        <v>44602</v>
      </c>
      <c r="F204" s="257">
        <v>44602</v>
      </c>
      <c r="G204" s="301">
        <f t="shared" ca="1" si="3"/>
        <v>1467</v>
      </c>
      <c r="H204" s="256" t="s">
        <v>3304</v>
      </c>
      <c r="I204" s="256" t="s">
        <v>2637</v>
      </c>
      <c r="J204" s="256" t="s">
        <v>234</v>
      </c>
      <c r="K204" s="256">
        <v>250</v>
      </c>
      <c r="L204" s="256" t="s">
        <v>4051</v>
      </c>
      <c r="M204" s="256" t="s">
        <v>77</v>
      </c>
      <c r="N204" s="256" t="s">
        <v>3306</v>
      </c>
      <c r="O204" s="256" t="s">
        <v>3574</v>
      </c>
    </row>
    <row r="205" spans="1:15" s="296" customFormat="1" ht="19.95" customHeight="1" x14ac:dyDescent="0.3">
      <c r="A205" s="259" t="s">
        <v>2981</v>
      </c>
      <c r="B205" s="259" t="s">
        <v>2982</v>
      </c>
      <c r="C205" s="276" t="s">
        <v>93</v>
      </c>
      <c r="D205" s="256"/>
      <c r="E205" s="260">
        <v>45351</v>
      </c>
      <c r="F205" s="260">
        <v>45352</v>
      </c>
      <c r="G205" s="301">
        <f t="shared" ca="1" si="3"/>
        <v>718</v>
      </c>
      <c r="H205" s="256" t="s">
        <v>3304</v>
      </c>
      <c r="I205" s="257" t="s">
        <v>2637</v>
      </c>
      <c r="J205" s="256" t="s">
        <v>234</v>
      </c>
      <c r="K205" s="256"/>
      <c r="L205" s="256" t="s">
        <v>4051</v>
      </c>
      <c r="M205" s="256" t="s">
        <v>77</v>
      </c>
      <c r="N205" s="256" t="s">
        <v>70</v>
      </c>
      <c r="O205" s="256" t="s">
        <v>3575</v>
      </c>
    </row>
    <row r="206" spans="1:15" s="296" customFormat="1" ht="19.95" customHeight="1" x14ac:dyDescent="0.3">
      <c r="A206" s="272" t="s">
        <v>3445</v>
      </c>
      <c r="B206" s="272" t="s">
        <v>3446</v>
      </c>
      <c r="C206" s="256" t="s">
        <v>163</v>
      </c>
      <c r="D206" s="256">
        <v>334</v>
      </c>
      <c r="E206" s="273">
        <v>45405</v>
      </c>
      <c r="F206" s="273">
        <v>45405</v>
      </c>
      <c r="G206" s="301">
        <f t="shared" ca="1" si="3"/>
        <v>664</v>
      </c>
      <c r="H206" s="256" t="s">
        <v>41</v>
      </c>
      <c r="I206" s="256" t="s">
        <v>2637</v>
      </c>
      <c r="J206" s="256" t="s">
        <v>234</v>
      </c>
      <c r="K206" s="256">
        <v>100</v>
      </c>
      <c r="L206" s="256" t="s">
        <v>4051</v>
      </c>
      <c r="M206" s="256" t="s">
        <v>41</v>
      </c>
      <c r="N206" s="256" t="s">
        <v>41</v>
      </c>
      <c r="O206" s="256" t="s">
        <v>3576</v>
      </c>
    </row>
    <row r="207" spans="1:15" s="296" customFormat="1" ht="19.95" customHeight="1" x14ac:dyDescent="0.3">
      <c r="A207" s="256" t="s">
        <v>2983</v>
      </c>
      <c r="B207" s="256" t="s">
        <v>2984</v>
      </c>
      <c r="C207" s="256" t="s">
        <v>94</v>
      </c>
      <c r="D207" s="256">
        <v>68</v>
      </c>
      <c r="E207" s="257">
        <v>45218</v>
      </c>
      <c r="F207" s="257">
        <v>45219</v>
      </c>
      <c r="G207" s="301">
        <f t="shared" ca="1" si="3"/>
        <v>851</v>
      </c>
      <c r="H207" s="256" t="s">
        <v>3304</v>
      </c>
      <c r="I207" s="256" t="s">
        <v>2637</v>
      </c>
      <c r="J207" s="256" t="s">
        <v>234</v>
      </c>
      <c r="K207" s="256">
        <v>210</v>
      </c>
      <c r="L207" s="256" t="s">
        <v>4051</v>
      </c>
      <c r="M207" s="256" t="s">
        <v>77</v>
      </c>
      <c r="N207" s="256" t="s">
        <v>3306</v>
      </c>
      <c r="O207" s="256" t="s">
        <v>3577</v>
      </c>
    </row>
    <row r="208" spans="1:15" s="296" customFormat="1" ht="19.95" customHeight="1" x14ac:dyDescent="0.3">
      <c r="A208" s="256" t="s">
        <v>3076</v>
      </c>
      <c r="B208" s="256" t="s">
        <v>3077</v>
      </c>
      <c r="C208" s="256" t="s">
        <v>2642</v>
      </c>
      <c r="D208" s="256">
        <v>10</v>
      </c>
      <c r="E208" s="257">
        <v>45331</v>
      </c>
      <c r="F208" s="257">
        <v>45331</v>
      </c>
      <c r="G208" s="301">
        <f t="shared" ca="1" si="3"/>
        <v>738</v>
      </c>
      <c r="H208" s="256" t="s">
        <v>68</v>
      </c>
      <c r="I208" s="257">
        <v>45421</v>
      </c>
      <c r="J208" s="256" t="s">
        <v>234</v>
      </c>
      <c r="K208" s="256">
        <v>90</v>
      </c>
      <c r="L208" s="256" t="s">
        <v>4051</v>
      </c>
      <c r="M208" s="256" t="s">
        <v>3305</v>
      </c>
      <c r="N208" s="256" t="s">
        <v>3305</v>
      </c>
      <c r="O208" s="256" t="s">
        <v>3595</v>
      </c>
    </row>
    <row r="209" spans="1:15" s="296" customFormat="1" ht="19.95" customHeight="1" x14ac:dyDescent="0.3">
      <c r="A209" s="259" t="s">
        <v>2987</v>
      </c>
      <c r="B209" s="259" t="s">
        <v>2988</v>
      </c>
      <c r="C209" s="256" t="s">
        <v>162</v>
      </c>
      <c r="D209" s="256"/>
      <c r="E209" s="260">
        <v>45320</v>
      </c>
      <c r="F209" s="260">
        <v>45349</v>
      </c>
      <c r="G209" s="301">
        <f t="shared" ca="1" si="3"/>
        <v>749</v>
      </c>
      <c r="H209" s="256" t="s">
        <v>41</v>
      </c>
      <c r="I209" s="257" t="s">
        <v>2637</v>
      </c>
      <c r="J209" s="256" t="s">
        <v>234</v>
      </c>
      <c r="K209" s="256">
        <v>1000</v>
      </c>
      <c r="L209" s="256" t="s">
        <v>4051</v>
      </c>
      <c r="M209" s="256" t="s">
        <v>41</v>
      </c>
      <c r="N209" s="256" t="s">
        <v>41</v>
      </c>
      <c r="O209" s="256" t="s">
        <v>3578</v>
      </c>
    </row>
    <row r="210" spans="1:15" s="296" customFormat="1" ht="19.95" customHeight="1" x14ac:dyDescent="0.3">
      <c r="A210" s="256" t="s">
        <v>2989</v>
      </c>
      <c r="B210" s="256" t="s">
        <v>2990</v>
      </c>
      <c r="C210" s="256" t="s">
        <v>164</v>
      </c>
      <c r="D210" s="256">
        <v>345</v>
      </c>
      <c r="E210" s="257">
        <v>45239</v>
      </c>
      <c r="F210" s="257">
        <v>45240</v>
      </c>
      <c r="G210" s="301">
        <f t="shared" ca="1" si="3"/>
        <v>830</v>
      </c>
      <c r="H210" s="256" t="s">
        <v>41</v>
      </c>
      <c r="I210" s="257" t="s">
        <v>2637</v>
      </c>
      <c r="J210" s="256" t="s">
        <v>234</v>
      </c>
      <c r="K210" s="256">
        <v>100</v>
      </c>
      <c r="L210" s="256" t="s">
        <v>4051</v>
      </c>
      <c r="M210" s="256" t="s">
        <v>41</v>
      </c>
      <c r="N210" s="256" t="s">
        <v>41</v>
      </c>
      <c r="O210" s="256" t="s">
        <v>3579</v>
      </c>
    </row>
    <row r="211" spans="1:15" s="296" customFormat="1" ht="19.95" customHeight="1" x14ac:dyDescent="0.3">
      <c r="A211" s="272" t="s">
        <v>3790</v>
      </c>
      <c r="B211" s="272" t="s">
        <v>3791</v>
      </c>
      <c r="C211" s="256" t="s">
        <v>94</v>
      </c>
      <c r="D211" s="256">
        <v>54</v>
      </c>
      <c r="E211" s="273">
        <v>45407</v>
      </c>
      <c r="F211" s="273">
        <v>45411</v>
      </c>
      <c r="G211" s="301">
        <f t="shared" ca="1" si="3"/>
        <v>662</v>
      </c>
      <c r="H211" s="256" t="s">
        <v>65</v>
      </c>
      <c r="I211" s="257">
        <v>45419</v>
      </c>
      <c r="J211" s="256" t="s">
        <v>234</v>
      </c>
      <c r="K211" s="256">
        <v>350</v>
      </c>
      <c r="L211" s="256" t="s">
        <v>4051</v>
      </c>
      <c r="M211" s="256" t="s">
        <v>66</v>
      </c>
      <c r="N211" s="256" t="s">
        <v>66</v>
      </c>
      <c r="O211" s="256" t="s">
        <v>4068</v>
      </c>
    </row>
    <row r="212" spans="1:15" s="296" customFormat="1" ht="19.95" customHeight="1" x14ac:dyDescent="0.3">
      <c r="A212" s="256" t="s">
        <v>2991</v>
      </c>
      <c r="B212" s="256" t="s">
        <v>2992</v>
      </c>
      <c r="C212" s="256" t="s">
        <v>165</v>
      </c>
      <c r="D212" s="256">
        <v>31</v>
      </c>
      <c r="E212" s="257">
        <v>45062</v>
      </c>
      <c r="F212" s="257">
        <v>45065</v>
      </c>
      <c r="G212" s="301">
        <f t="shared" ca="1" si="3"/>
        <v>1007</v>
      </c>
      <c r="H212" s="256" t="s">
        <v>3304</v>
      </c>
      <c r="I212" s="256" t="s">
        <v>2637</v>
      </c>
      <c r="J212" s="256" t="s">
        <v>234</v>
      </c>
      <c r="K212" s="256">
        <v>300</v>
      </c>
      <c r="L212" s="256" t="s">
        <v>4051</v>
      </c>
      <c r="M212" s="256" t="s">
        <v>77</v>
      </c>
      <c r="N212" s="256" t="s">
        <v>2631</v>
      </c>
      <c r="O212" s="256" t="s">
        <v>3482</v>
      </c>
    </row>
    <row r="213" spans="1:15" s="296" customFormat="1" ht="19.95" customHeight="1" x14ac:dyDescent="0.3">
      <c r="A213" s="256" t="s">
        <v>2993</v>
      </c>
      <c r="B213" s="256" t="s">
        <v>2994</v>
      </c>
      <c r="C213" s="276" t="s">
        <v>93</v>
      </c>
      <c r="D213" s="256">
        <v>17</v>
      </c>
      <c r="E213" s="257">
        <v>45329</v>
      </c>
      <c r="F213" s="257">
        <v>45331</v>
      </c>
      <c r="G213" s="301">
        <f t="shared" ca="1" si="3"/>
        <v>740</v>
      </c>
      <c r="H213" s="256" t="s">
        <v>3304</v>
      </c>
      <c r="I213" s="256" t="s">
        <v>2637</v>
      </c>
      <c r="J213" s="256" t="s">
        <v>234</v>
      </c>
      <c r="K213" s="256">
        <v>350</v>
      </c>
      <c r="L213" s="256" t="s">
        <v>4051</v>
      </c>
      <c r="M213" s="256" t="s">
        <v>77</v>
      </c>
      <c r="N213" s="256" t="s">
        <v>2631</v>
      </c>
      <c r="O213" s="256" t="s">
        <v>3491</v>
      </c>
    </row>
    <row r="214" spans="1:15" s="296" customFormat="1" ht="19.95" customHeight="1" x14ac:dyDescent="0.3">
      <c r="A214" s="256" t="s">
        <v>2995</v>
      </c>
      <c r="B214" s="256" t="s">
        <v>2996</v>
      </c>
      <c r="C214" s="259" t="s">
        <v>103</v>
      </c>
      <c r="D214" s="256"/>
      <c r="E214" s="257">
        <v>45218</v>
      </c>
      <c r="F214" s="257">
        <v>45219</v>
      </c>
      <c r="G214" s="301">
        <f t="shared" ca="1" si="3"/>
        <v>851</v>
      </c>
      <c r="H214" s="256" t="s">
        <v>3304</v>
      </c>
      <c r="I214" s="257" t="s">
        <v>2637</v>
      </c>
      <c r="J214" s="256" t="s">
        <v>234</v>
      </c>
      <c r="K214" s="256"/>
      <c r="L214" s="256" t="s">
        <v>4051</v>
      </c>
      <c r="M214" s="256" t="s">
        <v>77</v>
      </c>
      <c r="N214" s="256" t="s">
        <v>67</v>
      </c>
      <c r="O214" s="256" t="s">
        <v>67</v>
      </c>
    </row>
    <row r="215" spans="1:15" s="296" customFormat="1" ht="19.95" customHeight="1" x14ac:dyDescent="0.3">
      <c r="A215" s="256" t="s">
        <v>3020</v>
      </c>
      <c r="B215" s="256" t="s">
        <v>3021</v>
      </c>
      <c r="C215" s="256" t="s">
        <v>94</v>
      </c>
      <c r="D215" s="256">
        <v>91</v>
      </c>
      <c r="E215" s="257">
        <v>45328</v>
      </c>
      <c r="F215" s="257">
        <v>45335</v>
      </c>
      <c r="G215" s="301">
        <f t="shared" ca="1" si="3"/>
        <v>741</v>
      </c>
      <c r="H215" s="256" t="s">
        <v>68</v>
      </c>
      <c r="I215" s="257">
        <v>45421</v>
      </c>
      <c r="J215" s="256" t="s">
        <v>234</v>
      </c>
      <c r="K215" s="256">
        <v>150</v>
      </c>
      <c r="L215" s="256" t="s">
        <v>4051</v>
      </c>
      <c r="M215" s="256" t="s">
        <v>3305</v>
      </c>
      <c r="N215" s="256" t="s">
        <v>3305</v>
      </c>
      <c r="O215" s="256" t="s">
        <v>3519</v>
      </c>
    </row>
    <row r="216" spans="1:15" s="296" customFormat="1" ht="19.95" customHeight="1" x14ac:dyDescent="0.3">
      <c r="A216" s="256" t="s">
        <v>2999</v>
      </c>
      <c r="B216" s="256" t="s">
        <v>3000</v>
      </c>
      <c r="C216" s="256" t="s">
        <v>163</v>
      </c>
      <c r="D216" s="256">
        <v>429</v>
      </c>
      <c r="E216" s="257">
        <v>45062</v>
      </c>
      <c r="F216" s="257">
        <v>45068</v>
      </c>
      <c r="G216" s="301">
        <f t="shared" ca="1" si="3"/>
        <v>1007</v>
      </c>
      <c r="H216" s="256" t="s">
        <v>3304</v>
      </c>
      <c r="I216" s="256" t="s">
        <v>2637</v>
      </c>
      <c r="J216" s="256" t="s">
        <v>3751</v>
      </c>
      <c r="K216" s="256">
        <v>150</v>
      </c>
      <c r="L216" s="256" t="s">
        <v>4051</v>
      </c>
      <c r="M216" s="256" t="s">
        <v>77</v>
      </c>
      <c r="N216" s="256" t="s">
        <v>3307</v>
      </c>
      <c r="O216" s="256" t="s">
        <v>3582</v>
      </c>
    </row>
    <row r="217" spans="1:15" s="296" customFormat="1" ht="19.95" customHeight="1" x14ac:dyDescent="0.3">
      <c r="A217" s="256" t="s">
        <v>3001</v>
      </c>
      <c r="B217" s="256" t="s">
        <v>3002</v>
      </c>
      <c r="C217" s="256" t="s">
        <v>99</v>
      </c>
      <c r="D217" s="256">
        <v>60</v>
      </c>
      <c r="E217" s="257">
        <v>45067</v>
      </c>
      <c r="F217" s="257">
        <v>45068</v>
      </c>
      <c r="G217" s="301">
        <f t="shared" ca="1" si="3"/>
        <v>1002</v>
      </c>
      <c r="H217" s="256" t="s">
        <v>3304</v>
      </c>
      <c r="I217" s="256" t="s">
        <v>2637</v>
      </c>
      <c r="J217" s="256" t="s">
        <v>234</v>
      </c>
      <c r="K217" s="256">
        <v>600</v>
      </c>
      <c r="L217" s="256" t="s">
        <v>4051</v>
      </c>
      <c r="M217" s="256" t="s">
        <v>77</v>
      </c>
      <c r="N217" s="256" t="s">
        <v>3306</v>
      </c>
      <c r="O217" s="256" t="s">
        <v>3583</v>
      </c>
    </row>
    <row r="218" spans="1:15" s="296" customFormat="1" ht="19.95" customHeight="1" x14ac:dyDescent="0.3">
      <c r="A218" s="256" t="s">
        <v>3003</v>
      </c>
      <c r="B218" s="256" t="s">
        <v>3004</v>
      </c>
      <c r="C218" s="276" t="s">
        <v>93</v>
      </c>
      <c r="D218" s="256"/>
      <c r="E218" s="256"/>
      <c r="F218" s="256">
        <v>45070</v>
      </c>
      <c r="G218" s="301">
        <f t="shared" ca="1" si="3"/>
        <v>46069</v>
      </c>
      <c r="H218" s="256" t="s">
        <v>3304</v>
      </c>
      <c r="I218" s="256" t="s">
        <v>2637</v>
      </c>
      <c r="J218" s="256" t="s">
        <v>3751</v>
      </c>
      <c r="K218" s="256"/>
      <c r="L218" s="256" t="s">
        <v>4051</v>
      </c>
      <c r="M218" s="256" t="s">
        <v>77</v>
      </c>
      <c r="N218" s="256" t="s">
        <v>2631</v>
      </c>
      <c r="O218" s="256" t="s">
        <v>3482</v>
      </c>
    </row>
    <row r="219" spans="1:15" s="296" customFormat="1" ht="19.95" customHeight="1" x14ac:dyDescent="0.3">
      <c r="A219" s="256" t="s">
        <v>3005</v>
      </c>
      <c r="B219" s="256" t="s">
        <v>3006</v>
      </c>
      <c r="C219" s="256" t="s">
        <v>117</v>
      </c>
      <c r="D219" s="256"/>
      <c r="E219" s="257">
        <v>45041</v>
      </c>
      <c r="F219" s="257">
        <v>45070</v>
      </c>
      <c r="G219" s="301">
        <f t="shared" ca="1" si="3"/>
        <v>1028</v>
      </c>
      <c r="H219" s="256" t="s">
        <v>3304</v>
      </c>
      <c r="I219" s="256" t="s">
        <v>2637</v>
      </c>
      <c r="J219" s="256" t="s">
        <v>234</v>
      </c>
      <c r="K219" s="256"/>
      <c r="L219" s="256" t="s">
        <v>4051</v>
      </c>
      <c r="M219" s="256" t="s">
        <v>77</v>
      </c>
      <c r="N219" s="256" t="s">
        <v>70</v>
      </c>
      <c r="O219" s="256" t="s">
        <v>70</v>
      </c>
    </row>
    <row r="220" spans="1:15" s="296" customFormat="1" ht="19.95" customHeight="1" x14ac:dyDescent="0.3">
      <c r="A220" s="256"/>
      <c r="B220" s="256" t="s">
        <v>3007</v>
      </c>
      <c r="C220" s="256" t="s">
        <v>117</v>
      </c>
      <c r="D220" s="256"/>
      <c r="E220" s="257">
        <v>44727</v>
      </c>
      <c r="F220" s="257">
        <v>44733</v>
      </c>
      <c r="G220" s="301">
        <f t="shared" ca="1" si="3"/>
        <v>1342</v>
      </c>
      <c r="H220" s="256" t="s">
        <v>3304</v>
      </c>
      <c r="I220" s="256" t="s">
        <v>2637</v>
      </c>
      <c r="J220" s="256" t="s">
        <v>234</v>
      </c>
      <c r="K220" s="256"/>
      <c r="L220" s="256" t="s">
        <v>4051</v>
      </c>
      <c r="M220" s="256" t="s">
        <v>77</v>
      </c>
      <c r="N220" s="256" t="s">
        <v>2631</v>
      </c>
      <c r="O220" s="256" t="s">
        <v>3482</v>
      </c>
    </row>
    <row r="221" spans="1:15" s="296" customFormat="1" ht="19.95" customHeight="1" x14ac:dyDescent="0.3">
      <c r="A221" s="256" t="s">
        <v>3008</v>
      </c>
      <c r="B221" s="256" t="s">
        <v>3009</v>
      </c>
      <c r="C221" s="256" t="s">
        <v>117</v>
      </c>
      <c r="D221" s="256"/>
      <c r="E221" s="257">
        <v>45184</v>
      </c>
      <c r="F221" s="257">
        <v>45187</v>
      </c>
      <c r="G221" s="301">
        <f t="shared" ca="1" si="3"/>
        <v>885</v>
      </c>
      <c r="H221" s="256" t="s">
        <v>3304</v>
      </c>
      <c r="I221" s="256" t="s">
        <v>2637</v>
      </c>
      <c r="J221" s="256" t="s">
        <v>234</v>
      </c>
      <c r="K221" s="256"/>
      <c r="L221" s="256" t="s">
        <v>4051</v>
      </c>
      <c r="M221" s="256" t="s">
        <v>77</v>
      </c>
      <c r="N221" s="256" t="s">
        <v>70</v>
      </c>
      <c r="O221" s="256" t="s">
        <v>3505</v>
      </c>
    </row>
    <row r="222" spans="1:15" s="296" customFormat="1" ht="19.95" customHeight="1" x14ac:dyDescent="0.3">
      <c r="A222" s="256" t="s">
        <v>3010</v>
      </c>
      <c r="B222" s="256" t="s">
        <v>3011</v>
      </c>
      <c r="C222" s="256" t="s">
        <v>99</v>
      </c>
      <c r="D222" s="256">
        <v>58</v>
      </c>
      <c r="E222" s="257">
        <v>44857</v>
      </c>
      <c r="F222" s="257">
        <v>44861</v>
      </c>
      <c r="G222" s="301">
        <f t="shared" ca="1" si="3"/>
        <v>1212</v>
      </c>
      <c r="H222" s="256" t="s">
        <v>3304</v>
      </c>
      <c r="I222" s="256" t="s">
        <v>2637</v>
      </c>
      <c r="J222" s="256" t="s">
        <v>234</v>
      </c>
      <c r="K222" s="256">
        <v>1000</v>
      </c>
      <c r="L222" s="256" t="s">
        <v>4051</v>
      </c>
      <c r="M222" s="256" t="s">
        <v>77</v>
      </c>
      <c r="N222" s="256" t="s">
        <v>2631</v>
      </c>
      <c r="O222" s="256" t="s">
        <v>3482</v>
      </c>
    </row>
    <row r="223" spans="1:15" s="296" customFormat="1" ht="19.95" customHeight="1" x14ac:dyDescent="0.3">
      <c r="A223" s="256" t="s">
        <v>3012</v>
      </c>
      <c r="B223" s="256" t="s">
        <v>3013</v>
      </c>
      <c r="C223" s="259" t="s">
        <v>4039</v>
      </c>
      <c r="D223" s="256">
        <v>20</v>
      </c>
      <c r="E223" s="257">
        <v>45050</v>
      </c>
      <c r="F223" s="257">
        <v>45057</v>
      </c>
      <c r="G223" s="301">
        <f t="shared" ca="1" si="3"/>
        <v>1019</v>
      </c>
      <c r="H223" s="256" t="s">
        <v>3304</v>
      </c>
      <c r="I223" s="256" t="s">
        <v>2637</v>
      </c>
      <c r="J223" s="256" t="s">
        <v>234</v>
      </c>
      <c r="K223" s="256">
        <v>190</v>
      </c>
      <c r="L223" s="256" t="s">
        <v>4051</v>
      </c>
      <c r="M223" s="256" t="s">
        <v>77</v>
      </c>
      <c r="N223" s="256" t="s">
        <v>3306</v>
      </c>
      <c r="O223" s="256" t="s">
        <v>3584</v>
      </c>
    </row>
    <row r="224" spans="1:15" s="296" customFormat="1" ht="19.95" customHeight="1" x14ac:dyDescent="0.3">
      <c r="A224" s="256" t="s">
        <v>3014</v>
      </c>
      <c r="B224" s="256" t="s">
        <v>3015</v>
      </c>
      <c r="C224" s="256" t="s">
        <v>165</v>
      </c>
      <c r="D224" s="256"/>
      <c r="E224" s="257">
        <v>44590</v>
      </c>
      <c r="F224" s="257">
        <v>44845</v>
      </c>
      <c r="G224" s="301">
        <f t="shared" ca="1" si="3"/>
        <v>1479</v>
      </c>
      <c r="H224" s="256" t="s">
        <v>3304</v>
      </c>
      <c r="I224" s="256" t="s">
        <v>2637</v>
      </c>
      <c r="J224" s="256" t="s">
        <v>234</v>
      </c>
      <c r="K224" s="256"/>
      <c r="L224" s="256" t="s">
        <v>4051</v>
      </c>
      <c r="M224" s="256" t="s">
        <v>77</v>
      </c>
      <c r="N224" s="256" t="s">
        <v>2631</v>
      </c>
      <c r="O224" s="256" t="s">
        <v>3482</v>
      </c>
    </row>
    <row r="225" spans="1:15" s="296" customFormat="1" ht="19.95" customHeight="1" x14ac:dyDescent="0.3">
      <c r="A225" s="272" t="s">
        <v>3016</v>
      </c>
      <c r="B225" s="272" t="s">
        <v>3017</v>
      </c>
      <c r="C225" s="272" t="s">
        <v>4044</v>
      </c>
      <c r="D225" s="256">
        <v>13</v>
      </c>
      <c r="E225" s="273">
        <v>45385</v>
      </c>
      <c r="F225" s="273">
        <v>45385</v>
      </c>
      <c r="G225" s="301">
        <f t="shared" ca="1" si="3"/>
        <v>684</v>
      </c>
      <c r="H225" s="256" t="s">
        <v>65</v>
      </c>
      <c r="I225" s="257" t="s">
        <v>2637</v>
      </c>
      <c r="J225" s="256" t="s">
        <v>234</v>
      </c>
      <c r="K225" s="256">
        <v>200</v>
      </c>
      <c r="L225" s="256" t="s">
        <v>4051</v>
      </c>
      <c r="M225" s="256" t="s">
        <v>77</v>
      </c>
      <c r="N225" s="256" t="s">
        <v>3808</v>
      </c>
      <c r="O225" s="256" t="s">
        <v>3809</v>
      </c>
    </row>
    <row r="226" spans="1:15" s="296" customFormat="1" ht="19.95" customHeight="1" x14ac:dyDescent="0.3">
      <c r="A226" s="256" t="s">
        <v>3018</v>
      </c>
      <c r="B226" s="256" t="s">
        <v>3019</v>
      </c>
      <c r="C226" s="256" t="s">
        <v>165</v>
      </c>
      <c r="D226" s="256">
        <v>64</v>
      </c>
      <c r="E226" s="257">
        <v>44852</v>
      </c>
      <c r="F226" s="257">
        <v>44854</v>
      </c>
      <c r="G226" s="301">
        <f t="shared" ca="1" si="3"/>
        <v>1217</v>
      </c>
      <c r="H226" s="256" t="s">
        <v>3304</v>
      </c>
      <c r="I226" s="256" t="s">
        <v>2637</v>
      </c>
      <c r="J226" s="256" t="s">
        <v>234</v>
      </c>
      <c r="K226" s="256">
        <v>350</v>
      </c>
      <c r="L226" s="256" t="s">
        <v>4051</v>
      </c>
      <c r="M226" s="256" t="s">
        <v>77</v>
      </c>
      <c r="N226" s="256" t="s">
        <v>2631</v>
      </c>
      <c r="O226" s="256" t="s">
        <v>3482</v>
      </c>
    </row>
    <row r="227" spans="1:15" s="296" customFormat="1" ht="19.95" customHeight="1" x14ac:dyDescent="0.3">
      <c r="A227" s="256" t="s">
        <v>3049</v>
      </c>
      <c r="B227" s="256" t="s">
        <v>3050</v>
      </c>
      <c r="C227" s="256" t="s">
        <v>2639</v>
      </c>
      <c r="D227" s="256">
        <v>68</v>
      </c>
      <c r="E227" s="257">
        <v>45324</v>
      </c>
      <c r="F227" s="257">
        <v>45325</v>
      </c>
      <c r="G227" s="301">
        <f t="shared" ca="1" si="3"/>
        <v>745</v>
      </c>
      <c r="H227" s="256" t="s">
        <v>68</v>
      </c>
      <c r="I227" s="257">
        <v>45421</v>
      </c>
      <c r="J227" s="256" t="s">
        <v>234</v>
      </c>
      <c r="K227" s="256">
        <v>80</v>
      </c>
      <c r="L227" s="256" t="s">
        <v>4051</v>
      </c>
      <c r="M227" s="256" t="s">
        <v>3305</v>
      </c>
      <c r="N227" s="256" t="s">
        <v>3305</v>
      </c>
      <c r="O227" s="256" t="s">
        <v>3585</v>
      </c>
    </row>
    <row r="228" spans="1:15" s="296" customFormat="1" ht="19.95" customHeight="1" x14ac:dyDescent="0.3">
      <c r="A228" s="256" t="s">
        <v>3022</v>
      </c>
      <c r="B228" s="256" t="s">
        <v>3023</v>
      </c>
      <c r="C228" s="256" t="s">
        <v>117</v>
      </c>
      <c r="D228" s="256">
        <v>47</v>
      </c>
      <c r="E228" s="257">
        <v>45272</v>
      </c>
      <c r="F228" s="257">
        <v>45274</v>
      </c>
      <c r="G228" s="301">
        <f t="shared" ca="1" si="3"/>
        <v>797</v>
      </c>
      <c r="H228" s="256" t="s">
        <v>3304</v>
      </c>
      <c r="I228" s="257" t="s">
        <v>2637</v>
      </c>
      <c r="J228" s="256" t="s">
        <v>234</v>
      </c>
      <c r="K228" s="256">
        <v>250</v>
      </c>
      <c r="L228" s="256" t="s">
        <v>4051</v>
      </c>
      <c r="M228" s="256" t="s">
        <v>77</v>
      </c>
      <c r="N228" s="256" t="s">
        <v>2631</v>
      </c>
      <c r="O228" s="256" t="s">
        <v>3482</v>
      </c>
    </row>
    <row r="229" spans="1:15" s="296" customFormat="1" ht="19.95" customHeight="1" x14ac:dyDescent="0.3">
      <c r="A229" s="272" t="s">
        <v>3868</v>
      </c>
      <c r="B229" s="272" t="s">
        <v>3869</v>
      </c>
      <c r="C229" s="272" t="s">
        <v>137</v>
      </c>
      <c r="D229" s="256"/>
      <c r="E229" s="273">
        <v>45409</v>
      </c>
      <c r="F229" s="273">
        <v>45412</v>
      </c>
      <c r="G229" s="301">
        <f t="shared" ca="1" si="3"/>
        <v>660</v>
      </c>
      <c r="H229" s="256" t="s">
        <v>41</v>
      </c>
      <c r="I229" s="256"/>
      <c r="J229" s="256" t="s">
        <v>234</v>
      </c>
      <c r="K229" s="256"/>
      <c r="L229" s="256" t="s">
        <v>4051</v>
      </c>
      <c r="M229" s="256" t="s">
        <v>41</v>
      </c>
      <c r="N229" s="256" t="s">
        <v>41</v>
      </c>
      <c r="O229" s="256" t="s">
        <v>4069</v>
      </c>
    </row>
    <row r="230" spans="1:15" s="296" customFormat="1" ht="19.95" customHeight="1" x14ac:dyDescent="0.3">
      <c r="A230" s="272" t="s">
        <v>3870</v>
      </c>
      <c r="B230" s="272" t="s">
        <v>3871</v>
      </c>
      <c r="C230" s="256" t="s">
        <v>3806</v>
      </c>
      <c r="D230" s="256">
        <v>79</v>
      </c>
      <c r="E230" s="273">
        <v>45413</v>
      </c>
      <c r="F230" s="273">
        <v>45415</v>
      </c>
      <c r="G230" s="301">
        <f t="shared" ca="1" si="3"/>
        <v>656</v>
      </c>
      <c r="H230" s="256" t="s">
        <v>65</v>
      </c>
      <c r="I230" s="257">
        <v>45419</v>
      </c>
      <c r="J230" s="256" t="s">
        <v>234</v>
      </c>
      <c r="K230" s="256">
        <v>150</v>
      </c>
      <c r="L230" s="256" t="s">
        <v>4051</v>
      </c>
      <c r="M230" s="256" t="s">
        <v>66</v>
      </c>
      <c r="N230" s="256" t="s">
        <v>66</v>
      </c>
      <c r="O230" s="256" t="s">
        <v>4070</v>
      </c>
    </row>
    <row r="231" spans="1:15" s="296" customFormat="1" ht="19.95" customHeight="1" x14ac:dyDescent="0.3">
      <c r="A231" s="256" t="s">
        <v>3024</v>
      </c>
      <c r="B231" s="256" t="s">
        <v>3025</v>
      </c>
      <c r="C231" s="256" t="s">
        <v>94</v>
      </c>
      <c r="D231" s="256">
        <v>78</v>
      </c>
      <c r="E231" s="257">
        <v>45216</v>
      </c>
      <c r="F231" s="257">
        <v>45218</v>
      </c>
      <c r="G231" s="301">
        <f t="shared" ca="1" si="3"/>
        <v>853</v>
      </c>
      <c r="H231" s="256" t="s">
        <v>65</v>
      </c>
      <c r="I231" s="256" t="s">
        <v>2637</v>
      </c>
      <c r="J231" s="256" t="s">
        <v>234</v>
      </c>
      <c r="K231" s="256">
        <v>150</v>
      </c>
      <c r="L231" s="256" t="s">
        <v>4051</v>
      </c>
      <c r="M231" s="256" t="s">
        <v>77</v>
      </c>
      <c r="N231" s="256" t="s">
        <v>67</v>
      </c>
      <c r="O231" s="256" t="s">
        <v>3587</v>
      </c>
    </row>
    <row r="232" spans="1:15" s="296" customFormat="1" ht="19.95" customHeight="1" x14ac:dyDescent="0.3">
      <c r="A232" s="256" t="s">
        <v>3026</v>
      </c>
      <c r="B232" s="256" t="s">
        <v>3027</v>
      </c>
      <c r="C232" s="256" t="s">
        <v>165</v>
      </c>
      <c r="D232" s="256">
        <v>72</v>
      </c>
      <c r="E232" s="257">
        <v>44835</v>
      </c>
      <c r="F232" s="257">
        <v>44845</v>
      </c>
      <c r="G232" s="301">
        <f t="shared" ca="1" si="3"/>
        <v>1234</v>
      </c>
      <c r="H232" s="256" t="s">
        <v>3304</v>
      </c>
      <c r="I232" s="256" t="s">
        <v>2637</v>
      </c>
      <c r="J232" s="256" t="s">
        <v>234</v>
      </c>
      <c r="K232" s="256">
        <v>350</v>
      </c>
      <c r="L232" s="256" t="s">
        <v>4051</v>
      </c>
      <c r="M232" s="256" t="s">
        <v>77</v>
      </c>
      <c r="N232" s="256" t="s">
        <v>2631</v>
      </c>
      <c r="O232" s="256" t="s">
        <v>3482</v>
      </c>
    </row>
    <row r="233" spans="1:15" s="296" customFormat="1" ht="19.95" customHeight="1" x14ac:dyDescent="0.3">
      <c r="A233" s="272" t="s">
        <v>3453</v>
      </c>
      <c r="B233" s="272" t="s">
        <v>3454</v>
      </c>
      <c r="C233" s="259" t="s">
        <v>4039</v>
      </c>
      <c r="D233" s="256">
        <v>10</v>
      </c>
      <c r="E233" s="273">
        <v>45404</v>
      </c>
      <c r="F233" s="273">
        <v>45405</v>
      </c>
      <c r="G233" s="301">
        <f t="shared" ca="1" si="3"/>
        <v>665</v>
      </c>
      <c r="H233" s="256" t="s">
        <v>65</v>
      </c>
      <c r="I233" s="257">
        <v>45419</v>
      </c>
      <c r="J233" s="256" t="s">
        <v>234</v>
      </c>
      <c r="K233" s="256">
        <v>100</v>
      </c>
      <c r="L233" s="256" t="s">
        <v>4051</v>
      </c>
      <c r="M233" s="256" t="s">
        <v>66</v>
      </c>
      <c r="N233" s="256" t="s">
        <v>66</v>
      </c>
      <c r="O233" s="256" t="s">
        <v>3607</v>
      </c>
    </row>
    <row r="234" spans="1:15" s="296" customFormat="1" ht="19.95" customHeight="1" x14ac:dyDescent="0.3">
      <c r="A234" s="256" t="s">
        <v>3028</v>
      </c>
      <c r="B234" s="256" t="s">
        <v>3029</v>
      </c>
      <c r="C234" s="272" t="s">
        <v>91</v>
      </c>
      <c r="D234" s="256">
        <v>130</v>
      </c>
      <c r="E234" s="257">
        <v>44601</v>
      </c>
      <c r="F234" s="257">
        <v>45370</v>
      </c>
      <c r="G234" s="301">
        <f t="shared" ca="1" si="3"/>
        <v>1468</v>
      </c>
      <c r="H234" s="256" t="s">
        <v>41</v>
      </c>
      <c r="I234" s="257" t="s">
        <v>2637</v>
      </c>
      <c r="J234" s="256" t="s">
        <v>234</v>
      </c>
      <c r="K234" s="256">
        <v>150</v>
      </c>
      <c r="L234" s="256" t="s">
        <v>4051</v>
      </c>
      <c r="M234" s="256" t="s">
        <v>41</v>
      </c>
      <c r="N234" s="256" t="s">
        <v>41</v>
      </c>
      <c r="O234" s="256" t="s">
        <v>3588</v>
      </c>
    </row>
    <row r="235" spans="1:15" s="296" customFormat="1" ht="19.95" customHeight="1" x14ac:dyDescent="0.3">
      <c r="A235" s="256" t="s">
        <v>3030</v>
      </c>
      <c r="B235" s="256" t="s">
        <v>3031</v>
      </c>
      <c r="C235" s="256" t="s">
        <v>162</v>
      </c>
      <c r="D235" s="256">
        <v>24</v>
      </c>
      <c r="E235" s="256">
        <v>44835</v>
      </c>
      <c r="F235" s="256">
        <v>44991</v>
      </c>
      <c r="G235" s="301">
        <f t="shared" ca="1" si="3"/>
        <v>1234</v>
      </c>
      <c r="H235" s="256" t="s">
        <v>3304</v>
      </c>
      <c r="I235" s="256" t="s">
        <v>2637</v>
      </c>
      <c r="J235" s="256" t="s">
        <v>234</v>
      </c>
      <c r="K235" s="256">
        <v>450</v>
      </c>
      <c r="L235" s="256" t="s">
        <v>4051</v>
      </c>
      <c r="M235" s="256" t="s">
        <v>77</v>
      </c>
      <c r="N235" s="256" t="s">
        <v>3306</v>
      </c>
      <c r="O235" s="256" t="s">
        <v>3589</v>
      </c>
    </row>
    <row r="236" spans="1:15" s="296" customFormat="1" ht="19.95" customHeight="1" x14ac:dyDescent="0.3">
      <c r="A236" s="256" t="s">
        <v>3032</v>
      </c>
      <c r="B236" s="256" t="s">
        <v>3033</v>
      </c>
      <c r="C236" s="256" t="s">
        <v>99</v>
      </c>
      <c r="D236" s="256">
        <v>47</v>
      </c>
      <c r="E236" s="257">
        <v>44564</v>
      </c>
      <c r="F236" s="257">
        <v>44564</v>
      </c>
      <c r="G236" s="301">
        <f t="shared" ca="1" si="3"/>
        <v>1505</v>
      </c>
      <c r="H236" s="256" t="s">
        <v>3304</v>
      </c>
      <c r="I236" s="256" t="s">
        <v>2637</v>
      </c>
      <c r="J236" s="256" t="s">
        <v>234</v>
      </c>
      <c r="K236" s="256">
        <v>100</v>
      </c>
      <c r="L236" s="256" t="s">
        <v>4051</v>
      </c>
      <c r="M236" s="256" t="s">
        <v>77</v>
      </c>
      <c r="N236" s="256" t="s">
        <v>2631</v>
      </c>
      <c r="O236" s="256" t="s">
        <v>3482</v>
      </c>
    </row>
    <row r="237" spans="1:15" s="296" customFormat="1" ht="19.95" customHeight="1" x14ac:dyDescent="0.3">
      <c r="A237" s="256" t="s">
        <v>3034</v>
      </c>
      <c r="B237" s="256" t="s">
        <v>3035</v>
      </c>
      <c r="C237" s="256" t="s">
        <v>99</v>
      </c>
      <c r="D237" s="256"/>
      <c r="E237" s="257">
        <v>44641</v>
      </c>
      <c r="F237" s="257">
        <v>44644</v>
      </c>
      <c r="G237" s="301">
        <f t="shared" ca="1" si="3"/>
        <v>1428</v>
      </c>
      <c r="H237" s="256" t="s">
        <v>3304</v>
      </c>
      <c r="I237" s="256" t="s">
        <v>2637</v>
      </c>
      <c r="J237" s="256" t="s">
        <v>234</v>
      </c>
      <c r="K237" s="256">
        <v>1500</v>
      </c>
      <c r="L237" s="256" t="s">
        <v>4051</v>
      </c>
      <c r="M237" s="256" t="s">
        <v>77</v>
      </c>
      <c r="N237" s="256" t="s">
        <v>2631</v>
      </c>
      <c r="O237" s="256" t="s">
        <v>3482</v>
      </c>
    </row>
    <row r="238" spans="1:15" s="296" customFormat="1" ht="19.95" customHeight="1" x14ac:dyDescent="0.3">
      <c r="A238" s="272" t="s">
        <v>3036</v>
      </c>
      <c r="B238" s="272" t="s">
        <v>3037</v>
      </c>
      <c r="C238" s="256" t="s">
        <v>165</v>
      </c>
      <c r="D238" s="256"/>
      <c r="E238" s="273">
        <v>45378</v>
      </c>
      <c r="F238" s="273">
        <v>45379</v>
      </c>
      <c r="G238" s="301">
        <f t="shared" ca="1" si="3"/>
        <v>691</v>
      </c>
      <c r="H238" s="256" t="s">
        <v>3304</v>
      </c>
      <c r="I238" s="256" t="s">
        <v>2637</v>
      </c>
      <c r="J238" s="256" t="s">
        <v>234</v>
      </c>
      <c r="K238" s="256"/>
      <c r="L238" s="256" t="s">
        <v>4051</v>
      </c>
      <c r="M238" s="256" t="s">
        <v>77</v>
      </c>
      <c r="N238" s="256" t="s">
        <v>70</v>
      </c>
      <c r="O238" s="256" t="s">
        <v>70</v>
      </c>
    </row>
    <row r="239" spans="1:15" s="296" customFormat="1" ht="19.95" customHeight="1" x14ac:dyDescent="0.3">
      <c r="A239" s="256" t="s">
        <v>3038</v>
      </c>
      <c r="B239" s="256" t="s">
        <v>3039</v>
      </c>
      <c r="C239" s="256" t="s">
        <v>136</v>
      </c>
      <c r="D239" s="256">
        <v>64</v>
      </c>
      <c r="E239" s="257">
        <v>45251</v>
      </c>
      <c r="F239" s="257">
        <v>45251</v>
      </c>
      <c r="G239" s="301">
        <f t="shared" ca="1" si="3"/>
        <v>818</v>
      </c>
      <c r="H239" s="256" t="s">
        <v>3304</v>
      </c>
      <c r="I239" s="256" t="s">
        <v>2637</v>
      </c>
      <c r="J239" s="256" t="s">
        <v>234</v>
      </c>
      <c r="K239" s="256">
        <v>220</v>
      </c>
      <c r="L239" s="256" t="s">
        <v>4051</v>
      </c>
      <c r="M239" s="256" t="s">
        <v>77</v>
      </c>
      <c r="N239" s="256" t="s">
        <v>2631</v>
      </c>
      <c r="O239" s="256" t="s">
        <v>3482</v>
      </c>
    </row>
    <row r="240" spans="1:15" s="296" customFormat="1" ht="19.95" customHeight="1" x14ac:dyDescent="0.3">
      <c r="A240" s="256" t="s">
        <v>3040</v>
      </c>
      <c r="B240" s="256" t="s">
        <v>3041</v>
      </c>
      <c r="C240" s="256" t="s">
        <v>136</v>
      </c>
      <c r="D240" s="256">
        <v>8</v>
      </c>
      <c r="E240" s="257">
        <v>45238</v>
      </c>
      <c r="F240" s="257">
        <v>45238</v>
      </c>
      <c r="G240" s="301">
        <f t="shared" ca="1" si="3"/>
        <v>831</v>
      </c>
      <c r="H240" s="256" t="s">
        <v>3304</v>
      </c>
      <c r="I240" s="256" t="s">
        <v>2637</v>
      </c>
      <c r="J240" s="256" t="s">
        <v>234</v>
      </c>
      <c r="K240" s="256">
        <v>570</v>
      </c>
      <c r="L240" s="256" t="s">
        <v>4051</v>
      </c>
      <c r="M240" s="256" t="s">
        <v>77</v>
      </c>
      <c r="N240" s="256" t="s">
        <v>2631</v>
      </c>
      <c r="O240" s="256" t="s">
        <v>3482</v>
      </c>
    </row>
    <row r="241" spans="1:15" s="296" customFormat="1" ht="19.95" customHeight="1" x14ac:dyDescent="0.3">
      <c r="A241" s="256" t="s">
        <v>2745</v>
      </c>
      <c r="B241" s="256" t="s">
        <v>2746</v>
      </c>
      <c r="C241" s="256" t="s">
        <v>94</v>
      </c>
      <c r="D241" s="256">
        <v>86</v>
      </c>
      <c r="E241" s="257">
        <v>45310</v>
      </c>
      <c r="F241" s="257">
        <v>45314</v>
      </c>
      <c r="G241" s="301">
        <f t="shared" ca="1" si="3"/>
        <v>759</v>
      </c>
      <c r="H241" s="256" t="s">
        <v>68</v>
      </c>
      <c r="I241" s="257">
        <v>45421</v>
      </c>
      <c r="J241" s="256" t="s">
        <v>234</v>
      </c>
      <c r="K241" s="256">
        <v>300</v>
      </c>
      <c r="L241" s="256" t="s">
        <v>4051</v>
      </c>
      <c r="M241" s="256" t="s">
        <v>3305</v>
      </c>
      <c r="N241" s="256" t="s">
        <v>3305</v>
      </c>
      <c r="O241" s="256" t="s">
        <v>3486</v>
      </c>
    </row>
    <row r="242" spans="1:15" s="296" customFormat="1" ht="19.95" customHeight="1" x14ac:dyDescent="0.3">
      <c r="A242" s="256" t="s">
        <v>3044</v>
      </c>
      <c r="B242" s="256" t="s">
        <v>3045</v>
      </c>
      <c r="C242" s="256" t="s">
        <v>94</v>
      </c>
      <c r="D242" s="256">
        <v>80</v>
      </c>
      <c r="E242" s="257">
        <v>44777</v>
      </c>
      <c r="F242" s="257">
        <v>45190</v>
      </c>
      <c r="G242" s="301">
        <f t="shared" ca="1" si="3"/>
        <v>1292</v>
      </c>
      <c r="H242" s="256" t="s">
        <v>3304</v>
      </c>
      <c r="I242" s="257" t="s">
        <v>2637</v>
      </c>
      <c r="J242" s="256" t="s">
        <v>234</v>
      </c>
      <c r="K242" s="256">
        <v>220</v>
      </c>
      <c r="L242" s="256" t="s">
        <v>4051</v>
      </c>
      <c r="M242" s="256" t="s">
        <v>77</v>
      </c>
      <c r="N242" s="256" t="s">
        <v>3306</v>
      </c>
      <c r="O242" s="256" t="s">
        <v>3591</v>
      </c>
    </row>
    <row r="243" spans="1:15" s="296" customFormat="1" ht="19.95" customHeight="1" x14ac:dyDescent="0.3">
      <c r="A243" s="272" t="s">
        <v>3872</v>
      </c>
      <c r="B243" s="272" t="s">
        <v>3873</v>
      </c>
      <c r="C243" s="256" t="s">
        <v>162</v>
      </c>
      <c r="D243" s="256"/>
      <c r="E243" s="273">
        <v>45414</v>
      </c>
      <c r="F243" s="273">
        <v>45415</v>
      </c>
      <c r="G243" s="301">
        <f t="shared" ca="1" si="3"/>
        <v>655</v>
      </c>
      <c r="H243" s="256" t="s">
        <v>63</v>
      </c>
      <c r="I243" s="256"/>
      <c r="J243" s="256" t="s">
        <v>234</v>
      </c>
      <c r="K243" s="256"/>
      <c r="L243" s="256" t="s">
        <v>4051</v>
      </c>
      <c r="M243" s="256" t="s">
        <v>63</v>
      </c>
      <c r="N243" s="256" t="s">
        <v>63</v>
      </c>
      <c r="O243" s="256"/>
    </row>
    <row r="244" spans="1:15" s="296" customFormat="1" ht="19.95" customHeight="1" x14ac:dyDescent="0.3">
      <c r="A244" s="276" t="s">
        <v>3451</v>
      </c>
      <c r="B244" s="276" t="s">
        <v>3452</v>
      </c>
      <c r="C244" s="259" t="s">
        <v>4039</v>
      </c>
      <c r="D244" s="256"/>
      <c r="E244" s="277">
        <v>45408</v>
      </c>
      <c r="F244" s="277">
        <v>45408</v>
      </c>
      <c r="G244" s="301">
        <f t="shared" ca="1" si="3"/>
        <v>661</v>
      </c>
      <c r="H244" s="256" t="s">
        <v>68</v>
      </c>
      <c r="I244" s="256" t="s">
        <v>2637</v>
      </c>
      <c r="J244" s="256" t="s">
        <v>234</v>
      </c>
      <c r="K244" s="256"/>
      <c r="L244" s="256" t="s">
        <v>4051</v>
      </c>
      <c r="M244" s="256" t="s">
        <v>77</v>
      </c>
      <c r="N244" s="256" t="s">
        <v>86</v>
      </c>
      <c r="O244" s="256" t="s">
        <v>3813</v>
      </c>
    </row>
    <row r="245" spans="1:15" s="296" customFormat="1" ht="19.95" customHeight="1" x14ac:dyDescent="0.3">
      <c r="A245" s="256" t="s">
        <v>3046</v>
      </c>
      <c r="B245" s="256" t="s">
        <v>3047</v>
      </c>
      <c r="C245" s="276" t="s">
        <v>93</v>
      </c>
      <c r="D245" s="256"/>
      <c r="E245" s="257">
        <v>45106</v>
      </c>
      <c r="F245" s="257">
        <v>45335</v>
      </c>
      <c r="G245" s="301">
        <f t="shared" ca="1" si="3"/>
        <v>963</v>
      </c>
      <c r="H245" s="256" t="s">
        <v>3304</v>
      </c>
      <c r="I245" s="256" t="s">
        <v>2637</v>
      </c>
      <c r="J245" s="256" t="s">
        <v>234</v>
      </c>
      <c r="K245" s="256"/>
      <c r="L245" s="256" t="s">
        <v>4051</v>
      </c>
      <c r="M245" s="256" t="s">
        <v>77</v>
      </c>
      <c r="N245" s="256" t="s">
        <v>2631</v>
      </c>
      <c r="O245" s="256" t="s">
        <v>3482</v>
      </c>
    </row>
    <row r="246" spans="1:15" s="296" customFormat="1" ht="19.95" customHeight="1" x14ac:dyDescent="0.3">
      <c r="A246" s="256"/>
      <c r="B246" s="256" t="s">
        <v>3048</v>
      </c>
      <c r="C246" s="276" t="s">
        <v>93</v>
      </c>
      <c r="D246" s="256"/>
      <c r="E246" s="257">
        <v>45188</v>
      </c>
      <c r="F246" s="257">
        <v>45189</v>
      </c>
      <c r="G246" s="301">
        <f t="shared" ca="1" si="3"/>
        <v>881</v>
      </c>
      <c r="H246" s="256" t="s">
        <v>3304</v>
      </c>
      <c r="I246" s="256" t="s">
        <v>2637</v>
      </c>
      <c r="J246" s="256" t="s">
        <v>234</v>
      </c>
      <c r="K246" s="256"/>
      <c r="L246" s="256" t="s">
        <v>4051</v>
      </c>
      <c r="M246" s="256" t="s">
        <v>77</v>
      </c>
      <c r="N246" s="256" t="s">
        <v>2631</v>
      </c>
      <c r="O246" s="256" t="s">
        <v>3482</v>
      </c>
    </row>
    <row r="247" spans="1:15" s="296" customFormat="1" ht="19.95" customHeight="1" x14ac:dyDescent="0.3">
      <c r="A247" s="272" t="s">
        <v>3782</v>
      </c>
      <c r="B247" s="272" t="s">
        <v>3783</v>
      </c>
      <c r="C247" s="272" t="s">
        <v>2515</v>
      </c>
      <c r="D247" s="256"/>
      <c r="E247" s="273">
        <v>45409</v>
      </c>
      <c r="F247" s="273">
        <v>45411</v>
      </c>
      <c r="G247" s="301">
        <f t="shared" ca="1" si="3"/>
        <v>660</v>
      </c>
      <c r="H247" s="256" t="s">
        <v>3304</v>
      </c>
      <c r="I247" s="256" t="s">
        <v>2637</v>
      </c>
      <c r="J247" s="256" t="s">
        <v>234</v>
      </c>
      <c r="K247" s="256"/>
      <c r="L247" s="256" t="s">
        <v>4051</v>
      </c>
      <c r="M247" s="256" t="s">
        <v>77</v>
      </c>
      <c r="N247" s="256" t="s">
        <v>70</v>
      </c>
      <c r="O247" s="256" t="s">
        <v>3497</v>
      </c>
    </row>
    <row r="248" spans="1:15" s="296" customFormat="1" ht="19.95" customHeight="1" x14ac:dyDescent="0.3">
      <c r="A248" s="256" t="s">
        <v>2925</v>
      </c>
      <c r="B248" s="256" t="s">
        <v>2926</v>
      </c>
      <c r="C248" s="256" t="s">
        <v>2638</v>
      </c>
      <c r="D248" s="256">
        <v>52</v>
      </c>
      <c r="E248" s="257">
        <v>45230</v>
      </c>
      <c r="F248" s="257">
        <v>45233</v>
      </c>
      <c r="G248" s="301">
        <f t="shared" ca="1" si="3"/>
        <v>839</v>
      </c>
      <c r="H248" s="256" t="s">
        <v>68</v>
      </c>
      <c r="I248" s="257">
        <v>45421</v>
      </c>
      <c r="J248" s="256" t="s">
        <v>234</v>
      </c>
      <c r="K248" s="256">
        <v>150</v>
      </c>
      <c r="L248" s="256" t="s">
        <v>4051</v>
      </c>
      <c r="M248" s="256" t="s">
        <v>3305</v>
      </c>
      <c r="N248" s="256" t="s">
        <v>3305</v>
      </c>
      <c r="O248" s="256" t="s">
        <v>3562</v>
      </c>
    </row>
    <row r="249" spans="1:15" s="296" customFormat="1" ht="19.95" customHeight="1" x14ac:dyDescent="0.3">
      <c r="A249" s="276" t="s">
        <v>3766</v>
      </c>
      <c r="B249" s="276" t="s">
        <v>3767</v>
      </c>
      <c r="C249" s="256" t="s">
        <v>97</v>
      </c>
      <c r="D249" s="256">
        <v>28</v>
      </c>
      <c r="E249" s="277">
        <v>45411</v>
      </c>
      <c r="F249" s="277">
        <v>45411</v>
      </c>
      <c r="G249" s="301">
        <f t="shared" ca="1" si="3"/>
        <v>658</v>
      </c>
      <c r="H249" s="256" t="s">
        <v>68</v>
      </c>
      <c r="I249" s="256" t="s">
        <v>2637</v>
      </c>
      <c r="J249" s="256" t="s">
        <v>234</v>
      </c>
      <c r="K249" s="256">
        <v>700</v>
      </c>
      <c r="L249" s="256" t="s">
        <v>4051</v>
      </c>
      <c r="M249" s="256" t="s">
        <v>77</v>
      </c>
      <c r="N249" s="256" t="s">
        <v>86</v>
      </c>
      <c r="O249" s="256" t="s">
        <v>4071</v>
      </c>
    </row>
    <row r="250" spans="1:15" s="296" customFormat="1" ht="19.95" customHeight="1" x14ac:dyDescent="0.3">
      <c r="A250" s="256" t="s">
        <v>2891</v>
      </c>
      <c r="B250" s="256" t="s">
        <v>2892</v>
      </c>
      <c r="C250" s="256" t="s">
        <v>2638</v>
      </c>
      <c r="D250" s="256">
        <v>68</v>
      </c>
      <c r="E250" s="257">
        <v>45152</v>
      </c>
      <c r="F250" s="257">
        <v>45190</v>
      </c>
      <c r="G250" s="301">
        <f t="shared" ca="1" si="3"/>
        <v>917</v>
      </c>
      <c r="H250" s="256" t="s">
        <v>68</v>
      </c>
      <c r="I250" s="257">
        <v>45421</v>
      </c>
      <c r="J250" s="256" t="s">
        <v>3751</v>
      </c>
      <c r="K250" s="256">
        <v>250</v>
      </c>
      <c r="L250" s="256" t="s">
        <v>4051</v>
      </c>
      <c r="M250" s="256" t="s">
        <v>3305</v>
      </c>
      <c r="N250" s="256" t="s">
        <v>3305</v>
      </c>
      <c r="O250" s="256" t="s">
        <v>3555</v>
      </c>
    </row>
    <row r="251" spans="1:15" s="296" customFormat="1" ht="19.95" customHeight="1" x14ac:dyDescent="0.3">
      <c r="A251" s="256" t="s">
        <v>3053</v>
      </c>
      <c r="B251" s="256" t="s">
        <v>3054</v>
      </c>
      <c r="C251" s="276" t="s">
        <v>93</v>
      </c>
      <c r="D251" s="256">
        <v>15</v>
      </c>
      <c r="E251" s="257">
        <v>45328</v>
      </c>
      <c r="F251" s="257">
        <v>45331</v>
      </c>
      <c r="G251" s="301">
        <f t="shared" ca="1" si="3"/>
        <v>741</v>
      </c>
      <c r="H251" s="256" t="s">
        <v>3304</v>
      </c>
      <c r="I251" s="257" t="s">
        <v>2637</v>
      </c>
      <c r="J251" s="256" t="s">
        <v>234</v>
      </c>
      <c r="K251" s="256">
        <v>550</v>
      </c>
      <c r="L251" s="256" t="s">
        <v>4051</v>
      </c>
      <c r="M251" s="256" t="s">
        <v>77</v>
      </c>
      <c r="N251" s="256" t="s">
        <v>2631</v>
      </c>
      <c r="O251" s="256" t="s">
        <v>3482</v>
      </c>
    </row>
    <row r="252" spans="1:15" s="296" customFormat="1" ht="19.95" customHeight="1" x14ac:dyDescent="0.3">
      <c r="A252" s="256" t="s">
        <v>3055</v>
      </c>
      <c r="B252" s="256" t="s">
        <v>3056</v>
      </c>
      <c r="C252" s="256" t="s">
        <v>164</v>
      </c>
      <c r="D252" s="256">
        <v>44</v>
      </c>
      <c r="E252" s="257">
        <v>45297</v>
      </c>
      <c r="F252" s="257">
        <v>45301</v>
      </c>
      <c r="G252" s="301">
        <f t="shared" ca="1" si="3"/>
        <v>772</v>
      </c>
      <c r="H252" s="256" t="s">
        <v>41</v>
      </c>
      <c r="I252" s="257" t="s">
        <v>2637</v>
      </c>
      <c r="J252" s="256" t="s">
        <v>234</v>
      </c>
      <c r="K252" s="256">
        <v>150</v>
      </c>
      <c r="L252" s="256" t="s">
        <v>4051</v>
      </c>
      <c r="M252" s="256" t="s">
        <v>41</v>
      </c>
      <c r="N252" s="256" t="s">
        <v>41</v>
      </c>
      <c r="O252" s="256" t="s">
        <v>3594</v>
      </c>
    </row>
    <row r="253" spans="1:15" s="296" customFormat="1" ht="19.95" customHeight="1" x14ac:dyDescent="0.3">
      <c r="A253" s="256" t="s">
        <v>3070</v>
      </c>
      <c r="B253" s="256" t="s">
        <v>3071</v>
      </c>
      <c r="C253" s="256" t="s">
        <v>2638</v>
      </c>
      <c r="D253" s="256">
        <v>51</v>
      </c>
      <c r="E253" s="257">
        <v>44838</v>
      </c>
      <c r="F253" s="257">
        <v>45190</v>
      </c>
      <c r="G253" s="301">
        <f t="shared" ca="1" si="3"/>
        <v>1231</v>
      </c>
      <c r="H253" s="256" t="s">
        <v>68</v>
      </c>
      <c r="I253" s="257">
        <v>45421</v>
      </c>
      <c r="J253" s="256" t="s">
        <v>3751</v>
      </c>
      <c r="K253" s="256">
        <v>100</v>
      </c>
      <c r="L253" s="256" t="s">
        <v>4051</v>
      </c>
      <c r="M253" s="256" t="s">
        <v>3305</v>
      </c>
      <c r="N253" s="256" t="s">
        <v>3305</v>
      </c>
      <c r="O253" s="256" t="s">
        <v>3592</v>
      </c>
    </row>
    <row r="254" spans="1:15" s="296" customFormat="1" ht="19.95" customHeight="1" x14ac:dyDescent="0.3">
      <c r="A254" s="259" t="s">
        <v>2949</v>
      </c>
      <c r="B254" s="259" t="s">
        <v>2950</v>
      </c>
      <c r="C254" s="256" t="s">
        <v>163</v>
      </c>
      <c r="D254" s="256">
        <v>93</v>
      </c>
      <c r="E254" s="260">
        <v>45341</v>
      </c>
      <c r="F254" s="260">
        <v>45343</v>
      </c>
      <c r="G254" s="301">
        <f t="shared" ca="1" si="3"/>
        <v>728</v>
      </c>
      <c r="H254" s="256" t="s">
        <v>65</v>
      </c>
      <c r="I254" s="257">
        <v>45419</v>
      </c>
      <c r="J254" s="256" t="s">
        <v>234</v>
      </c>
      <c r="K254" s="256">
        <v>150</v>
      </c>
      <c r="L254" s="256" t="s">
        <v>4051</v>
      </c>
      <c r="M254" s="256" t="s">
        <v>66</v>
      </c>
      <c r="N254" s="256" t="s">
        <v>66</v>
      </c>
      <c r="O254" s="256" t="s">
        <v>4072</v>
      </c>
    </row>
    <row r="255" spans="1:15" s="296" customFormat="1" ht="19.95" customHeight="1" x14ac:dyDescent="0.3">
      <c r="A255" s="256" t="s">
        <v>3058</v>
      </c>
      <c r="B255" s="256" t="s">
        <v>3059</v>
      </c>
      <c r="C255" s="256" t="s">
        <v>99</v>
      </c>
      <c r="D255" s="256"/>
      <c r="E255" s="257">
        <v>44924</v>
      </c>
      <c r="F255" s="257">
        <v>45236</v>
      </c>
      <c r="G255" s="301">
        <f t="shared" ca="1" si="3"/>
        <v>1145</v>
      </c>
      <c r="H255" s="256" t="s">
        <v>3304</v>
      </c>
      <c r="I255" s="256" t="s">
        <v>2637</v>
      </c>
      <c r="J255" s="256" t="s">
        <v>234</v>
      </c>
      <c r="K255" s="256"/>
      <c r="L255" s="256" t="s">
        <v>4051</v>
      </c>
      <c r="M255" s="256" t="s">
        <v>77</v>
      </c>
      <c r="N255" s="256" t="s">
        <v>2631</v>
      </c>
      <c r="O255" s="256" t="s">
        <v>3482</v>
      </c>
    </row>
    <row r="256" spans="1:15" s="296" customFormat="1" ht="19.95" customHeight="1" x14ac:dyDescent="0.3">
      <c r="A256" s="259" t="s">
        <v>3060</v>
      </c>
      <c r="B256" s="259" t="s">
        <v>3061</v>
      </c>
      <c r="C256" s="256" t="s">
        <v>94</v>
      </c>
      <c r="D256" s="256"/>
      <c r="E256" s="260">
        <v>45351</v>
      </c>
      <c r="F256" s="260">
        <v>45352</v>
      </c>
      <c r="G256" s="301">
        <f t="shared" ca="1" si="3"/>
        <v>718</v>
      </c>
      <c r="H256" s="256" t="s">
        <v>3304</v>
      </c>
      <c r="I256" s="257" t="s">
        <v>2637</v>
      </c>
      <c r="J256" s="256" t="s">
        <v>234</v>
      </c>
      <c r="K256" s="256"/>
      <c r="L256" s="256" t="s">
        <v>4051</v>
      </c>
      <c r="M256" s="256" t="s">
        <v>77</v>
      </c>
      <c r="N256" s="256" t="s">
        <v>70</v>
      </c>
      <c r="O256" s="256" t="s">
        <v>70</v>
      </c>
    </row>
    <row r="257" spans="1:15" s="296" customFormat="1" ht="19.95" customHeight="1" x14ac:dyDescent="0.3">
      <c r="A257" s="256" t="s">
        <v>3062</v>
      </c>
      <c r="B257" s="256" t="s">
        <v>3063</v>
      </c>
      <c r="C257" s="256" t="s">
        <v>97</v>
      </c>
      <c r="D257" s="256">
        <v>38</v>
      </c>
      <c r="E257" s="257">
        <v>45189</v>
      </c>
      <c r="F257" s="257">
        <v>45190</v>
      </c>
      <c r="G257" s="301">
        <f t="shared" ca="1" si="3"/>
        <v>880</v>
      </c>
      <c r="H257" s="256" t="s">
        <v>3304</v>
      </c>
      <c r="I257" s="256" t="s">
        <v>2637</v>
      </c>
      <c r="J257" s="256" t="s">
        <v>234</v>
      </c>
      <c r="K257" s="256">
        <v>340</v>
      </c>
      <c r="L257" s="256" t="s">
        <v>4051</v>
      </c>
      <c r="M257" s="256" t="s">
        <v>77</v>
      </c>
      <c r="N257" s="256" t="s">
        <v>3306</v>
      </c>
      <c r="O257" s="256" t="s">
        <v>3597</v>
      </c>
    </row>
    <row r="258" spans="1:15" s="296" customFormat="1" ht="19.95" customHeight="1" x14ac:dyDescent="0.3">
      <c r="A258" s="256" t="s">
        <v>3064</v>
      </c>
      <c r="B258" s="256" t="s">
        <v>3065</v>
      </c>
      <c r="C258" s="256" t="s">
        <v>136</v>
      </c>
      <c r="D258" s="256">
        <v>31</v>
      </c>
      <c r="E258" s="257">
        <v>45209</v>
      </c>
      <c r="F258" s="257">
        <v>45210</v>
      </c>
      <c r="G258" s="301">
        <f t="shared" ca="1" si="3"/>
        <v>860</v>
      </c>
      <c r="H258" s="256" t="s">
        <v>3304</v>
      </c>
      <c r="I258" s="256" t="s">
        <v>2637</v>
      </c>
      <c r="J258" s="256" t="s">
        <v>234</v>
      </c>
      <c r="K258" s="256">
        <v>450</v>
      </c>
      <c r="L258" s="256" t="s">
        <v>4051</v>
      </c>
      <c r="M258" s="256" t="s">
        <v>77</v>
      </c>
      <c r="N258" s="256" t="s">
        <v>3306</v>
      </c>
      <c r="O258" s="256" t="s">
        <v>3598</v>
      </c>
    </row>
    <row r="259" spans="1:15" s="296" customFormat="1" ht="19.95" customHeight="1" x14ac:dyDescent="0.3">
      <c r="A259" s="256" t="s">
        <v>3066</v>
      </c>
      <c r="B259" s="256" t="s">
        <v>3067</v>
      </c>
      <c r="C259" s="256" t="s">
        <v>94</v>
      </c>
      <c r="D259" s="256">
        <v>66</v>
      </c>
      <c r="E259" s="257">
        <v>45209</v>
      </c>
      <c r="F259" s="257">
        <v>45210</v>
      </c>
      <c r="G259" s="301">
        <f t="shared" ref="G259:G322" ca="1" si="4">TODAY()-E259</f>
        <v>860</v>
      </c>
      <c r="H259" s="256" t="s">
        <v>3304</v>
      </c>
      <c r="I259" s="256" t="s">
        <v>2637</v>
      </c>
      <c r="J259" s="256" t="s">
        <v>234</v>
      </c>
      <c r="K259" s="256">
        <v>200</v>
      </c>
      <c r="L259" s="256" t="s">
        <v>4051</v>
      </c>
      <c r="M259" s="256" t="s">
        <v>77</v>
      </c>
      <c r="N259" s="256" t="s">
        <v>2631</v>
      </c>
      <c r="O259" s="256" t="s">
        <v>3482</v>
      </c>
    </row>
    <row r="260" spans="1:15" s="296" customFormat="1" ht="19.95" customHeight="1" x14ac:dyDescent="0.3">
      <c r="A260" s="256" t="s">
        <v>3068</v>
      </c>
      <c r="B260" s="256" t="s">
        <v>3069</v>
      </c>
      <c r="C260" s="276" t="s">
        <v>93</v>
      </c>
      <c r="D260" s="256"/>
      <c r="E260" s="257">
        <v>45324</v>
      </c>
      <c r="F260" s="257">
        <v>45325</v>
      </c>
      <c r="G260" s="301">
        <f t="shared" ca="1" si="4"/>
        <v>745</v>
      </c>
      <c r="H260" s="256" t="s">
        <v>41</v>
      </c>
      <c r="I260" s="257" t="s">
        <v>2637</v>
      </c>
      <c r="J260" s="256" t="s">
        <v>234</v>
      </c>
      <c r="K260" s="256">
        <v>600</v>
      </c>
      <c r="L260" s="256" t="s">
        <v>4051</v>
      </c>
      <c r="M260" s="256" t="s">
        <v>41</v>
      </c>
      <c r="N260" s="256" t="s">
        <v>41</v>
      </c>
      <c r="O260" s="256" t="s">
        <v>3599</v>
      </c>
    </row>
    <row r="261" spans="1:15" s="296" customFormat="1" ht="19.95" customHeight="1" x14ac:dyDescent="0.3">
      <c r="A261" s="256" t="s">
        <v>3125</v>
      </c>
      <c r="B261" s="256" t="s">
        <v>3126</v>
      </c>
      <c r="C261" s="256" t="s">
        <v>2640</v>
      </c>
      <c r="D261" s="256">
        <v>25</v>
      </c>
      <c r="E261" s="257">
        <v>44672</v>
      </c>
      <c r="F261" s="257">
        <v>45190</v>
      </c>
      <c r="G261" s="301">
        <f t="shared" ca="1" si="4"/>
        <v>1397</v>
      </c>
      <c r="H261" s="256" t="s">
        <v>68</v>
      </c>
      <c r="I261" s="257">
        <v>45421</v>
      </c>
      <c r="J261" s="256" t="s">
        <v>234</v>
      </c>
      <c r="K261" s="256">
        <v>200</v>
      </c>
      <c r="L261" s="256" t="s">
        <v>4051</v>
      </c>
      <c r="M261" s="256" t="s">
        <v>3305</v>
      </c>
      <c r="N261" s="256" t="s">
        <v>3305</v>
      </c>
      <c r="O261" s="256" t="s">
        <v>3600</v>
      </c>
    </row>
    <row r="262" spans="1:15" s="296" customFormat="1" ht="19.95" customHeight="1" x14ac:dyDescent="0.3">
      <c r="A262" s="272" t="s">
        <v>3874</v>
      </c>
      <c r="B262" s="272" t="s">
        <v>3875</v>
      </c>
      <c r="C262" s="272" t="s">
        <v>118</v>
      </c>
      <c r="D262" s="256"/>
      <c r="E262" s="273">
        <v>45414</v>
      </c>
      <c r="F262" s="273">
        <v>45415</v>
      </c>
      <c r="G262" s="301">
        <f t="shared" ca="1" si="4"/>
        <v>655</v>
      </c>
      <c r="H262" s="256" t="s">
        <v>63</v>
      </c>
      <c r="I262" s="256"/>
      <c r="J262" s="256" t="s">
        <v>234</v>
      </c>
      <c r="K262" s="256"/>
      <c r="L262" s="256" t="s">
        <v>4051</v>
      </c>
      <c r="M262" s="256" t="s">
        <v>63</v>
      </c>
      <c r="N262" s="256" t="s">
        <v>63</v>
      </c>
      <c r="O262" s="256"/>
    </row>
    <row r="263" spans="1:15" s="296" customFormat="1" ht="19.95" customHeight="1" x14ac:dyDescent="0.3">
      <c r="A263" s="256" t="s">
        <v>3072</v>
      </c>
      <c r="B263" s="256" t="s">
        <v>3073</v>
      </c>
      <c r="C263" s="256" t="s">
        <v>94</v>
      </c>
      <c r="D263" s="256"/>
      <c r="E263" s="257">
        <v>45036</v>
      </c>
      <c r="F263" s="257">
        <v>45190</v>
      </c>
      <c r="G263" s="301">
        <f t="shared" ca="1" si="4"/>
        <v>1033</v>
      </c>
      <c r="H263" s="256" t="s">
        <v>3304</v>
      </c>
      <c r="I263" s="256" t="s">
        <v>2637</v>
      </c>
      <c r="J263" s="256" t="s">
        <v>234</v>
      </c>
      <c r="K263" s="256"/>
      <c r="L263" s="256" t="s">
        <v>4051</v>
      </c>
      <c r="M263" s="256" t="s">
        <v>77</v>
      </c>
      <c r="N263" s="256" t="s">
        <v>2631</v>
      </c>
      <c r="O263" s="256" t="s">
        <v>3482</v>
      </c>
    </row>
    <row r="264" spans="1:15" s="296" customFormat="1" ht="19.95" customHeight="1" x14ac:dyDescent="0.3">
      <c r="A264" s="256" t="s">
        <v>3074</v>
      </c>
      <c r="B264" s="256" t="s">
        <v>3075</v>
      </c>
      <c r="C264" s="256" t="s">
        <v>94</v>
      </c>
      <c r="D264" s="256"/>
      <c r="E264" s="257">
        <v>44888</v>
      </c>
      <c r="F264" s="257">
        <v>44893</v>
      </c>
      <c r="G264" s="301">
        <f t="shared" ca="1" si="4"/>
        <v>1181</v>
      </c>
      <c r="H264" s="256" t="s">
        <v>3304</v>
      </c>
      <c r="I264" s="256" t="s">
        <v>2637</v>
      </c>
      <c r="J264" s="256" t="s">
        <v>234</v>
      </c>
      <c r="K264" s="256">
        <v>2000</v>
      </c>
      <c r="L264" s="256" t="s">
        <v>4051</v>
      </c>
      <c r="M264" s="256" t="s">
        <v>77</v>
      </c>
      <c r="N264" s="256" t="s">
        <v>2631</v>
      </c>
      <c r="O264" s="256" t="s">
        <v>3482</v>
      </c>
    </row>
    <row r="265" spans="1:15" s="296" customFormat="1" ht="19.95" customHeight="1" x14ac:dyDescent="0.3">
      <c r="A265" s="272" t="s">
        <v>3459</v>
      </c>
      <c r="B265" s="272" t="s">
        <v>3460</v>
      </c>
      <c r="C265" s="256" t="s">
        <v>94</v>
      </c>
      <c r="D265" s="256">
        <v>25</v>
      </c>
      <c r="E265" s="273">
        <v>45407</v>
      </c>
      <c r="F265" s="273">
        <v>45409</v>
      </c>
      <c r="G265" s="301">
        <f t="shared" ca="1" si="4"/>
        <v>662</v>
      </c>
      <c r="H265" s="256" t="s">
        <v>68</v>
      </c>
      <c r="I265" s="257">
        <v>45422</v>
      </c>
      <c r="J265" s="256" t="s">
        <v>234</v>
      </c>
      <c r="K265" s="256">
        <v>100</v>
      </c>
      <c r="L265" s="256" t="s">
        <v>4051</v>
      </c>
      <c r="M265" s="256" t="s">
        <v>3305</v>
      </c>
      <c r="N265" s="256" t="s">
        <v>3305</v>
      </c>
      <c r="O265" s="256" t="s">
        <v>3814</v>
      </c>
    </row>
    <row r="266" spans="1:15" s="296" customFormat="1" ht="19.95" customHeight="1" x14ac:dyDescent="0.3">
      <c r="A266" s="272" t="s">
        <v>3876</v>
      </c>
      <c r="B266" s="272" t="s">
        <v>3877</v>
      </c>
      <c r="C266" s="272" t="s">
        <v>166</v>
      </c>
      <c r="D266" s="256"/>
      <c r="E266" s="273">
        <v>45414</v>
      </c>
      <c r="F266" s="273">
        <v>45416</v>
      </c>
      <c r="G266" s="301">
        <f t="shared" ca="1" si="4"/>
        <v>655</v>
      </c>
      <c r="H266" s="256" t="s">
        <v>63</v>
      </c>
      <c r="I266" s="256"/>
      <c r="J266" s="256" t="s">
        <v>234</v>
      </c>
      <c r="K266" s="256"/>
      <c r="L266" s="256" t="s">
        <v>4051</v>
      </c>
      <c r="M266" s="256" t="s">
        <v>63</v>
      </c>
      <c r="N266" s="256" t="s">
        <v>63</v>
      </c>
      <c r="O266" s="256"/>
    </row>
    <row r="267" spans="1:15" s="296" customFormat="1" ht="19.95" customHeight="1" x14ac:dyDescent="0.3">
      <c r="A267" s="276" t="s">
        <v>3078</v>
      </c>
      <c r="B267" s="276" t="s">
        <v>3079</v>
      </c>
      <c r="C267" s="256" t="s">
        <v>162</v>
      </c>
      <c r="D267" s="256">
        <v>72</v>
      </c>
      <c r="E267" s="277">
        <v>45398</v>
      </c>
      <c r="F267" s="277">
        <v>45400</v>
      </c>
      <c r="G267" s="301">
        <f t="shared" ca="1" si="4"/>
        <v>671</v>
      </c>
      <c r="H267" s="256" t="s">
        <v>65</v>
      </c>
      <c r="I267" s="266" t="s">
        <v>2637</v>
      </c>
      <c r="J267" s="256" t="s">
        <v>234</v>
      </c>
      <c r="K267" s="256">
        <v>370</v>
      </c>
      <c r="L267" s="256" t="s">
        <v>4051</v>
      </c>
      <c r="M267" s="256" t="s">
        <v>77</v>
      </c>
      <c r="N267" s="256" t="s">
        <v>70</v>
      </c>
      <c r="O267" s="256" t="s">
        <v>3602</v>
      </c>
    </row>
    <row r="268" spans="1:15" s="296" customFormat="1" ht="19.95" customHeight="1" x14ac:dyDescent="0.3">
      <c r="A268" s="256" t="s">
        <v>3080</v>
      </c>
      <c r="B268" s="256" t="s">
        <v>3081</v>
      </c>
      <c r="C268" s="256" t="s">
        <v>162</v>
      </c>
      <c r="D268" s="256"/>
      <c r="E268" s="257">
        <v>45240</v>
      </c>
      <c r="F268" s="257">
        <v>45240</v>
      </c>
      <c r="G268" s="301">
        <f t="shared" ca="1" si="4"/>
        <v>829</v>
      </c>
      <c r="H268" s="256" t="s">
        <v>3304</v>
      </c>
      <c r="I268" s="256" t="s">
        <v>2637</v>
      </c>
      <c r="J268" s="256" t="s">
        <v>234</v>
      </c>
      <c r="K268" s="256"/>
      <c r="L268" s="256" t="s">
        <v>4051</v>
      </c>
      <c r="M268" s="256" t="s">
        <v>77</v>
      </c>
      <c r="N268" s="256" t="s">
        <v>67</v>
      </c>
      <c r="O268" s="256" t="s">
        <v>67</v>
      </c>
    </row>
    <row r="269" spans="1:15" s="296" customFormat="1" ht="19.95" customHeight="1" x14ac:dyDescent="0.3">
      <c r="A269" s="272" t="s">
        <v>3197</v>
      </c>
      <c r="B269" s="272" t="s">
        <v>3198</v>
      </c>
      <c r="C269" s="272" t="s">
        <v>2641</v>
      </c>
      <c r="D269" s="256">
        <v>49</v>
      </c>
      <c r="E269" s="273">
        <v>45378</v>
      </c>
      <c r="F269" s="273">
        <v>45379</v>
      </c>
      <c r="G269" s="301">
        <f t="shared" ca="1" si="4"/>
        <v>691</v>
      </c>
      <c r="H269" s="256" t="s">
        <v>68</v>
      </c>
      <c r="I269" s="257">
        <v>45422</v>
      </c>
      <c r="J269" s="256" t="s">
        <v>234</v>
      </c>
      <c r="K269" s="256">
        <v>100</v>
      </c>
      <c r="L269" s="256" t="s">
        <v>4051</v>
      </c>
      <c r="M269" s="256" t="s">
        <v>3305</v>
      </c>
      <c r="N269" s="256" t="s">
        <v>3305</v>
      </c>
      <c r="O269" s="256" t="s">
        <v>3615</v>
      </c>
    </row>
    <row r="270" spans="1:15" s="296" customFormat="1" ht="19.95" customHeight="1" x14ac:dyDescent="0.3">
      <c r="A270" s="256"/>
      <c r="B270" s="256" t="s">
        <v>3082</v>
      </c>
      <c r="C270" s="276" t="s">
        <v>93</v>
      </c>
      <c r="D270" s="256"/>
      <c r="E270" s="257">
        <v>45188</v>
      </c>
      <c r="F270" s="257">
        <v>45189</v>
      </c>
      <c r="G270" s="301">
        <f t="shared" ca="1" si="4"/>
        <v>881</v>
      </c>
      <c r="H270" s="256" t="s">
        <v>3304</v>
      </c>
      <c r="I270" s="256" t="s">
        <v>2637</v>
      </c>
      <c r="J270" s="256" t="s">
        <v>234</v>
      </c>
      <c r="K270" s="256"/>
      <c r="L270" s="256" t="s">
        <v>4051</v>
      </c>
      <c r="M270" s="256" t="s">
        <v>77</v>
      </c>
      <c r="N270" s="256" t="s">
        <v>2631</v>
      </c>
      <c r="O270" s="256" t="s">
        <v>3482</v>
      </c>
    </row>
    <row r="271" spans="1:15" s="296" customFormat="1" ht="19.95" customHeight="1" x14ac:dyDescent="0.3">
      <c r="A271" s="272" t="s">
        <v>3878</v>
      </c>
      <c r="B271" s="272" t="s">
        <v>3879</v>
      </c>
      <c r="C271" s="256" t="s">
        <v>163</v>
      </c>
      <c r="D271" s="256">
        <v>53</v>
      </c>
      <c r="E271" s="273">
        <v>45413</v>
      </c>
      <c r="F271" s="273">
        <v>45415</v>
      </c>
      <c r="G271" s="301">
        <f t="shared" ca="1" si="4"/>
        <v>656</v>
      </c>
      <c r="H271" s="256" t="s">
        <v>65</v>
      </c>
      <c r="I271" s="257">
        <v>45419</v>
      </c>
      <c r="J271" s="256" t="s">
        <v>234</v>
      </c>
      <c r="K271" s="256">
        <v>400</v>
      </c>
      <c r="L271" s="256" t="s">
        <v>4051</v>
      </c>
      <c r="M271" s="256" t="s">
        <v>66</v>
      </c>
      <c r="N271" s="256" t="s">
        <v>66</v>
      </c>
      <c r="O271" s="256" t="s">
        <v>4073</v>
      </c>
    </row>
    <row r="272" spans="1:15" s="296" customFormat="1" ht="19.95" customHeight="1" x14ac:dyDescent="0.3">
      <c r="A272" s="256" t="s">
        <v>3085</v>
      </c>
      <c r="B272" s="256" t="s">
        <v>3086</v>
      </c>
      <c r="C272" s="256" t="s">
        <v>99</v>
      </c>
      <c r="D272" s="256">
        <v>61</v>
      </c>
      <c r="E272" s="257">
        <v>44757</v>
      </c>
      <c r="F272" s="257">
        <v>44834</v>
      </c>
      <c r="G272" s="301">
        <f t="shared" ca="1" si="4"/>
        <v>1312</v>
      </c>
      <c r="H272" s="256" t="s">
        <v>65</v>
      </c>
      <c r="I272" s="256" t="s">
        <v>2637</v>
      </c>
      <c r="J272" s="256" t="s">
        <v>234</v>
      </c>
      <c r="K272" s="256">
        <v>150</v>
      </c>
      <c r="L272" s="256" t="s">
        <v>4051</v>
      </c>
      <c r="M272" s="256" t="s">
        <v>77</v>
      </c>
      <c r="N272" s="256" t="s">
        <v>67</v>
      </c>
      <c r="O272" s="256" t="s">
        <v>3604</v>
      </c>
    </row>
    <row r="273" spans="1:15" s="296" customFormat="1" ht="19.95" customHeight="1" x14ac:dyDescent="0.3">
      <c r="A273" s="256" t="s">
        <v>3087</v>
      </c>
      <c r="B273" s="256" t="s">
        <v>3088</v>
      </c>
      <c r="C273" s="259" t="s">
        <v>103</v>
      </c>
      <c r="D273" s="256"/>
      <c r="E273" s="257">
        <v>44461</v>
      </c>
      <c r="F273" s="257">
        <v>44845</v>
      </c>
      <c r="G273" s="301">
        <f t="shared" ca="1" si="4"/>
        <v>1608</v>
      </c>
      <c r="H273" s="256" t="s">
        <v>3304</v>
      </c>
      <c r="I273" s="256" t="s">
        <v>2637</v>
      </c>
      <c r="J273" s="256" t="s">
        <v>234</v>
      </c>
      <c r="K273" s="256"/>
      <c r="L273" s="256" t="s">
        <v>4051</v>
      </c>
      <c r="M273" s="256" t="s">
        <v>77</v>
      </c>
      <c r="N273" s="256" t="s">
        <v>67</v>
      </c>
      <c r="O273" s="256" t="s">
        <v>3605</v>
      </c>
    </row>
    <row r="274" spans="1:15" s="296" customFormat="1" ht="19.95" customHeight="1" x14ac:dyDescent="0.3">
      <c r="A274" s="259" t="s">
        <v>3089</v>
      </c>
      <c r="B274" s="259" t="s">
        <v>3090</v>
      </c>
      <c r="C274" s="256" t="s">
        <v>100</v>
      </c>
      <c r="D274" s="256">
        <v>101</v>
      </c>
      <c r="E274" s="260">
        <v>45344</v>
      </c>
      <c r="F274" s="260">
        <v>45345</v>
      </c>
      <c r="G274" s="301">
        <f t="shared" ca="1" si="4"/>
        <v>725</v>
      </c>
      <c r="H274" s="256" t="s">
        <v>3304</v>
      </c>
      <c r="I274" s="257" t="s">
        <v>2637</v>
      </c>
      <c r="J274" s="256" t="s">
        <v>234</v>
      </c>
      <c r="K274" s="256">
        <v>100</v>
      </c>
      <c r="L274" s="256" t="s">
        <v>4051</v>
      </c>
      <c r="M274" s="256" t="s">
        <v>77</v>
      </c>
      <c r="N274" s="256" t="s">
        <v>2631</v>
      </c>
      <c r="O274" s="256" t="s">
        <v>3482</v>
      </c>
    </row>
    <row r="275" spans="1:15" s="296" customFormat="1" ht="19.95" customHeight="1" x14ac:dyDescent="0.3">
      <c r="A275" s="256" t="s">
        <v>3091</v>
      </c>
      <c r="B275" s="256" t="s">
        <v>3092</v>
      </c>
      <c r="C275" s="256" t="s">
        <v>97</v>
      </c>
      <c r="D275" s="256"/>
      <c r="E275" s="257">
        <v>44872</v>
      </c>
      <c r="F275" s="257">
        <v>44991</v>
      </c>
      <c r="G275" s="301">
        <f t="shared" ca="1" si="4"/>
        <v>1197</v>
      </c>
      <c r="H275" s="256" t="s">
        <v>3304</v>
      </c>
      <c r="I275" s="256" t="s">
        <v>2637</v>
      </c>
      <c r="J275" s="256" t="s">
        <v>234</v>
      </c>
      <c r="K275" s="256"/>
      <c r="L275" s="256" t="s">
        <v>4051</v>
      </c>
      <c r="M275" s="256" t="s">
        <v>77</v>
      </c>
      <c r="N275" s="256" t="s">
        <v>70</v>
      </c>
      <c r="O275" s="256" t="s">
        <v>70</v>
      </c>
    </row>
    <row r="276" spans="1:15" s="296" customFormat="1" ht="19.95" customHeight="1" x14ac:dyDescent="0.3">
      <c r="A276" s="256" t="s">
        <v>3093</v>
      </c>
      <c r="B276" s="256" t="s">
        <v>3094</v>
      </c>
      <c r="C276" s="256" t="s">
        <v>96</v>
      </c>
      <c r="D276" s="256">
        <v>18</v>
      </c>
      <c r="E276" s="257">
        <v>45215</v>
      </c>
      <c r="F276" s="257">
        <v>45216</v>
      </c>
      <c r="G276" s="301">
        <f t="shared" ca="1" si="4"/>
        <v>854</v>
      </c>
      <c r="H276" s="256" t="s">
        <v>3304</v>
      </c>
      <c r="I276" s="256" t="s">
        <v>2637</v>
      </c>
      <c r="J276" s="256" t="s">
        <v>234</v>
      </c>
      <c r="K276" s="256">
        <v>150</v>
      </c>
      <c r="L276" s="256" t="s">
        <v>4051</v>
      </c>
      <c r="M276" s="256" t="s">
        <v>77</v>
      </c>
      <c r="N276" s="256" t="s">
        <v>3306</v>
      </c>
      <c r="O276" s="256" t="s">
        <v>3606</v>
      </c>
    </row>
    <row r="277" spans="1:15" s="296" customFormat="1" ht="19.95" customHeight="1" x14ac:dyDescent="0.3">
      <c r="A277" s="272" t="s">
        <v>3465</v>
      </c>
      <c r="B277" s="272" t="s">
        <v>3466</v>
      </c>
      <c r="C277" s="256" t="s">
        <v>117</v>
      </c>
      <c r="D277" s="256">
        <v>52</v>
      </c>
      <c r="E277" s="273">
        <v>45408</v>
      </c>
      <c r="F277" s="273">
        <v>45409</v>
      </c>
      <c r="G277" s="301">
        <f t="shared" ca="1" si="4"/>
        <v>661</v>
      </c>
      <c r="H277" s="256" t="s">
        <v>65</v>
      </c>
      <c r="I277" s="257">
        <v>45419</v>
      </c>
      <c r="J277" s="256" t="s">
        <v>234</v>
      </c>
      <c r="K277" s="256">
        <v>300</v>
      </c>
      <c r="L277" s="256" t="s">
        <v>4051</v>
      </c>
      <c r="M277" s="256" t="s">
        <v>66</v>
      </c>
      <c r="N277" s="256" t="s">
        <v>66</v>
      </c>
      <c r="O277" s="256" t="s">
        <v>3816</v>
      </c>
    </row>
    <row r="278" spans="1:15" s="296" customFormat="1" ht="19.95" customHeight="1" x14ac:dyDescent="0.3">
      <c r="A278" s="256" t="s">
        <v>3095</v>
      </c>
      <c r="B278" s="256" t="s">
        <v>3096</v>
      </c>
      <c r="C278" s="256" t="s">
        <v>94</v>
      </c>
      <c r="D278" s="256">
        <v>29</v>
      </c>
      <c r="E278" s="257">
        <v>44767</v>
      </c>
      <c r="F278" s="257">
        <v>45190</v>
      </c>
      <c r="G278" s="301">
        <f t="shared" ca="1" si="4"/>
        <v>1302</v>
      </c>
      <c r="H278" s="256" t="s">
        <v>3304</v>
      </c>
      <c r="I278" s="256" t="s">
        <v>2637</v>
      </c>
      <c r="J278" s="256" t="s">
        <v>3751</v>
      </c>
      <c r="K278" s="256">
        <v>200</v>
      </c>
      <c r="L278" s="256" t="s">
        <v>4051</v>
      </c>
      <c r="M278" s="256" t="s">
        <v>77</v>
      </c>
      <c r="N278" s="256" t="s">
        <v>3306</v>
      </c>
      <c r="O278" s="256" t="s">
        <v>3608</v>
      </c>
    </row>
    <row r="279" spans="1:15" s="296" customFormat="1" ht="19.95" customHeight="1" x14ac:dyDescent="0.3">
      <c r="A279" s="256" t="s">
        <v>3097</v>
      </c>
      <c r="B279" s="256" t="s">
        <v>3098</v>
      </c>
      <c r="C279" s="256" t="s">
        <v>163</v>
      </c>
      <c r="D279" s="256">
        <v>4</v>
      </c>
      <c r="E279" s="257">
        <v>45166</v>
      </c>
      <c r="F279" s="257">
        <v>45167</v>
      </c>
      <c r="G279" s="301">
        <f t="shared" ca="1" si="4"/>
        <v>903</v>
      </c>
      <c r="H279" s="256" t="s">
        <v>65</v>
      </c>
      <c r="I279" s="256" t="s">
        <v>2637</v>
      </c>
      <c r="J279" s="256" t="s">
        <v>234</v>
      </c>
      <c r="K279" s="256">
        <v>350</v>
      </c>
      <c r="L279" s="256" t="s">
        <v>4051</v>
      </c>
      <c r="M279" s="256" t="s">
        <v>77</v>
      </c>
      <c r="N279" s="256" t="s">
        <v>67</v>
      </c>
      <c r="O279" s="256" t="s">
        <v>3609</v>
      </c>
    </row>
    <row r="280" spans="1:15" s="296" customFormat="1" ht="19.95" customHeight="1" x14ac:dyDescent="0.3">
      <c r="A280" s="256" t="s">
        <v>3099</v>
      </c>
      <c r="B280" s="256" t="s">
        <v>3100</v>
      </c>
      <c r="C280" s="256" t="s">
        <v>97</v>
      </c>
      <c r="D280" s="256">
        <v>30</v>
      </c>
      <c r="E280" s="257">
        <v>45125</v>
      </c>
      <c r="F280" s="257">
        <v>45190</v>
      </c>
      <c r="G280" s="301">
        <f t="shared" ca="1" si="4"/>
        <v>944</v>
      </c>
      <c r="H280" s="256" t="s">
        <v>3304</v>
      </c>
      <c r="I280" s="256" t="s">
        <v>2637</v>
      </c>
      <c r="J280" s="256" t="s">
        <v>3751</v>
      </c>
      <c r="K280" s="256">
        <v>450</v>
      </c>
      <c r="L280" s="256" t="s">
        <v>4051</v>
      </c>
      <c r="M280" s="256" t="s">
        <v>77</v>
      </c>
      <c r="N280" s="256" t="s">
        <v>3306</v>
      </c>
      <c r="O280" s="256" t="s">
        <v>3610</v>
      </c>
    </row>
    <row r="281" spans="1:15" s="296" customFormat="1" ht="19.95" customHeight="1" x14ac:dyDescent="0.3">
      <c r="A281" s="256" t="s">
        <v>3101</v>
      </c>
      <c r="B281" s="256" t="s">
        <v>3102</v>
      </c>
      <c r="C281" s="256" t="s">
        <v>163</v>
      </c>
      <c r="D281" s="256"/>
      <c r="E281" s="257">
        <v>44952</v>
      </c>
      <c r="F281" s="257">
        <v>45190</v>
      </c>
      <c r="G281" s="301">
        <f t="shared" ca="1" si="4"/>
        <v>1117</v>
      </c>
      <c r="H281" s="256" t="s">
        <v>3304</v>
      </c>
      <c r="I281" s="256" t="s">
        <v>2637</v>
      </c>
      <c r="J281" s="256" t="s">
        <v>234</v>
      </c>
      <c r="K281" s="256"/>
      <c r="L281" s="256" t="s">
        <v>4051</v>
      </c>
      <c r="M281" s="256" t="s">
        <v>77</v>
      </c>
      <c r="N281" s="256" t="s">
        <v>2631</v>
      </c>
      <c r="O281" s="256" t="s">
        <v>3482</v>
      </c>
    </row>
    <row r="282" spans="1:15" s="296" customFormat="1" ht="19.95" customHeight="1" x14ac:dyDescent="0.3">
      <c r="A282" s="256" t="s">
        <v>3103</v>
      </c>
      <c r="B282" s="256" t="s">
        <v>3104</v>
      </c>
      <c r="C282" s="256" t="s">
        <v>94</v>
      </c>
      <c r="D282" s="256"/>
      <c r="E282" s="257">
        <v>45240</v>
      </c>
      <c r="F282" s="257">
        <v>45240</v>
      </c>
      <c r="G282" s="301">
        <f t="shared" ca="1" si="4"/>
        <v>829</v>
      </c>
      <c r="H282" s="256" t="s">
        <v>3304</v>
      </c>
      <c r="I282" s="256" t="s">
        <v>2637</v>
      </c>
      <c r="J282" s="256" t="s">
        <v>234</v>
      </c>
      <c r="K282" s="256"/>
      <c r="L282" s="256" t="s">
        <v>4051</v>
      </c>
      <c r="M282" s="256" t="s">
        <v>77</v>
      </c>
      <c r="N282" s="256" t="s">
        <v>67</v>
      </c>
      <c r="O282" s="256" t="s">
        <v>67</v>
      </c>
    </row>
    <row r="283" spans="1:15" s="296" customFormat="1" ht="19.95" customHeight="1" x14ac:dyDescent="0.3">
      <c r="A283" s="259" t="s">
        <v>3218</v>
      </c>
      <c r="B283" s="259" t="s">
        <v>3219</v>
      </c>
      <c r="C283" s="256" t="s">
        <v>94</v>
      </c>
      <c r="D283" s="256">
        <v>92</v>
      </c>
      <c r="E283" s="260">
        <v>45351</v>
      </c>
      <c r="F283" s="260">
        <v>45352</v>
      </c>
      <c r="G283" s="301">
        <f t="shared" ca="1" si="4"/>
        <v>718</v>
      </c>
      <c r="H283" s="256" t="s">
        <v>68</v>
      </c>
      <c r="I283" s="257">
        <v>45422</v>
      </c>
      <c r="J283" s="256" t="s">
        <v>234</v>
      </c>
      <c r="K283" s="256">
        <v>400</v>
      </c>
      <c r="L283" s="256" t="s">
        <v>4051</v>
      </c>
      <c r="M283" s="256" t="s">
        <v>3305</v>
      </c>
      <c r="N283" s="256" t="s">
        <v>3305</v>
      </c>
      <c r="O283" s="256" t="s">
        <v>3550</v>
      </c>
    </row>
    <row r="284" spans="1:15" s="296" customFormat="1" ht="19.95" customHeight="1" x14ac:dyDescent="0.3">
      <c r="A284" s="256" t="s">
        <v>3105</v>
      </c>
      <c r="B284" s="256" t="s">
        <v>3106</v>
      </c>
      <c r="C284" s="259" t="s">
        <v>103</v>
      </c>
      <c r="D284" s="256"/>
      <c r="E284" s="257">
        <v>45075</v>
      </c>
      <c r="F284" s="257">
        <v>45077</v>
      </c>
      <c r="G284" s="301">
        <f t="shared" ca="1" si="4"/>
        <v>994</v>
      </c>
      <c r="H284" s="256" t="s">
        <v>3304</v>
      </c>
      <c r="I284" s="256" t="s">
        <v>2637</v>
      </c>
      <c r="J284" s="256" t="s">
        <v>234</v>
      </c>
      <c r="K284" s="256"/>
      <c r="L284" s="256" t="s">
        <v>4051</v>
      </c>
      <c r="M284" s="256" t="s">
        <v>77</v>
      </c>
      <c r="N284" s="256" t="s">
        <v>2631</v>
      </c>
      <c r="O284" s="256" t="s">
        <v>3482</v>
      </c>
    </row>
    <row r="285" spans="1:15" s="296" customFormat="1" ht="19.95" customHeight="1" x14ac:dyDescent="0.3">
      <c r="A285" s="256" t="s">
        <v>3107</v>
      </c>
      <c r="B285" s="256" t="s">
        <v>3108</v>
      </c>
      <c r="C285" s="256" t="s">
        <v>165</v>
      </c>
      <c r="D285" s="256"/>
      <c r="E285" s="257">
        <v>44590</v>
      </c>
      <c r="F285" s="257">
        <v>44845</v>
      </c>
      <c r="G285" s="301">
        <f t="shared" ca="1" si="4"/>
        <v>1479</v>
      </c>
      <c r="H285" s="256" t="s">
        <v>3304</v>
      </c>
      <c r="I285" s="256" t="s">
        <v>2637</v>
      </c>
      <c r="J285" s="256" t="s">
        <v>234</v>
      </c>
      <c r="K285" s="256"/>
      <c r="L285" s="256" t="s">
        <v>4051</v>
      </c>
      <c r="M285" s="256" t="s">
        <v>77</v>
      </c>
      <c r="N285" s="256" t="s">
        <v>2631</v>
      </c>
      <c r="O285" s="256" t="s">
        <v>3482</v>
      </c>
    </row>
    <row r="286" spans="1:15" s="296" customFormat="1" ht="19.95" customHeight="1" x14ac:dyDescent="0.3">
      <c r="A286" s="256" t="s">
        <v>3109</v>
      </c>
      <c r="B286" s="256" t="s">
        <v>3110</v>
      </c>
      <c r="C286" s="259" t="s">
        <v>103</v>
      </c>
      <c r="D286" s="256">
        <v>32</v>
      </c>
      <c r="E286" s="257">
        <v>44537</v>
      </c>
      <c r="F286" s="257">
        <v>44537</v>
      </c>
      <c r="G286" s="301">
        <f t="shared" ca="1" si="4"/>
        <v>1532</v>
      </c>
      <c r="H286" s="256" t="s">
        <v>3304</v>
      </c>
      <c r="I286" s="256" t="s">
        <v>2637</v>
      </c>
      <c r="J286" s="256" t="s">
        <v>234</v>
      </c>
      <c r="K286" s="256">
        <v>230</v>
      </c>
      <c r="L286" s="256" t="s">
        <v>4051</v>
      </c>
      <c r="M286" s="256" t="s">
        <v>77</v>
      </c>
      <c r="N286" s="256" t="s">
        <v>3306</v>
      </c>
      <c r="O286" s="256" t="s">
        <v>3611</v>
      </c>
    </row>
    <row r="287" spans="1:15" s="296" customFormat="1" ht="19.95" customHeight="1" x14ac:dyDescent="0.3">
      <c r="A287" s="256" t="s">
        <v>3111</v>
      </c>
      <c r="B287" s="256" t="s">
        <v>3112</v>
      </c>
      <c r="C287" s="256" t="s">
        <v>162</v>
      </c>
      <c r="D287" s="256"/>
      <c r="E287" s="257">
        <v>45096</v>
      </c>
      <c r="F287" s="257">
        <v>45097</v>
      </c>
      <c r="G287" s="301">
        <f t="shared" ca="1" si="4"/>
        <v>973</v>
      </c>
      <c r="H287" s="256" t="s">
        <v>3304</v>
      </c>
      <c r="I287" s="256" t="s">
        <v>2637</v>
      </c>
      <c r="J287" s="256" t="s">
        <v>234</v>
      </c>
      <c r="K287" s="256"/>
      <c r="L287" s="256" t="s">
        <v>4051</v>
      </c>
      <c r="M287" s="256" t="s">
        <v>77</v>
      </c>
      <c r="N287" s="256" t="s">
        <v>70</v>
      </c>
      <c r="O287" s="256" t="s">
        <v>67</v>
      </c>
    </row>
    <row r="288" spans="1:15" s="296" customFormat="1" ht="19.95" customHeight="1" x14ac:dyDescent="0.3">
      <c r="A288" s="272" t="s">
        <v>3113</v>
      </c>
      <c r="B288" s="272" t="s">
        <v>3114</v>
      </c>
      <c r="C288" s="256" t="s">
        <v>165</v>
      </c>
      <c r="D288" s="256"/>
      <c r="E288" s="273">
        <v>45374</v>
      </c>
      <c r="F288" s="273">
        <v>45376</v>
      </c>
      <c r="G288" s="301">
        <f t="shared" ca="1" si="4"/>
        <v>695</v>
      </c>
      <c r="H288" s="256" t="s">
        <v>3304</v>
      </c>
      <c r="I288" s="256" t="s">
        <v>2637</v>
      </c>
      <c r="J288" s="256" t="s">
        <v>234</v>
      </c>
      <c r="K288" s="256"/>
      <c r="L288" s="256" t="s">
        <v>4051</v>
      </c>
      <c r="M288" s="256" t="s">
        <v>77</v>
      </c>
      <c r="N288" s="256" t="s">
        <v>70</v>
      </c>
      <c r="O288" s="256" t="s">
        <v>70</v>
      </c>
    </row>
    <row r="289" spans="1:15" s="296" customFormat="1" ht="19.95" customHeight="1" x14ac:dyDescent="0.3">
      <c r="A289" s="256" t="s">
        <v>3115</v>
      </c>
      <c r="B289" s="256" t="s">
        <v>3116</v>
      </c>
      <c r="C289" s="256" t="s">
        <v>163</v>
      </c>
      <c r="D289" s="256"/>
      <c r="E289" s="257">
        <v>44560</v>
      </c>
      <c r="F289" s="257">
        <v>45083</v>
      </c>
      <c r="G289" s="301">
        <f t="shared" ca="1" si="4"/>
        <v>1509</v>
      </c>
      <c r="H289" s="256" t="s">
        <v>3304</v>
      </c>
      <c r="I289" s="256" t="s">
        <v>2637</v>
      </c>
      <c r="J289" s="256" t="s">
        <v>3751</v>
      </c>
      <c r="K289" s="256"/>
      <c r="L289" s="256" t="s">
        <v>4051</v>
      </c>
      <c r="M289" s="256" t="s">
        <v>77</v>
      </c>
      <c r="N289" s="256" t="s">
        <v>2631</v>
      </c>
      <c r="O289" s="256" t="s">
        <v>3482</v>
      </c>
    </row>
    <row r="290" spans="1:15" s="296" customFormat="1" ht="19.95" customHeight="1" x14ac:dyDescent="0.3">
      <c r="A290" s="276" t="s">
        <v>3117</v>
      </c>
      <c r="B290" s="276" t="s">
        <v>3118</v>
      </c>
      <c r="C290" s="256" t="s">
        <v>94</v>
      </c>
      <c r="D290" s="256">
        <v>77</v>
      </c>
      <c r="E290" s="277">
        <v>45278</v>
      </c>
      <c r="F290" s="277">
        <v>45279</v>
      </c>
      <c r="G290" s="301">
        <f t="shared" ca="1" si="4"/>
        <v>791</v>
      </c>
      <c r="H290" s="256" t="s">
        <v>65</v>
      </c>
      <c r="I290" s="266" t="s">
        <v>2637</v>
      </c>
      <c r="J290" s="256" t="s">
        <v>234</v>
      </c>
      <c r="K290" s="256">
        <v>700</v>
      </c>
      <c r="L290" s="265" t="s">
        <v>4051</v>
      </c>
      <c r="M290" s="256" t="s">
        <v>77</v>
      </c>
      <c r="N290" s="256" t="s">
        <v>3307</v>
      </c>
      <c r="O290" s="256" t="s">
        <v>3612</v>
      </c>
    </row>
    <row r="291" spans="1:15" s="296" customFormat="1" ht="19.95" customHeight="1" x14ac:dyDescent="0.3">
      <c r="A291" s="256" t="s">
        <v>3119</v>
      </c>
      <c r="B291" s="256" t="s">
        <v>3120</v>
      </c>
      <c r="C291" s="256" t="s">
        <v>94</v>
      </c>
      <c r="D291" s="256"/>
      <c r="E291" s="257">
        <v>45113</v>
      </c>
      <c r="F291" s="257">
        <v>45190</v>
      </c>
      <c r="G291" s="301">
        <f t="shared" ca="1" si="4"/>
        <v>956</v>
      </c>
      <c r="H291" s="256" t="s">
        <v>3304</v>
      </c>
      <c r="I291" s="256" t="s">
        <v>2637</v>
      </c>
      <c r="J291" s="256" t="s">
        <v>234</v>
      </c>
      <c r="K291" s="256"/>
      <c r="L291" s="256" t="s">
        <v>4051</v>
      </c>
      <c r="M291" s="256" t="s">
        <v>77</v>
      </c>
      <c r="N291" s="256" t="s">
        <v>67</v>
      </c>
      <c r="O291" s="256" t="s">
        <v>3613</v>
      </c>
    </row>
    <row r="292" spans="1:15" s="296" customFormat="1" ht="19.95" customHeight="1" x14ac:dyDescent="0.3">
      <c r="A292" s="256" t="s">
        <v>3121</v>
      </c>
      <c r="B292" s="256" t="s">
        <v>3122</v>
      </c>
      <c r="C292" s="256" t="s">
        <v>97</v>
      </c>
      <c r="D292" s="256"/>
      <c r="E292" s="257">
        <v>44576</v>
      </c>
      <c r="F292" s="257">
        <v>44582</v>
      </c>
      <c r="G292" s="301">
        <f t="shared" ca="1" si="4"/>
        <v>1493</v>
      </c>
      <c r="H292" s="256" t="s">
        <v>3304</v>
      </c>
      <c r="I292" s="256" t="s">
        <v>2637</v>
      </c>
      <c r="J292" s="256" t="s">
        <v>3752</v>
      </c>
      <c r="K292" s="256"/>
      <c r="L292" s="256" t="s">
        <v>4051</v>
      </c>
      <c r="M292" s="256" t="s">
        <v>77</v>
      </c>
      <c r="N292" s="256" t="s">
        <v>70</v>
      </c>
      <c r="O292" s="256" t="s">
        <v>3614</v>
      </c>
    </row>
    <row r="293" spans="1:15" s="296" customFormat="1" ht="19.95" customHeight="1" x14ac:dyDescent="0.3">
      <c r="A293" s="256" t="s">
        <v>3123</v>
      </c>
      <c r="B293" s="256" t="s">
        <v>3124</v>
      </c>
      <c r="C293" s="259" t="s">
        <v>103</v>
      </c>
      <c r="D293" s="256">
        <v>61</v>
      </c>
      <c r="E293" s="257">
        <v>45079</v>
      </c>
      <c r="F293" s="257">
        <v>45082</v>
      </c>
      <c r="G293" s="301">
        <f t="shared" ca="1" si="4"/>
        <v>990</v>
      </c>
      <c r="H293" s="256" t="s">
        <v>3304</v>
      </c>
      <c r="I293" s="256" t="s">
        <v>2637</v>
      </c>
      <c r="J293" s="256" t="s">
        <v>234</v>
      </c>
      <c r="K293" s="256">
        <v>320</v>
      </c>
      <c r="L293" s="256" t="s">
        <v>4051</v>
      </c>
      <c r="M293" s="256" t="s">
        <v>77</v>
      </c>
      <c r="N293" s="256" t="s">
        <v>2631</v>
      </c>
      <c r="O293" s="256" t="s">
        <v>3482</v>
      </c>
    </row>
    <row r="294" spans="1:15" s="296" customFormat="1" ht="19.95" customHeight="1" x14ac:dyDescent="0.3">
      <c r="A294" s="256" t="s">
        <v>3191</v>
      </c>
      <c r="B294" s="256" t="s">
        <v>3192</v>
      </c>
      <c r="C294" s="256" t="s">
        <v>2638</v>
      </c>
      <c r="D294" s="256">
        <v>64</v>
      </c>
      <c r="E294" s="257">
        <v>45335</v>
      </c>
      <c r="F294" s="257">
        <v>45336</v>
      </c>
      <c r="G294" s="301">
        <f t="shared" ca="1" si="4"/>
        <v>734</v>
      </c>
      <c r="H294" s="256" t="s">
        <v>68</v>
      </c>
      <c r="I294" s="257">
        <v>45422</v>
      </c>
      <c r="J294" s="256" t="s">
        <v>234</v>
      </c>
      <c r="K294" s="256">
        <v>80</v>
      </c>
      <c r="L294" s="256" t="s">
        <v>4051</v>
      </c>
      <c r="M294" s="256" t="s">
        <v>3305</v>
      </c>
      <c r="N294" s="256" t="s">
        <v>3305</v>
      </c>
      <c r="O294" s="256" t="s">
        <v>3601</v>
      </c>
    </row>
    <row r="295" spans="1:15" s="296" customFormat="1" ht="19.95" customHeight="1" x14ac:dyDescent="0.3">
      <c r="A295" s="256" t="s">
        <v>3127</v>
      </c>
      <c r="B295" s="256" t="s">
        <v>3128</v>
      </c>
      <c r="C295" s="256" t="s">
        <v>99</v>
      </c>
      <c r="D295" s="256"/>
      <c r="E295" s="257">
        <v>45322</v>
      </c>
      <c r="F295" s="257">
        <v>45323</v>
      </c>
      <c r="G295" s="301">
        <f t="shared" ca="1" si="4"/>
        <v>747</v>
      </c>
      <c r="H295" s="256" t="s">
        <v>3304</v>
      </c>
      <c r="I295" s="256" t="s">
        <v>2637</v>
      </c>
      <c r="J295" s="256" t="s">
        <v>234</v>
      </c>
      <c r="K295" s="256"/>
      <c r="L295" s="256" t="s">
        <v>4051</v>
      </c>
      <c r="M295" s="256" t="s">
        <v>77</v>
      </c>
      <c r="N295" s="256" t="s">
        <v>67</v>
      </c>
      <c r="O295" s="256"/>
    </row>
    <row r="296" spans="1:15" s="296" customFormat="1" ht="19.95" customHeight="1" x14ac:dyDescent="0.3">
      <c r="A296" s="256" t="s">
        <v>3129</v>
      </c>
      <c r="B296" s="256" t="s">
        <v>3130</v>
      </c>
      <c r="C296" s="256" t="s">
        <v>99</v>
      </c>
      <c r="D296" s="256">
        <v>7</v>
      </c>
      <c r="E296" s="257">
        <v>44601</v>
      </c>
      <c r="F296" s="257">
        <v>44601</v>
      </c>
      <c r="G296" s="301">
        <f t="shared" ca="1" si="4"/>
        <v>1468</v>
      </c>
      <c r="H296" s="256" t="s">
        <v>3304</v>
      </c>
      <c r="I296" s="256" t="s">
        <v>2637</v>
      </c>
      <c r="J296" s="256" t="s">
        <v>234</v>
      </c>
      <c r="K296" s="256">
        <v>400</v>
      </c>
      <c r="L296" s="256" t="s">
        <v>4051</v>
      </c>
      <c r="M296" s="256" t="s">
        <v>77</v>
      </c>
      <c r="N296" s="256" t="s">
        <v>2631</v>
      </c>
      <c r="O296" s="256" t="s">
        <v>3482</v>
      </c>
    </row>
    <row r="297" spans="1:15" s="296" customFormat="1" ht="19.95" customHeight="1" x14ac:dyDescent="0.3">
      <c r="A297" s="256" t="s">
        <v>3131</v>
      </c>
      <c r="B297" s="256" t="s">
        <v>3132</v>
      </c>
      <c r="C297" s="256" t="s">
        <v>117</v>
      </c>
      <c r="D297" s="256">
        <v>35</v>
      </c>
      <c r="E297" s="257">
        <v>45069</v>
      </c>
      <c r="F297" s="257">
        <v>45070</v>
      </c>
      <c r="G297" s="301">
        <f t="shared" ca="1" si="4"/>
        <v>1000</v>
      </c>
      <c r="H297" s="256" t="s">
        <v>3304</v>
      </c>
      <c r="I297" s="256" t="s">
        <v>2637</v>
      </c>
      <c r="J297" s="256" t="s">
        <v>234</v>
      </c>
      <c r="K297" s="256">
        <v>250</v>
      </c>
      <c r="L297" s="256" t="s">
        <v>4051</v>
      </c>
      <c r="M297" s="256" t="s">
        <v>77</v>
      </c>
      <c r="N297" s="256" t="s">
        <v>3306</v>
      </c>
      <c r="O297" s="256" t="s">
        <v>3616</v>
      </c>
    </row>
    <row r="298" spans="1:15" s="296" customFormat="1" ht="19.95" customHeight="1" x14ac:dyDescent="0.3">
      <c r="A298" s="272" t="s">
        <v>3133</v>
      </c>
      <c r="B298" s="272" t="s">
        <v>3134</v>
      </c>
      <c r="C298" s="259" t="s">
        <v>103</v>
      </c>
      <c r="D298" s="256"/>
      <c r="E298" s="273">
        <v>45374</v>
      </c>
      <c r="F298" s="273">
        <v>45376</v>
      </c>
      <c r="G298" s="301">
        <f t="shared" ca="1" si="4"/>
        <v>695</v>
      </c>
      <c r="H298" s="256" t="s">
        <v>3304</v>
      </c>
      <c r="I298" s="256" t="s">
        <v>2637</v>
      </c>
      <c r="J298" s="256" t="s">
        <v>234</v>
      </c>
      <c r="K298" s="256"/>
      <c r="L298" s="256" t="s">
        <v>4051</v>
      </c>
      <c r="M298" s="256" t="s">
        <v>77</v>
      </c>
      <c r="N298" s="256" t="s">
        <v>70</v>
      </c>
      <c r="O298" s="256" t="s">
        <v>3617</v>
      </c>
    </row>
    <row r="299" spans="1:15" s="296" customFormat="1" ht="19.95" customHeight="1" x14ac:dyDescent="0.3">
      <c r="A299" s="306" t="s">
        <v>3312</v>
      </c>
      <c r="B299" s="306" t="s">
        <v>3313</v>
      </c>
      <c r="C299" s="256" t="s">
        <v>94</v>
      </c>
      <c r="D299" s="256"/>
      <c r="E299" s="312">
        <v>45397</v>
      </c>
      <c r="F299" s="312">
        <v>45399</v>
      </c>
      <c r="G299" s="301">
        <f t="shared" ca="1" si="4"/>
        <v>672</v>
      </c>
      <c r="H299" s="256" t="s">
        <v>65</v>
      </c>
      <c r="I299" s="266" t="s">
        <v>2637</v>
      </c>
      <c r="J299" s="256" t="s">
        <v>234</v>
      </c>
      <c r="K299" s="256">
        <v>500</v>
      </c>
      <c r="L299" s="256" t="s">
        <v>4051</v>
      </c>
      <c r="M299" s="256" t="s">
        <v>77</v>
      </c>
      <c r="N299" s="256" t="s">
        <v>3808</v>
      </c>
      <c r="O299" s="256" t="s">
        <v>3809</v>
      </c>
    </row>
    <row r="300" spans="1:15" s="296" customFormat="1" ht="19.95" customHeight="1" x14ac:dyDescent="0.3">
      <c r="A300" s="256" t="s">
        <v>3135</v>
      </c>
      <c r="B300" s="256" t="s">
        <v>3136</v>
      </c>
      <c r="C300" s="256" t="s">
        <v>165</v>
      </c>
      <c r="D300" s="256"/>
      <c r="E300" s="257">
        <v>45218</v>
      </c>
      <c r="F300" s="257">
        <v>45219</v>
      </c>
      <c r="G300" s="301">
        <f t="shared" ca="1" si="4"/>
        <v>851</v>
      </c>
      <c r="H300" s="256" t="s">
        <v>3304</v>
      </c>
      <c r="I300" s="256" t="s">
        <v>2637</v>
      </c>
      <c r="J300" s="256" t="s">
        <v>234</v>
      </c>
      <c r="K300" s="256"/>
      <c r="L300" s="256" t="s">
        <v>4051</v>
      </c>
      <c r="M300" s="256" t="s">
        <v>77</v>
      </c>
      <c r="N300" s="256" t="s">
        <v>2631</v>
      </c>
      <c r="O300" s="256" t="s">
        <v>3482</v>
      </c>
    </row>
    <row r="301" spans="1:15" s="296" customFormat="1" ht="19.95" customHeight="1" x14ac:dyDescent="0.3">
      <c r="A301" s="256" t="s">
        <v>3137</v>
      </c>
      <c r="B301" s="256" t="s">
        <v>3138</v>
      </c>
      <c r="C301" s="256" t="s">
        <v>99</v>
      </c>
      <c r="D301" s="256">
        <v>75</v>
      </c>
      <c r="E301" s="257">
        <v>44855</v>
      </c>
      <c r="F301" s="257">
        <v>44856</v>
      </c>
      <c r="G301" s="301">
        <f t="shared" ca="1" si="4"/>
        <v>1214</v>
      </c>
      <c r="H301" s="256" t="s">
        <v>3304</v>
      </c>
      <c r="I301" s="256" t="s">
        <v>2637</v>
      </c>
      <c r="J301" s="256" t="s">
        <v>234</v>
      </c>
      <c r="K301" s="256">
        <v>700</v>
      </c>
      <c r="L301" s="256" t="s">
        <v>4051</v>
      </c>
      <c r="M301" s="256" t="s">
        <v>77</v>
      </c>
      <c r="N301" s="256" t="s">
        <v>2631</v>
      </c>
      <c r="O301" s="256" t="s">
        <v>3482</v>
      </c>
    </row>
    <row r="302" spans="1:15" s="296" customFormat="1" ht="19.95" customHeight="1" x14ac:dyDescent="0.3">
      <c r="A302" s="256" t="s">
        <v>3139</v>
      </c>
      <c r="B302" s="256" t="s">
        <v>3140</v>
      </c>
      <c r="C302" s="256" t="s">
        <v>163</v>
      </c>
      <c r="D302" s="256">
        <v>15</v>
      </c>
      <c r="E302" s="257">
        <v>45250</v>
      </c>
      <c r="F302" s="257">
        <v>45251</v>
      </c>
      <c r="G302" s="301">
        <f t="shared" ca="1" si="4"/>
        <v>819</v>
      </c>
      <c r="H302" s="256" t="s">
        <v>3304</v>
      </c>
      <c r="I302" s="256" t="s">
        <v>2637</v>
      </c>
      <c r="J302" s="256" t="s">
        <v>234</v>
      </c>
      <c r="K302" s="256">
        <v>120</v>
      </c>
      <c r="L302" s="256" t="s">
        <v>4051</v>
      </c>
      <c r="M302" s="256" t="s">
        <v>77</v>
      </c>
      <c r="N302" s="256" t="s">
        <v>2631</v>
      </c>
      <c r="O302" s="256" t="s">
        <v>3482</v>
      </c>
    </row>
    <row r="303" spans="1:15" s="296" customFormat="1" ht="19.95" customHeight="1" x14ac:dyDescent="0.3">
      <c r="A303" s="256" t="s">
        <v>3141</v>
      </c>
      <c r="B303" s="256" t="s">
        <v>3142</v>
      </c>
      <c r="C303" s="256" t="s">
        <v>94</v>
      </c>
      <c r="D303" s="256">
        <v>34</v>
      </c>
      <c r="E303" s="257">
        <v>44805</v>
      </c>
      <c r="F303" s="257">
        <v>45190</v>
      </c>
      <c r="G303" s="301">
        <f t="shared" ca="1" si="4"/>
        <v>1264</v>
      </c>
      <c r="H303" s="256" t="s">
        <v>3304</v>
      </c>
      <c r="I303" s="256" t="s">
        <v>2637</v>
      </c>
      <c r="J303" s="256" t="s">
        <v>3751</v>
      </c>
      <c r="K303" s="256">
        <v>600</v>
      </c>
      <c r="L303" s="256" t="s">
        <v>4051</v>
      </c>
      <c r="M303" s="256" t="s">
        <v>77</v>
      </c>
      <c r="N303" s="256" t="s">
        <v>3306</v>
      </c>
      <c r="O303" s="256" t="s">
        <v>3618</v>
      </c>
    </row>
    <row r="304" spans="1:15" s="296" customFormat="1" ht="19.95" customHeight="1" x14ac:dyDescent="0.3">
      <c r="A304" s="256" t="s">
        <v>3143</v>
      </c>
      <c r="B304" s="256" t="s">
        <v>3144</v>
      </c>
      <c r="C304" s="256" t="s">
        <v>94</v>
      </c>
      <c r="D304" s="256">
        <v>32</v>
      </c>
      <c r="E304" s="257">
        <v>44832</v>
      </c>
      <c r="F304" s="257">
        <v>45190</v>
      </c>
      <c r="G304" s="301">
        <f t="shared" ca="1" si="4"/>
        <v>1237</v>
      </c>
      <c r="H304" s="256" t="s">
        <v>3304</v>
      </c>
      <c r="I304" s="256" t="s">
        <v>2637</v>
      </c>
      <c r="J304" s="256" t="s">
        <v>3751</v>
      </c>
      <c r="K304" s="256">
        <v>350</v>
      </c>
      <c r="L304" s="256" t="s">
        <v>4051</v>
      </c>
      <c r="M304" s="256" t="s">
        <v>77</v>
      </c>
      <c r="N304" s="256" t="s">
        <v>3306</v>
      </c>
      <c r="O304" s="256" t="s">
        <v>3619</v>
      </c>
    </row>
    <row r="305" spans="1:15" s="296" customFormat="1" ht="19.95" customHeight="1" x14ac:dyDescent="0.3">
      <c r="A305" s="256" t="s">
        <v>3145</v>
      </c>
      <c r="B305" s="256" t="s">
        <v>3146</v>
      </c>
      <c r="C305" s="256" t="s">
        <v>136</v>
      </c>
      <c r="D305" s="256">
        <v>6</v>
      </c>
      <c r="E305" s="257">
        <v>45201</v>
      </c>
      <c r="F305" s="257">
        <v>45203</v>
      </c>
      <c r="G305" s="301">
        <f t="shared" ca="1" si="4"/>
        <v>868</v>
      </c>
      <c r="H305" s="256" t="s">
        <v>3304</v>
      </c>
      <c r="I305" s="256" t="s">
        <v>2637</v>
      </c>
      <c r="J305" s="256" t="s">
        <v>234</v>
      </c>
      <c r="K305" s="256">
        <v>300</v>
      </c>
      <c r="L305" s="256" t="s">
        <v>4051</v>
      </c>
      <c r="M305" s="256" t="s">
        <v>77</v>
      </c>
      <c r="N305" s="256" t="s">
        <v>3306</v>
      </c>
      <c r="O305" s="256" t="s">
        <v>3620</v>
      </c>
    </row>
    <row r="306" spans="1:15" s="296" customFormat="1" ht="19.95" customHeight="1" x14ac:dyDescent="0.3">
      <c r="A306" s="272" t="s">
        <v>3147</v>
      </c>
      <c r="B306" s="272" t="s">
        <v>3148</v>
      </c>
      <c r="C306" s="256" t="s">
        <v>100</v>
      </c>
      <c r="D306" s="256"/>
      <c r="E306" s="273">
        <v>45393</v>
      </c>
      <c r="F306" s="273">
        <v>45394</v>
      </c>
      <c r="G306" s="301">
        <f t="shared" ca="1" si="4"/>
        <v>676</v>
      </c>
      <c r="H306" s="256" t="s">
        <v>68</v>
      </c>
      <c r="I306" s="266" t="s">
        <v>2637</v>
      </c>
      <c r="J306" s="256" t="s">
        <v>234</v>
      </c>
      <c r="K306" s="256">
        <v>300</v>
      </c>
      <c r="L306" s="256" t="s">
        <v>4051</v>
      </c>
      <c r="M306" s="256" t="s">
        <v>77</v>
      </c>
      <c r="N306" s="256" t="s">
        <v>86</v>
      </c>
      <c r="O306" s="256" t="s">
        <v>3815</v>
      </c>
    </row>
    <row r="307" spans="1:15" s="296" customFormat="1" ht="19.95" customHeight="1" x14ac:dyDescent="0.3">
      <c r="A307" s="256" t="s">
        <v>3189</v>
      </c>
      <c r="B307" s="256" t="s">
        <v>3190</v>
      </c>
      <c r="C307" s="256" t="s">
        <v>94</v>
      </c>
      <c r="D307" s="256">
        <v>86</v>
      </c>
      <c r="E307" s="257">
        <v>45288</v>
      </c>
      <c r="F307" s="257">
        <v>45289</v>
      </c>
      <c r="G307" s="301">
        <f t="shared" ca="1" si="4"/>
        <v>781</v>
      </c>
      <c r="H307" s="256" t="s">
        <v>68</v>
      </c>
      <c r="I307" s="257">
        <v>45422</v>
      </c>
      <c r="J307" s="256" t="s">
        <v>234</v>
      </c>
      <c r="K307" s="256">
        <v>150</v>
      </c>
      <c r="L307" s="256" t="s">
        <v>4051</v>
      </c>
      <c r="M307" s="256" t="s">
        <v>3305</v>
      </c>
      <c r="N307" s="256" t="s">
        <v>3305</v>
      </c>
      <c r="O307" s="256" t="s">
        <v>3534</v>
      </c>
    </row>
    <row r="308" spans="1:15" s="296" customFormat="1" ht="19.95" customHeight="1" x14ac:dyDescent="0.3">
      <c r="A308" s="272" t="s">
        <v>3772</v>
      </c>
      <c r="B308" s="272" t="s">
        <v>3773</v>
      </c>
      <c r="C308" s="256" t="s">
        <v>117</v>
      </c>
      <c r="D308" s="256">
        <v>52</v>
      </c>
      <c r="E308" s="273">
        <v>45409</v>
      </c>
      <c r="F308" s="273">
        <v>45411</v>
      </c>
      <c r="G308" s="301">
        <f t="shared" ca="1" si="4"/>
        <v>660</v>
      </c>
      <c r="H308" s="256" t="s">
        <v>65</v>
      </c>
      <c r="I308" s="257">
        <v>45419</v>
      </c>
      <c r="J308" s="256" t="s">
        <v>234</v>
      </c>
      <c r="K308" s="256">
        <v>370</v>
      </c>
      <c r="L308" s="256" t="s">
        <v>4051</v>
      </c>
      <c r="M308" s="256" t="s">
        <v>66</v>
      </c>
      <c r="N308" s="256" t="s">
        <v>66</v>
      </c>
      <c r="O308" s="256" t="s">
        <v>4074</v>
      </c>
    </row>
    <row r="309" spans="1:15" s="296" customFormat="1" ht="19.95" customHeight="1" x14ac:dyDescent="0.3">
      <c r="A309" s="256" t="s">
        <v>3149</v>
      </c>
      <c r="B309" s="256" t="s">
        <v>3150</v>
      </c>
      <c r="C309" s="256" t="s">
        <v>162</v>
      </c>
      <c r="D309" s="256"/>
      <c r="E309" s="257">
        <v>45059</v>
      </c>
      <c r="F309" s="257">
        <v>45062</v>
      </c>
      <c r="G309" s="301">
        <f t="shared" ca="1" si="4"/>
        <v>1010</v>
      </c>
      <c r="H309" s="256" t="s">
        <v>3304</v>
      </c>
      <c r="I309" s="256" t="s">
        <v>2637</v>
      </c>
      <c r="J309" s="256" t="s">
        <v>234</v>
      </c>
      <c r="K309" s="256"/>
      <c r="L309" s="256" t="s">
        <v>4051</v>
      </c>
      <c r="M309" s="256" t="s">
        <v>77</v>
      </c>
      <c r="N309" s="256" t="s">
        <v>70</v>
      </c>
      <c r="O309" s="256" t="s">
        <v>70</v>
      </c>
    </row>
    <row r="310" spans="1:15" s="296" customFormat="1" ht="19.95" customHeight="1" x14ac:dyDescent="0.3">
      <c r="A310" s="259" t="s">
        <v>3151</v>
      </c>
      <c r="B310" s="259" t="s">
        <v>3152</v>
      </c>
      <c r="C310" s="256" t="s">
        <v>165</v>
      </c>
      <c r="D310" s="256"/>
      <c r="E310" s="260">
        <v>45335</v>
      </c>
      <c r="F310" s="260">
        <v>45352</v>
      </c>
      <c r="G310" s="301">
        <f t="shared" ca="1" si="4"/>
        <v>734</v>
      </c>
      <c r="H310" s="256" t="s">
        <v>3304</v>
      </c>
      <c r="I310" s="256" t="s">
        <v>2637</v>
      </c>
      <c r="J310" s="256" t="s">
        <v>234</v>
      </c>
      <c r="K310" s="256"/>
      <c r="L310" s="256"/>
      <c r="M310" s="256" t="s">
        <v>77</v>
      </c>
      <c r="N310" s="256" t="s">
        <v>2631</v>
      </c>
      <c r="O310" s="256"/>
    </row>
    <row r="311" spans="1:15" s="296" customFormat="1" ht="19.95" customHeight="1" x14ac:dyDescent="0.3">
      <c r="A311" s="256" t="s">
        <v>3153</v>
      </c>
      <c r="B311" s="256" t="s">
        <v>3154</v>
      </c>
      <c r="C311" s="256" t="s">
        <v>117</v>
      </c>
      <c r="D311" s="256">
        <v>26</v>
      </c>
      <c r="E311" s="257">
        <v>44620</v>
      </c>
      <c r="F311" s="257">
        <v>44859</v>
      </c>
      <c r="G311" s="301">
        <f t="shared" ca="1" si="4"/>
        <v>1449</v>
      </c>
      <c r="H311" s="256" t="s">
        <v>3304</v>
      </c>
      <c r="I311" s="256" t="s">
        <v>2637</v>
      </c>
      <c r="J311" s="256" t="s">
        <v>234</v>
      </c>
      <c r="K311" s="256">
        <v>530</v>
      </c>
      <c r="L311" s="256" t="s">
        <v>4051</v>
      </c>
      <c r="M311" s="256" t="s">
        <v>77</v>
      </c>
      <c r="N311" s="256" t="s">
        <v>2631</v>
      </c>
      <c r="O311" s="256" t="s">
        <v>3482</v>
      </c>
    </row>
    <row r="312" spans="1:15" s="296" customFormat="1" ht="19.95" customHeight="1" x14ac:dyDescent="0.3">
      <c r="A312" s="256" t="s">
        <v>3155</v>
      </c>
      <c r="B312" s="256" t="s">
        <v>3156</v>
      </c>
      <c r="C312" s="256" t="s">
        <v>136</v>
      </c>
      <c r="D312" s="256">
        <v>72</v>
      </c>
      <c r="E312" s="257">
        <v>45321</v>
      </c>
      <c r="F312" s="257">
        <v>45321</v>
      </c>
      <c r="G312" s="301">
        <f t="shared" ca="1" si="4"/>
        <v>748</v>
      </c>
      <c r="H312" s="256" t="s">
        <v>68</v>
      </c>
      <c r="I312" s="257">
        <v>45422</v>
      </c>
      <c r="J312" s="256" t="s">
        <v>234</v>
      </c>
      <c r="K312" s="256">
        <v>250</v>
      </c>
      <c r="L312" s="256" t="s">
        <v>4051</v>
      </c>
      <c r="M312" s="256" t="s">
        <v>3305</v>
      </c>
      <c r="N312" s="256" t="s">
        <v>3305</v>
      </c>
      <c r="O312" s="256" t="s">
        <v>3621</v>
      </c>
    </row>
    <row r="313" spans="1:15" s="296" customFormat="1" ht="19.95" customHeight="1" x14ac:dyDescent="0.3">
      <c r="A313" s="256" t="s">
        <v>3157</v>
      </c>
      <c r="B313" s="256" t="s">
        <v>3158</v>
      </c>
      <c r="C313" s="256" t="s">
        <v>94</v>
      </c>
      <c r="D313" s="256">
        <v>73</v>
      </c>
      <c r="E313" s="257">
        <v>45225</v>
      </c>
      <c r="F313" s="257">
        <v>45225</v>
      </c>
      <c r="G313" s="301">
        <f t="shared" ca="1" si="4"/>
        <v>844</v>
      </c>
      <c r="H313" s="256" t="s">
        <v>3304</v>
      </c>
      <c r="I313" s="257" t="s">
        <v>2637</v>
      </c>
      <c r="J313" s="256" t="s">
        <v>234</v>
      </c>
      <c r="K313" s="256">
        <v>500</v>
      </c>
      <c r="L313" s="256" t="s">
        <v>4051</v>
      </c>
      <c r="M313" s="256" t="s">
        <v>77</v>
      </c>
      <c r="N313" s="256" t="s">
        <v>2631</v>
      </c>
      <c r="O313" s="256" t="s">
        <v>3622</v>
      </c>
    </row>
    <row r="314" spans="1:15" s="296" customFormat="1" ht="19.95" customHeight="1" x14ac:dyDescent="0.3">
      <c r="A314" s="272" t="s">
        <v>3159</v>
      </c>
      <c r="B314" s="272" t="s">
        <v>3160</v>
      </c>
      <c r="C314" s="256" t="s">
        <v>162</v>
      </c>
      <c r="D314" s="256">
        <v>96</v>
      </c>
      <c r="E314" s="273">
        <v>45373</v>
      </c>
      <c r="F314" s="273">
        <v>45376</v>
      </c>
      <c r="G314" s="301">
        <f t="shared" ca="1" si="4"/>
        <v>696</v>
      </c>
      <c r="H314" s="256" t="s">
        <v>68</v>
      </c>
      <c r="I314" s="257">
        <v>45422</v>
      </c>
      <c r="J314" s="256" t="s">
        <v>234</v>
      </c>
      <c r="K314" s="256">
        <v>250</v>
      </c>
      <c r="L314" s="256" t="s">
        <v>4051</v>
      </c>
      <c r="M314" s="256" t="s">
        <v>3305</v>
      </c>
      <c r="N314" s="256" t="s">
        <v>3305</v>
      </c>
      <c r="O314" s="256" t="s">
        <v>3623</v>
      </c>
    </row>
    <row r="315" spans="1:15" s="296" customFormat="1" ht="19.95" customHeight="1" x14ac:dyDescent="0.3">
      <c r="A315" s="256" t="s">
        <v>3161</v>
      </c>
      <c r="B315" s="256" t="s">
        <v>3162</v>
      </c>
      <c r="C315" s="256" t="s">
        <v>165</v>
      </c>
      <c r="D315" s="256">
        <v>72</v>
      </c>
      <c r="E315" s="257">
        <v>44790</v>
      </c>
      <c r="F315" s="257">
        <v>44791</v>
      </c>
      <c r="G315" s="301">
        <f t="shared" ca="1" si="4"/>
        <v>1279</v>
      </c>
      <c r="H315" s="256" t="s">
        <v>3304</v>
      </c>
      <c r="I315" s="256" t="s">
        <v>2637</v>
      </c>
      <c r="J315" s="256" t="s">
        <v>234</v>
      </c>
      <c r="K315" s="256">
        <v>300</v>
      </c>
      <c r="L315" s="256" t="s">
        <v>4051</v>
      </c>
      <c r="M315" s="256" t="s">
        <v>77</v>
      </c>
      <c r="N315" s="256" t="s">
        <v>2631</v>
      </c>
      <c r="O315" s="256" t="s">
        <v>3482</v>
      </c>
    </row>
    <row r="316" spans="1:15" s="296" customFormat="1" ht="19.95" customHeight="1" x14ac:dyDescent="0.3">
      <c r="A316" s="272" t="s">
        <v>3880</v>
      </c>
      <c r="B316" s="272" t="s">
        <v>3881</v>
      </c>
      <c r="C316" s="259" t="s">
        <v>4039</v>
      </c>
      <c r="D316" s="256"/>
      <c r="E316" s="273">
        <v>45414</v>
      </c>
      <c r="F316" s="273">
        <v>45415</v>
      </c>
      <c r="G316" s="301">
        <f t="shared" ca="1" si="4"/>
        <v>655</v>
      </c>
      <c r="H316" s="256" t="s">
        <v>63</v>
      </c>
      <c r="I316" s="256"/>
      <c r="J316" s="256" t="s">
        <v>234</v>
      </c>
      <c r="K316" s="256"/>
      <c r="L316" s="256" t="s">
        <v>4051</v>
      </c>
      <c r="M316" s="256" t="s">
        <v>63</v>
      </c>
      <c r="N316" s="256" t="s">
        <v>63</v>
      </c>
      <c r="O316" s="256"/>
    </row>
    <row r="317" spans="1:15" s="296" customFormat="1" ht="19.95" customHeight="1" x14ac:dyDescent="0.3">
      <c r="A317" s="256" t="s">
        <v>3163</v>
      </c>
      <c r="B317" s="256" t="s">
        <v>3164</v>
      </c>
      <c r="C317" s="272" t="s">
        <v>2647</v>
      </c>
      <c r="D317" s="256">
        <v>6</v>
      </c>
      <c r="E317" s="257">
        <v>45237</v>
      </c>
      <c r="F317" s="257">
        <v>45237</v>
      </c>
      <c r="G317" s="301">
        <f t="shared" ca="1" si="4"/>
        <v>832</v>
      </c>
      <c r="H317" s="256" t="s">
        <v>68</v>
      </c>
      <c r="I317" s="257">
        <v>45422</v>
      </c>
      <c r="J317" s="256" t="s">
        <v>234</v>
      </c>
      <c r="K317" s="256">
        <v>80</v>
      </c>
      <c r="L317" s="256" t="s">
        <v>4051</v>
      </c>
      <c r="M317" s="256" t="s">
        <v>3305</v>
      </c>
      <c r="N317" s="256" t="s">
        <v>3305</v>
      </c>
      <c r="O317" s="256" t="s">
        <v>3640</v>
      </c>
    </row>
    <row r="318" spans="1:15" s="296" customFormat="1" ht="19.95" customHeight="1" x14ac:dyDescent="0.3">
      <c r="A318" s="306" t="s">
        <v>3300</v>
      </c>
      <c r="B318" s="306" t="s">
        <v>3301</v>
      </c>
      <c r="C318" s="256" t="s">
        <v>94</v>
      </c>
      <c r="D318" s="256"/>
      <c r="E318" s="312">
        <v>45401</v>
      </c>
      <c r="F318" s="312">
        <v>45402</v>
      </c>
      <c r="G318" s="301">
        <f t="shared" ca="1" si="4"/>
        <v>668</v>
      </c>
      <c r="H318" s="256" t="s">
        <v>68</v>
      </c>
      <c r="I318" s="256"/>
      <c r="J318" s="256" t="s">
        <v>234</v>
      </c>
      <c r="K318" s="256"/>
      <c r="L318" s="256" t="s">
        <v>4051</v>
      </c>
      <c r="M318" s="256" t="s">
        <v>77</v>
      </c>
      <c r="N318" s="306" t="s">
        <v>86</v>
      </c>
      <c r="O318" s="256" t="s">
        <v>3625</v>
      </c>
    </row>
    <row r="319" spans="1:15" s="296" customFormat="1" ht="19.95" customHeight="1" x14ac:dyDescent="0.3">
      <c r="A319" s="256" t="s">
        <v>3165</v>
      </c>
      <c r="B319" s="256" t="s">
        <v>3166</v>
      </c>
      <c r="C319" s="272" t="s">
        <v>101</v>
      </c>
      <c r="D319" s="256">
        <v>47</v>
      </c>
      <c r="E319" s="257">
        <v>45072</v>
      </c>
      <c r="F319" s="257">
        <v>45087</v>
      </c>
      <c r="G319" s="301">
        <f t="shared" ca="1" si="4"/>
        <v>997</v>
      </c>
      <c r="H319" s="256" t="s">
        <v>68</v>
      </c>
      <c r="I319" s="257">
        <v>45422</v>
      </c>
      <c r="J319" s="256" t="s">
        <v>234</v>
      </c>
      <c r="K319" s="256">
        <v>100</v>
      </c>
      <c r="L319" s="256" t="s">
        <v>4051</v>
      </c>
      <c r="M319" s="256" t="s">
        <v>3305</v>
      </c>
      <c r="N319" s="256" t="s">
        <v>3305</v>
      </c>
      <c r="O319" s="256" t="s">
        <v>3502</v>
      </c>
    </row>
    <row r="320" spans="1:15" s="296" customFormat="1" ht="19.95" customHeight="1" x14ac:dyDescent="0.3">
      <c r="A320" s="259" t="s">
        <v>3167</v>
      </c>
      <c r="B320" s="259" t="s">
        <v>3168</v>
      </c>
      <c r="C320" s="256" t="s">
        <v>100</v>
      </c>
      <c r="D320" s="256">
        <v>101</v>
      </c>
      <c r="E320" s="260">
        <v>45348</v>
      </c>
      <c r="F320" s="260">
        <v>45349</v>
      </c>
      <c r="G320" s="301">
        <f t="shared" ca="1" si="4"/>
        <v>721</v>
      </c>
      <c r="H320" s="256" t="s">
        <v>3304</v>
      </c>
      <c r="I320" s="257" t="s">
        <v>2637</v>
      </c>
      <c r="J320" s="256" t="s">
        <v>234</v>
      </c>
      <c r="K320" s="256">
        <v>100</v>
      </c>
      <c r="L320" s="256" t="s">
        <v>4051</v>
      </c>
      <c r="M320" s="256" t="s">
        <v>77</v>
      </c>
      <c r="N320" s="256" t="s">
        <v>2631</v>
      </c>
      <c r="O320" s="256" t="s">
        <v>3482</v>
      </c>
    </row>
    <row r="321" spans="1:15" s="296" customFormat="1" ht="19.95" customHeight="1" x14ac:dyDescent="0.3">
      <c r="A321" s="272" t="s">
        <v>3774</v>
      </c>
      <c r="B321" s="272" t="s">
        <v>3775</v>
      </c>
      <c r="C321" s="256" t="s">
        <v>117</v>
      </c>
      <c r="D321" s="256">
        <v>52</v>
      </c>
      <c r="E321" s="273">
        <v>45409</v>
      </c>
      <c r="F321" s="273">
        <v>45411</v>
      </c>
      <c r="G321" s="301">
        <f t="shared" ca="1" si="4"/>
        <v>660</v>
      </c>
      <c r="H321" s="256" t="s">
        <v>65</v>
      </c>
      <c r="I321" s="257">
        <v>45419</v>
      </c>
      <c r="J321" s="256" t="s">
        <v>234</v>
      </c>
      <c r="K321" s="256">
        <v>180</v>
      </c>
      <c r="L321" s="256" t="s">
        <v>4051</v>
      </c>
      <c r="M321" s="256" t="s">
        <v>66</v>
      </c>
      <c r="N321" s="256" t="s">
        <v>66</v>
      </c>
      <c r="O321" s="256" t="s">
        <v>4075</v>
      </c>
    </row>
    <row r="322" spans="1:15" s="296" customFormat="1" ht="19.95" customHeight="1" x14ac:dyDescent="0.3">
      <c r="A322" s="256" t="s">
        <v>3169</v>
      </c>
      <c r="B322" s="256" t="s">
        <v>3170</v>
      </c>
      <c r="C322" s="256" t="s">
        <v>163</v>
      </c>
      <c r="D322" s="256"/>
      <c r="E322" s="257">
        <v>45268</v>
      </c>
      <c r="F322" s="257">
        <v>45275</v>
      </c>
      <c r="G322" s="301">
        <f t="shared" ca="1" si="4"/>
        <v>801</v>
      </c>
      <c r="H322" s="256" t="s">
        <v>3304</v>
      </c>
      <c r="I322" s="256" t="s">
        <v>2637</v>
      </c>
      <c r="J322" s="256" t="s">
        <v>234</v>
      </c>
      <c r="K322" s="256"/>
      <c r="L322" s="256" t="s">
        <v>4051</v>
      </c>
      <c r="M322" s="256" t="s">
        <v>77</v>
      </c>
      <c r="N322" s="256" t="s">
        <v>2631</v>
      </c>
      <c r="O322" s="256" t="s">
        <v>3482</v>
      </c>
    </row>
    <row r="323" spans="1:15" s="296" customFormat="1" ht="19.95" customHeight="1" x14ac:dyDescent="0.3">
      <c r="A323" s="256" t="s">
        <v>3171</v>
      </c>
      <c r="B323" s="256" t="s">
        <v>3172</v>
      </c>
      <c r="C323" s="276" t="s">
        <v>93</v>
      </c>
      <c r="D323" s="256"/>
      <c r="E323" s="257">
        <v>44298</v>
      </c>
      <c r="F323" s="257">
        <v>44845</v>
      </c>
      <c r="G323" s="301">
        <f t="shared" ref="G323:G386" ca="1" si="5">TODAY()-E323</f>
        <v>1771</v>
      </c>
      <c r="H323" s="256" t="s">
        <v>3304</v>
      </c>
      <c r="I323" s="256" t="s">
        <v>2637</v>
      </c>
      <c r="J323" s="256" t="s">
        <v>3751</v>
      </c>
      <c r="K323" s="256"/>
      <c r="L323" s="256" t="s">
        <v>4051</v>
      </c>
      <c r="M323" s="256" t="s">
        <v>77</v>
      </c>
      <c r="N323" s="256" t="s">
        <v>70</v>
      </c>
      <c r="O323" s="256" t="s">
        <v>3614</v>
      </c>
    </row>
    <row r="324" spans="1:15" s="296" customFormat="1" ht="19.95" customHeight="1" x14ac:dyDescent="0.3">
      <c r="A324" s="256" t="s">
        <v>3173</v>
      </c>
      <c r="B324" s="256" t="s">
        <v>3174</v>
      </c>
      <c r="C324" s="256" t="s">
        <v>136</v>
      </c>
      <c r="D324" s="256"/>
      <c r="E324" s="257">
        <v>44818</v>
      </c>
      <c r="F324" s="257">
        <v>44823</v>
      </c>
      <c r="G324" s="301">
        <f t="shared" ca="1" si="5"/>
        <v>1251</v>
      </c>
      <c r="H324" s="256" t="s">
        <v>3304</v>
      </c>
      <c r="I324" s="256" t="s">
        <v>2637</v>
      </c>
      <c r="J324" s="256" t="s">
        <v>3751</v>
      </c>
      <c r="K324" s="256"/>
      <c r="L324" s="256" t="s">
        <v>4051</v>
      </c>
      <c r="M324" s="256" t="s">
        <v>77</v>
      </c>
      <c r="N324" s="256" t="s">
        <v>2631</v>
      </c>
      <c r="O324" s="256" t="s">
        <v>3482</v>
      </c>
    </row>
    <row r="325" spans="1:15" s="296" customFormat="1" ht="19.95" customHeight="1" x14ac:dyDescent="0.3">
      <c r="A325" s="272" t="s">
        <v>3882</v>
      </c>
      <c r="B325" s="272" t="s">
        <v>3883</v>
      </c>
      <c r="C325" s="276" t="s">
        <v>2648</v>
      </c>
      <c r="D325" s="256">
        <v>91</v>
      </c>
      <c r="E325" s="273">
        <v>45414</v>
      </c>
      <c r="F325" s="273">
        <v>45415</v>
      </c>
      <c r="G325" s="301">
        <f t="shared" ca="1" si="5"/>
        <v>655</v>
      </c>
      <c r="H325" s="256" t="s">
        <v>65</v>
      </c>
      <c r="I325" s="257">
        <v>45420</v>
      </c>
      <c r="J325" s="256" t="s">
        <v>234</v>
      </c>
      <c r="K325" s="256">
        <v>300</v>
      </c>
      <c r="L325" s="256" t="s">
        <v>4051</v>
      </c>
      <c r="M325" s="256" t="s">
        <v>66</v>
      </c>
      <c r="N325" s="256" t="s">
        <v>3308</v>
      </c>
      <c r="O325" s="256" t="s">
        <v>4076</v>
      </c>
    </row>
    <row r="326" spans="1:15" s="296" customFormat="1" ht="19.95" customHeight="1" x14ac:dyDescent="0.3">
      <c r="A326" s="272" t="s">
        <v>3884</v>
      </c>
      <c r="B326" s="272" t="s">
        <v>3885</v>
      </c>
      <c r="C326" s="272" t="s">
        <v>98</v>
      </c>
      <c r="D326" s="306">
        <v>9</v>
      </c>
      <c r="E326" s="273">
        <v>45413</v>
      </c>
      <c r="F326" s="273">
        <v>45415</v>
      </c>
      <c r="G326" s="301">
        <f t="shared" ca="1" si="5"/>
        <v>656</v>
      </c>
      <c r="H326" s="306" t="s">
        <v>65</v>
      </c>
      <c r="I326" s="257">
        <v>45419</v>
      </c>
      <c r="J326" s="272" t="s">
        <v>234</v>
      </c>
      <c r="K326" s="306">
        <v>150</v>
      </c>
      <c r="L326" s="272" t="s">
        <v>4051</v>
      </c>
      <c r="M326" s="306" t="s">
        <v>66</v>
      </c>
      <c r="N326" s="256" t="s">
        <v>66</v>
      </c>
      <c r="O326" s="306" t="s">
        <v>4077</v>
      </c>
    </row>
    <row r="327" spans="1:15" s="296" customFormat="1" ht="19.95" customHeight="1" x14ac:dyDescent="0.3">
      <c r="A327" s="259" t="s">
        <v>3177</v>
      </c>
      <c r="B327" s="259" t="s">
        <v>3178</v>
      </c>
      <c r="C327" s="256" t="s">
        <v>99</v>
      </c>
      <c r="D327" s="256"/>
      <c r="E327" s="260">
        <v>45357</v>
      </c>
      <c r="F327" s="260">
        <v>45362</v>
      </c>
      <c r="G327" s="301">
        <f t="shared" ca="1" si="5"/>
        <v>712</v>
      </c>
      <c r="H327" s="256" t="s">
        <v>3304</v>
      </c>
      <c r="I327" s="256" t="s">
        <v>2637</v>
      </c>
      <c r="J327" s="256" t="s">
        <v>234</v>
      </c>
      <c r="K327" s="256"/>
      <c r="L327" s="256" t="s">
        <v>4051</v>
      </c>
      <c r="M327" s="256" t="s">
        <v>77</v>
      </c>
      <c r="N327" s="256" t="s">
        <v>2631</v>
      </c>
      <c r="O327" s="256" t="s">
        <v>3482</v>
      </c>
    </row>
    <row r="328" spans="1:15" s="296" customFormat="1" ht="19.95" customHeight="1" x14ac:dyDescent="0.3">
      <c r="A328" s="256" t="s">
        <v>3179</v>
      </c>
      <c r="B328" s="256" t="s">
        <v>3180</v>
      </c>
      <c r="C328" s="256" t="s">
        <v>165</v>
      </c>
      <c r="D328" s="256">
        <v>87</v>
      </c>
      <c r="E328" s="257">
        <v>45244</v>
      </c>
      <c r="F328" s="257">
        <v>45246</v>
      </c>
      <c r="G328" s="301">
        <f t="shared" ca="1" si="5"/>
        <v>825</v>
      </c>
      <c r="H328" s="256" t="s">
        <v>3304</v>
      </c>
      <c r="I328" s="256" t="s">
        <v>2637</v>
      </c>
      <c r="J328" s="256" t="s">
        <v>234</v>
      </c>
      <c r="K328" s="256">
        <v>400</v>
      </c>
      <c r="L328" s="256" t="s">
        <v>4051</v>
      </c>
      <c r="M328" s="256" t="s">
        <v>77</v>
      </c>
      <c r="N328" s="256" t="s">
        <v>2631</v>
      </c>
      <c r="O328" s="256" t="s">
        <v>3482</v>
      </c>
    </row>
    <row r="329" spans="1:15" s="296" customFormat="1" ht="19.95" customHeight="1" x14ac:dyDescent="0.3">
      <c r="A329" s="256" t="s">
        <v>3181</v>
      </c>
      <c r="B329" s="256" t="s">
        <v>3182</v>
      </c>
      <c r="C329" s="256" t="s">
        <v>162</v>
      </c>
      <c r="D329" s="256"/>
      <c r="E329" s="257">
        <v>45309</v>
      </c>
      <c r="F329" s="257">
        <v>45309</v>
      </c>
      <c r="G329" s="301">
        <f t="shared" ca="1" si="5"/>
        <v>760</v>
      </c>
      <c r="H329" s="256" t="s">
        <v>3304</v>
      </c>
      <c r="I329" s="256" t="s">
        <v>2637</v>
      </c>
      <c r="J329" s="256" t="s">
        <v>234</v>
      </c>
      <c r="K329" s="256"/>
      <c r="L329" s="256" t="s">
        <v>4051</v>
      </c>
      <c r="M329" s="256" t="s">
        <v>77</v>
      </c>
      <c r="N329" s="256" t="s">
        <v>70</v>
      </c>
      <c r="O329" s="256"/>
    </row>
    <row r="330" spans="1:15" s="296" customFormat="1" ht="19.95" customHeight="1" x14ac:dyDescent="0.3">
      <c r="A330" s="256" t="s">
        <v>3183</v>
      </c>
      <c r="B330" s="256" t="s">
        <v>3184</v>
      </c>
      <c r="C330" s="256" t="s">
        <v>165</v>
      </c>
      <c r="D330" s="256"/>
      <c r="E330" s="257">
        <v>45162</v>
      </c>
      <c r="F330" s="257">
        <v>45162</v>
      </c>
      <c r="G330" s="301">
        <f t="shared" ca="1" si="5"/>
        <v>907</v>
      </c>
      <c r="H330" s="256" t="s">
        <v>3304</v>
      </c>
      <c r="I330" s="256" t="s">
        <v>2637</v>
      </c>
      <c r="J330" s="256" t="s">
        <v>234</v>
      </c>
      <c r="K330" s="256"/>
      <c r="L330" s="256" t="s">
        <v>4051</v>
      </c>
      <c r="M330" s="256" t="s">
        <v>77</v>
      </c>
      <c r="N330" s="256" t="s">
        <v>2631</v>
      </c>
      <c r="O330" s="256" t="s">
        <v>3482</v>
      </c>
    </row>
    <row r="331" spans="1:15" s="296" customFormat="1" ht="19.95" customHeight="1" x14ac:dyDescent="0.3">
      <c r="A331" s="256" t="s">
        <v>3185</v>
      </c>
      <c r="B331" s="256" t="s">
        <v>3186</v>
      </c>
      <c r="C331" s="256" t="s">
        <v>165</v>
      </c>
      <c r="D331" s="256"/>
      <c r="E331" s="257">
        <v>44554</v>
      </c>
      <c r="F331" s="257">
        <v>44575</v>
      </c>
      <c r="G331" s="301">
        <f t="shared" ca="1" si="5"/>
        <v>1515</v>
      </c>
      <c r="H331" s="256" t="s">
        <v>3304</v>
      </c>
      <c r="I331" s="256" t="s">
        <v>2637</v>
      </c>
      <c r="J331" s="256" t="s">
        <v>234</v>
      </c>
      <c r="K331" s="256"/>
      <c r="L331" s="256" t="s">
        <v>4051</v>
      </c>
      <c r="M331" s="256" t="s">
        <v>77</v>
      </c>
      <c r="N331" s="256" t="s">
        <v>2631</v>
      </c>
      <c r="O331" s="256" t="s">
        <v>3482</v>
      </c>
    </row>
    <row r="332" spans="1:15" s="296" customFormat="1" ht="19.95" customHeight="1" x14ac:dyDescent="0.3">
      <c r="A332" s="256" t="s">
        <v>3187</v>
      </c>
      <c r="B332" s="256" t="s">
        <v>3188</v>
      </c>
      <c r="C332" s="256" t="s">
        <v>165</v>
      </c>
      <c r="D332" s="256"/>
      <c r="E332" s="257">
        <v>44881</v>
      </c>
      <c r="F332" s="257">
        <v>44882</v>
      </c>
      <c r="G332" s="301">
        <f t="shared" ca="1" si="5"/>
        <v>1188</v>
      </c>
      <c r="H332" s="256" t="s">
        <v>3304</v>
      </c>
      <c r="I332" s="256" t="s">
        <v>2637</v>
      </c>
      <c r="J332" s="256" t="s">
        <v>234</v>
      </c>
      <c r="K332" s="256">
        <v>200</v>
      </c>
      <c r="L332" s="256" t="s">
        <v>4051</v>
      </c>
      <c r="M332" s="256" t="s">
        <v>77</v>
      </c>
      <c r="N332" s="256" t="s">
        <v>2631</v>
      </c>
      <c r="O332" s="256" t="s">
        <v>3482</v>
      </c>
    </row>
    <row r="333" spans="1:15" s="296" customFormat="1" ht="19.95" customHeight="1" x14ac:dyDescent="0.3">
      <c r="A333" s="256" t="s">
        <v>3224</v>
      </c>
      <c r="B333" s="256" t="s">
        <v>3225</v>
      </c>
      <c r="C333" s="256" t="s">
        <v>2638</v>
      </c>
      <c r="D333" s="256">
        <v>61</v>
      </c>
      <c r="E333" s="257">
        <v>45180</v>
      </c>
      <c r="F333" s="257">
        <v>45181</v>
      </c>
      <c r="G333" s="301">
        <f t="shared" ca="1" si="5"/>
        <v>889</v>
      </c>
      <c r="H333" s="256" t="s">
        <v>68</v>
      </c>
      <c r="I333" s="257">
        <v>45422</v>
      </c>
      <c r="J333" s="256" t="s">
        <v>234</v>
      </c>
      <c r="K333" s="256">
        <v>80</v>
      </c>
      <c r="L333" s="256" t="s">
        <v>4051</v>
      </c>
      <c r="M333" s="256" t="s">
        <v>3305</v>
      </c>
      <c r="N333" s="256" t="s">
        <v>3305</v>
      </c>
      <c r="O333" s="256" t="s">
        <v>3628</v>
      </c>
    </row>
    <row r="334" spans="1:15" s="296" customFormat="1" ht="19.95" customHeight="1" x14ac:dyDescent="0.3">
      <c r="A334" s="256" t="s">
        <v>3083</v>
      </c>
      <c r="B334" s="256" t="s">
        <v>3084</v>
      </c>
      <c r="C334" s="272" t="s">
        <v>100</v>
      </c>
      <c r="D334" s="256">
        <v>87</v>
      </c>
      <c r="E334" s="257">
        <v>45204</v>
      </c>
      <c r="F334" s="257">
        <v>45205</v>
      </c>
      <c r="G334" s="301">
        <f t="shared" ca="1" si="5"/>
        <v>865</v>
      </c>
      <c r="H334" s="256" t="s">
        <v>68</v>
      </c>
      <c r="I334" s="257">
        <v>45419</v>
      </c>
      <c r="J334" s="256" t="s">
        <v>234</v>
      </c>
      <c r="K334" s="256">
        <v>300</v>
      </c>
      <c r="L334" s="256" t="s">
        <v>4051</v>
      </c>
      <c r="M334" s="256" t="s">
        <v>66</v>
      </c>
      <c r="N334" s="256" t="s">
        <v>66</v>
      </c>
      <c r="O334" s="256" t="s">
        <v>3624</v>
      </c>
    </row>
    <row r="335" spans="1:15" s="296" customFormat="1" ht="19.95" customHeight="1" x14ac:dyDescent="0.3">
      <c r="A335" s="256" t="s">
        <v>3209</v>
      </c>
      <c r="B335" s="256" t="s">
        <v>3210</v>
      </c>
      <c r="C335" s="256" t="s">
        <v>162</v>
      </c>
      <c r="D335" s="256">
        <v>48</v>
      </c>
      <c r="E335" s="257">
        <v>45322</v>
      </c>
      <c r="F335" s="257">
        <v>45323</v>
      </c>
      <c r="G335" s="301">
        <f t="shared" ca="1" si="5"/>
        <v>747</v>
      </c>
      <c r="H335" s="256" t="s">
        <v>68</v>
      </c>
      <c r="I335" s="257">
        <v>45422</v>
      </c>
      <c r="J335" s="256" t="s">
        <v>234</v>
      </c>
      <c r="K335" s="256">
        <v>300</v>
      </c>
      <c r="L335" s="256" t="s">
        <v>4051</v>
      </c>
      <c r="M335" s="256" t="s">
        <v>3305</v>
      </c>
      <c r="N335" s="256" t="s">
        <v>3305</v>
      </c>
      <c r="O335" s="256" t="s">
        <v>3635</v>
      </c>
    </row>
    <row r="336" spans="1:15" s="296" customFormat="1" ht="19.95" customHeight="1" x14ac:dyDescent="0.3">
      <c r="A336" s="259" t="s">
        <v>3193</v>
      </c>
      <c r="B336" s="259" t="s">
        <v>3194</v>
      </c>
      <c r="C336" s="256" t="s">
        <v>117</v>
      </c>
      <c r="D336" s="256"/>
      <c r="E336" s="260">
        <v>45367</v>
      </c>
      <c r="F336" s="260">
        <v>45369</v>
      </c>
      <c r="G336" s="301">
        <f t="shared" ca="1" si="5"/>
        <v>702</v>
      </c>
      <c r="H336" s="256" t="s">
        <v>41</v>
      </c>
      <c r="I336" s="257" t="s">
        <v>2637</v>
      </c>
      <c r="J336" s="256" t="s">
        <v>234</v>
      </c>
      <c r="K336" s="256"/>
      <c r="L336" s="256" t="s">
        <v>4051</v>
      </c>
      <c r="M336" s="256" t="s">
        <v>41</v>
      </c>
      <c r="N336" s="256" t="s">
        <v>41</v>
      </c>
      <c r="O336" s="256" t="s">
        <v>3630</v>
      </c>
    </row>
    <row r="337" spans="1:15" s="296" customFormat="1" ht="19.95" customHeight="1" x14ac:dyDescent="0.3">
      <c r="A337" s="256" t="s">
        <v>3195</v>
      </c>
      <c r="B337" s="256" t="s">
        <v>3196</v>
      </c>
      <c r="C337" s="256" t="s">
        <v>163</v>
      </c>
      <c r="D337" s="256">
        <v>15</v>
      </c>
      <c r="E337" s="257">
        <v>45236</v>
      </c>
      <c r="F337" s="257">
        <v>45237</v>
      </c>
      <c r="G337" s="301">
        <f t="shared" ca="1" si="5"/>
        <v>833</v>
      </c>
      <c r="H337" s="256" t="s">
        <v>3304</v>
      </c>
      <c r="I337" s="256" t="s">
        <v>2637</v>
      </c>
      <c r="J337" s="256" t="s">
        <v>234</v>
      </c>
      <c r="K337" s="256">
        <v>80</v>
      </c>
      <c r="L337" s="256" t="s">
        <v>4051</v>
      </c>
      <c r="M337" s="256" t="s">
        <v>77</v>
      </c>
      <c r="N337" s="256" t="s">
        <v>2631</v>
      </c>
      <c r="O337" s="256" t="s">
        <v>3482</v>
      </c>
    </row>
    <row r="338" spans="1:15" s="296" customFormat="1" ht="19.95" customHeight="1" x14ac:dyDescent="0.3">
      <c r="A338" s="256" t="s">
        <v>3211</v>
      </c>
      <c r="B338" s="256" t="s">
        <v>3210</v>
      </c>
      <c r="C338" s="256" t="s">
        <v>162</v>
      </c>
      <c r="D338" s="256">
        <v>48</v>
      </c>
      <c r="E338" s="257">
        <v>45322</v>
      </c>
      <c r="F338" s="257">
        <v>45323</v>
      </c>
      <c r="G338" s="301">
        <f t="shared" ca="1" si="5"/>
        <v>747</v>
      </c>
      <c r="H338" s="256" t="s">
        <v>68</v>
      </c>
      <c r="I338" s="257">
        <v>45422</v>
      </c>
      <c r="J338" s="256" t="s">
        <v>234</v>
      </c>
      <c r="K338" s="256">
        <v>300</v>
      </c>
      <c r="L338" s="256" t="s">
        <v>4051</v>
      </c>
      <c r="M338" s="256" t="s">
        <v>3305</v>
      </c>
      <c r="N338" s="256" t="s">
        <v>3305</v>
      </c>
      <c r="O338" s="256" t="s">
        <v>3636</v>
      </c>
    </row>
    <row r="339" spans="1:15" s="296" customFormat="1" ht="19.95" customHeight="1" x14ac:dyDescent="0.3">
      <c r="A339" s="256" t="s">
        <v>3199</v>
      </c>
      <c r="B339" s="256" t="s">
        <v>3200</v>
      </c>
      <c r="C339" s="256" t="s">
        <v>165</v>
      </c>
      <c r="D339" s="256">
        <v>79</v>
      </c>
      <c r="E339" s="257">
        <v>45071</v>
      </c>
      <c r="F339" s="257">
        <v>45087</v>
      </c>
      <c r="G339" s="301">
        <f t="shared" ca="1" si="5"/>
        <v>998</v>
      </c>
      <c r="H339" s="256" t="s">
        <v>65</v>
      </c>
      <c r="I339" s="256" t="s">
        <v>2637</v>
      </c>
      <c r="J339" s="256" t="s">
        <v>234</v>
      </c>
      <c r="K339" s="256">
        <v>150</v>
      </c>
      <c r="L339" s="256" t="s">
        <v>4051</v>
      </c>
      <c r="M339" s="256" t="s">
        <v>77</v>
      </c>
      <c r="N339" s="256" t="s">
        <v>67</v>
      </c>
      <c r="O339" s="256" t="s">
        <v>3632</v>
      </c>
    </row>
    <row r="340" spans="1:15" s="296" customFormat="1" ht="19.95" customHeight="1" x14ac:dyDescent="0.3">
      <c r="A340" s="256" t="s">
        <v>3201</v>
      </c>
      <c r="B340" s="256" t="s">
        <v>3202</v>
      </c>
      <c r="C340" s="256" t="s">
        <v>163</v>
      </c>
      <c r="D340" s="256"/>
      <c r="E340" s="257">
        <v>44596</v>
      </c>
      <c r="F340" s="257">
        <v>45190</v>
      </c>
      <c r="G340" s="301">
        <f t="shared" ca="1" si="5"/>
        <v>1473</v>
      </c>
      <c r="H340" s="256" t="s">
        <v>3304</v>
      </c>
      <c r="I340" s="256" t="s">
        <v>2637</v>
      </c>
      <c r="J340" s="256" t="s">
        <v>3753</v>
      </c>
      <c r="K340" s="256"/>
      <c r="L340" s="256" t="s">
        <v>4051</v>
      </c>
      <c r="M340" s="256" t="s">
        <v>77</v>
      </c>
      <c r="N340" s="256" t="s">
        <v>2631</v>
      </c>
      <c r="O340" s="256" t="s">
        <v>3482</v>
      </c>
    </row>
    <row r="341" spans="1:15" s="296" customFormat="1" ht="19.95" customHeight="1" x14ac:dyDescent="0.3">
      <c r="A341" s="256" t="s">
        <v>3203</v>
      </c>
      <c r="B341" s="256" t="s">
        <v>3204</v>
      </c>
      <c r="C341" s="256" t="s">
        <v>162</v>
      </c>
      <c r="D341" s="256">
        <v>29</v>
      </c>
      <c r="E341" s="257">
        <v>44790</v>
      </c>
      <c r="F341" s="257">
        <v>44793</v>
      </c>
      <c r="G341" s="301">
        <f t="shared" ca="1" si="5"/>
        <v>1279</v>
      </c>
      <c r="H341" s="256" t="s">
        <v>3304</v>
      </c>
      <c r="I341" s="256" t="s">
        <v>2637</v>
      </c>
      <c r="J341" s="256" t="s">
        <v>234</v>
      </c>
      <c r="K341" s="256">
        <v>850</v>
      </c>
      <c r="L341" s="256" t="s">
        <v>4051</v>
      </c>
      <c r="M341" s="256" t="s">
        <v>77</v>
      </c>
      <c r="N341" s="256" t="s">
        <v>2631</v>
      </c>
      <c r="O341" s="256" t="s">
        <v>3482</v>
      </c>
    </row>
    <row r="342" spans="1:15" s="296" customFormat="1" ht="19.95" customHeight="1" x14ac:dyDescent="0.3">
      <c r="A342" s="272" t="s">
        <v>3886</v>
      </c>
      <c r="B342" s="272" t="s">
        <v>3887</v>
      </c>
      <c r="C342" s="272" t="s">
        <v>100</v>
      </c>
      <c r="D342" s="256">
        <v>87</v>
      </c>
      <c r="E342" s="273">
        <v>45407</v>
      </c>
      <c r="F342" s="273">
        <v>45412</v>
      </c>
      <c r="G342" s="301">
        <f t="shared" ca="1" si="5"/>
        <v>662</v>
      </c>
      <c r="H342" s="256" t="s">
        <v>65</v>
      </c>
      <c r="I342" s="257">
        <v>45419</v>
      </c>
      <c r="J342" s="256" t="s">
        <v>234</v>
      </c>
      <c r="K342" s="256">
        <v>400</v>
      </c>
      <c r="L342" s="256" t="s">
        <v>4051</v>
      </c>
      <c r="M342" s="256" t="s">
        <v>66</v>
      </c>
      <c r="N342" s="256" t="s">
        <v>66</v>
      </c>
      <c r="O342" s="256" t="s">
        <v>4078</v>
      </c>
    </row>
    <row r="343" spans="1:15" s="296" customFormat="1" ht="19.95" customHeight="1" x14ac:dyDescent="0.3">
      <c r="A343" s="256" t="s">
        <v>3207</v>
      </c>
      <c r="B343" s="256" t="s">
        <v>3208</v>
      </c>
      <c r="C343" s="256" t="s">
        <v>99</v>
      </c>
      <c r="D343" s="256">
        <v>54</v>
      </c>
      <c r="E343" s="257">
        <v>45067</v>
      </c>
      <c r="F343" s="257">
        <v>45068</v>
      </c>
      <c r="G343" s="301">
        <f t="shared" ca="1" si="5"/>
        <v>1002</v>
      </c>
      <c r="H343" s="256" t="s">
        <v>3304</v>
      </c>
      <c r="I343" s="256" t="s">
        <v>2637</v>
      </c>
      <c r="J343" s="256" t="s">
        <v>234</v>
      </c>
      <c r="K343" s="256">
        <v>400</v>
      </c>
      <c r="L343" s="256" t="s">
        <v>4051</v>
      </c>
      <c r="M343" s="256" t="s">
        <v>77</v>
      </c>
      <c r="N343" s="256" t="s">
        <v>3306</v>
      </c>
      <c r="O343" s="256" t="s">
        <v>3634</v>
      </c>
    </row>
    <row r="344" spans="1:15" s="296" customFormat="1" ht="19.95" customHeight="1" x14ac:dyDescent="0.3">
      <c r="A344" s="256" t="s">
        <v>3228</v>
      </c>
      <c r="B344" s="256" t="s">
        <v>3229</v>
      </c>
      <c r="C344" s="256" t="s">
        <v>2638</v>
      </c>
      <c r="D344" s="256">
        <v>27</v>
      </c>
      <c r="E344" s="257">
        <v>45120</v>
      </c>
      <c r="F344" s="257">
        <v>45124</v>
      </c>
      <c r="G344" s="301">
        <f t="shared" ca="1" si="5"/>
        <v>949</v>
      </c>
      <c r="H344" s="256" t="s">
        <v>68</v>
      </c>
      <c r="I344" s="257">
        <v>45422</v>
      </c>
      <c r="J344" s="256" t="s">
        <v>234</v>
      </c>
      <c r="K344" s="256">
        <v>100</v>
      </c>
      <c r="L344" s="256" t="s">
        <v>4051</v>
      </c>
      <c r="M344" s="256" t="s">
        <v>3305</v>
      </c>
      <c r="N344" s="256" t="s">
        <v>3305</v>
      </c>
      <c r="O344" s="256" t="s">
        <v>3629</v>
      </c>
    </row>
    <row r="345" spans="1:15" s="296" customFormat="1" ht="19.95" customHeight="1" x14ac:dyDescent="0.3">
      <c r="A345" s="256" t="s">
        <v>3220</v>
      </c>
      <c r="B345" s="256" t="s">
        <v>3221</v>
      </c>
      <c r="C345" s="272" t="s">
        <v>101</v>
      </c>
      <c r="D345" s="256">
        <v>50</v>
      </c>
      <c r="E345" s="257">
        <v>45325</v>
      </c>
      <c r="F345" s="257">
        <v>45328</v>
      </c>
      <c r="G345" s="301">
        <f t="shared" ca="1" si="5"/>
        <v>744</v>
      </c>
      <c r="H345" s="256" t="s">
        <v>68</v>
      </c>
      <c r="I345" s="257">
        <v>45422</v>
      </c>
      <c r="J345" s="256" t="s">
        <v>234</v>
      </c>
      <c r="K345" s="256">
        <v>200</v>
      </c>
      <c r="L345" s="256" t="s">
        <v>4051</v>
      </c>
      <c r="M345" s="256" t="s">
        <v>3305</v>
      </c>
      <c r="N345" s="256" t="s">
        <v>3305</v>
      </c>
      <c r="O345" s="256" t="s">
        <v>3603</v>
      </c>
    </row>
    <row r="346" spans="1:15" s="296" customFormat="1" ht="19.95" customHeight="1" x14ac:dyDescent="0.3">
      <c r="A346" s="256" t="s">
        <v>3212</v>
      </c>
      <c r="B346" s="256" t="s">
        <v>3213</v>
      </c>
      <c r="C346" s="259" t="s">
        <v>103</v>
      </c>
      <c r="D346" s="256">
        <v>53</v>
      </c>
      <c r="E346" s="257">
        <v>45057</v>
      </c>
      <c r="F346" s="257">
        <v>45058</v>
      </c>
      <c r="G346" s="301">
        <f t="shared" ca="1" si="5"/>
        <v>1012</v>
      </c>
      <c r="H346" s="256" t="s">
        <v>65</v>
      </c>
      <c r="I346" s="256" t="s">
        <v>2637</v>
      </c>
      <c r="J346" s="256" t="s">
        <v>234</v>
      </c>
      <c r="K346" s="256">
        <v>200</v>
      </c>
      <c r="L346" s="256" t="s">
        <v>4051</v>
      </c>
      <c r="M346" s="256" t="s">
        <v>77</v>
      </c>
      <c r="N346" s="256" t="s">
        <v>70</v>
      </c>
      <c r="O346" s="256" t="s">
        <v>3637</v>
      </c>
    </row>
    <row r="347" spans="1:15" s="296" customFormat="1" ht="19.95" customHeight="1" x14ac:dyDescent="0.3">
      <c r="A347" s="278" t="s">
        <v>3214</v>
      </c>
      <c r="B347" s="278" t="s">
        <v>3215</v>
      </c>
      <c r="C347" s="256" t="s">
        <v>117</v>
      </c>
      <c r="D347" s="278">
        <v>39</v>
      </c>
      <c r="E347" s="279">
        <v>45225</v>
      </c>
      <c r="F347" s="279">
        <v>45226</v>
      </c>
      <c r="G347" s="301">
        <f t="shared" ca="1" si="5"/>
        <v>844</v>
      </c>
      <c r="H347" s="278" t="s">
        <v>65</v>
      </c>
      <c r="I347" s="279" t="s">
        <v>2637</v>
      </c>
      <c r="J347" s="278" t="s">
        <v>234</v>
      </c>
      <c r="K347" s="278">
        <v>600</v>
      </c>
      <c r="L347" s="265" t="s">
        <v>4051</v>
      </c>
      <c r="M347" s="256" t="s">
        <v>77</v>
      </c>
      <c r="N347" s="256" t="s">
        <v>3307</v>
      </c>
      <c r="O347" s="256" t="s">
        <v>3612</v>
      </c>
    </row>
    <row r="348" spans="1:15" s="296" customFormat="1" ht="19.95" customHeight="1" x14ac:dyDescent="0.3">
      <c r="A348" s="272" t="s">
        <v>3216</v>
      </c>
      <c r="B348" s="272" t="s">
        <v>3217</v>
      </c>
      <c r="C348" s="272" t="s">
        <v>4045</v>
      </c>
      <c r="D348" s="256">
        <v>13</v>
      </c>
      <c r="E348" s="273">
        <v>45381</v>
      </c>
      <c r="F348" s="273">
        <v>45384</v>
      </c>
      <c r="G348" s="301">
        <f t="shared" ca="1" si="5"/>
        <v>688</v>
      </c>
      <c r="H348" s="256" t="s">
        <v>41</v>
      </c>
      <c r="I348" s="257" t="s">
        <v>2637</v>
      </c>
      <c r="J348" s="256" t="s">
        <v>234</v>
      </c>
      <c r="K348" s="256"/>
      <c r="L348" s="256" t="s">
        <v>4051</v>
      </c>
      <c r="M348" s="256" t="s">
        <v>41</v>
      </c>
      <c r="N348" s="256" t="s">
        <v>41</v>
      </c>
      <c r="O348" s="256" t="s">
        <v>3638</v>
      </c>
    </row>
    <row r="349" spans="1:15" s="296" customFormat="1" ht="19.95" customHeight="1" x14ac:dyDescent="0.3">
      <c r="A349" s="272" t="s">
        <v>3236</v>
      </c>
      <c r="B349" s="272" t="s">
        <v>3237</v>
      </c>
      <c r="C349" s="256" t="s">
        <v>2649</v>
      </c>
      <c r="D349" s="256">
        <v>105</v>
      </c>
      <c r="E349" s="273">
        <v>45378</v>
      </c>
      <c r="F349" s="273">
        <v>45379</v>
      </c>
      <c r="G349" s="301">
        <f t="shared" ca="1" si="5"/>
        <v>691</v>
      </c>
      <c r="H349" s="256" t="s">
        <v>68</v>
      </c>
      <c r="I349" s="257">
        <v>45422</v>
      </c>
      <c r="J349" s="256" t="s">
        <v>234</v>
      </c>
      <c r="K349" s="256">
        <v>350</v>
      </c>
      <c r="L349" s="256" t="s">
        <v>4051</v>
      </c>
      <c r="M349" s="256" t="s">
        <v>3305</v>
      </c>
      <c r="N349" s="256" t="s">
        <v>3305</v>
      </c>
      <c r="O349" s="256" t="s">
        <v>3648</v>
      </c>
    </row>
    <row r="350" spans="1:15" s="296" customFormat="1" ht="19.95" customHeight="1" x14ac:dyDescent="0.3">
      <c r="A350" s="256" t="s">
        <v>3250</v>
      </c>
      <c r="B350" s="256" t="s">
        <v>3251</v>
      </c>
      <c r="C350" s="256" t="s">
        <v>117</v>
      </c>
      <c r="D350" s="256">
        <v>56</v>
      </c>
      <c r="E350" s="257">
        <v>45240</v>
      </c>
      <c r="F350" s="257">
        <v>45240</v>
      </c>
      <c r="G350" s="301">
        <f t="shared" ca="1" si="5"/>
        <v>829</v>
      </c>
      <c r="H350" s="256" t="s">
        <v>68</v>
      </c>
      <c r="I350" s="257">
        <v>45422</v>
      </c>
      <c r="J350" s="256" t="s">
        <v>234</v>
      </c>
      <c r="K350" s="256">
        <v>200</v>
      </c>
      <c r="L350" s="256" t="s">
        <v>4051</v>
      </c>
      <c r="M350" s="256" t="s">
        <v>3305</v>
      </c>
      <c r="N350" s="256" t="s">
        <v>3305</v>
      </c>
      <c r="O350" s="256" t="s">
        <v>3652</v>
      </c>
    </row>
    <row r="351" spans="1:15" s="296" customFormat="1" ht="19.95" customHeight="1" x14ac:dyDescent="0.3">
      <c r="A351" s="256" t="s">
        <v>3222</v>
      </c>
      <c r="B351" s="256" t="s">
        <v>3223</v>
      </c>
      <c r="C351" s="259" t="s">
        <v>103</v>
      </c>
      <c r="D351" s="256"/>
      <c r="E351" s="257">
        <v>45301</v>
      </c>
      <c r="F351" s="257">
        <v>45303</v>
      </c>
      <c r="G351" s="301">
        <f t="shared" ca="1" si="5"/>
        <v>768</v>
      </c>
      <c r="H351" s="256" t="s">
        <v>3304</v>
      </c>
      <c r="I351" s="256" t="s">
        <v>2637</v>
      </c>
      <c r="J351" s="256" t="s">
        <v>234</v>
      </c>
      <c r="K351" s="256"/>
      <c r="L351" s="256" t="s">
        <v>4051</v>
      </c>
      <c r="M351" s="256" t="s">
        <v>77</v>
      </c>
      <c r="N351" s="256" t="s">
        <v>3306</v>
      </c>
      <c r="O351" s="256" t="s">
        <v>3641</v>
      </c>
    </row>
    <row r="352" spans="1:15" s="296" customFormat="1" ht="19.95" customHeight="1" x14ac:dyDescent="0.3">
      <c r="A352" s="259" t="s">
        <v>152</v>
      </c>
      <c r="B352" s="259" t="s">
        <v>153</v>
      </c>
      <c r="C352" s="259" t="s">
        <v>4042</v>
      </c>
      <c r="D352" s="256">
        <v>1</v>
      </c>
      <c r="E352" s="260">
        <v>45357</v>
      </c>
      <c r="F352" s="260">
        <v>45362</v>
      </c>
      <c r="G352" s="301">
        <f t="shared" ca="1" si="5"/>
        <v>712</v>
      </c>
      <c r="H352" s="256" t="s">
        <v>68</v>
      </c>
      <c r="I352" s="257">
        <v>45422</v>
      </c>
      <c r="J352" s="256" t="s">
        <v>234</v>
      </c>
      <c r="K352" s="256">
        <v>250</v>
      </c>
      <c r="L352" s="256" t="s">
        <v>4051</v>
      </c>
      <c r="M352" s="256" t="s">
        <v>3305</v>
      </c>
      <c r="N352" s="256" t="s">
        <v>3305</v>
      </c>
      <c r="O352" s="256" t="s">
        <v>3656</v>
      </c>
    </row>
    <row r="353" spans="1:15" s="296" customFormat="1" ht="19.95" customHeight="1" x14ac:dyDescent="0.3">
      <c r="A353" s="256" t="s">
        <v>3226</v>
      </c>
      <c r="B353" s="256" t="s">
        <v>3227</v>
      </c>
      <c r="C353" s="256" t="s">
        <v>164</v>
      </c>
      <c r="D353" s="256">
        <v>240</v>
      </c>
      <c r="E353" s="257">
        <v>45308</v>
      </c>
      <c r="F353" s="257">
        <v>45310</v>
      </c>
      <c r="G353" s="301">
        <f t="shared" ca="1" si="5"/>
        <v>761</v>
      </c>
      <c r="H353" s="256" t="s">
        <v>41</v>
      </c>
      <c r="I353" s="257" t="s">
        <v>2637</v>
      </c>
      <c r="J353" s="256" t="s">
        <v>234</v>
      </c>
      <c r="K353" s="256">
        <v>280</v>
      </c>
      <c r="L353" s="256" t="s">
        <v>4051</v>
      </c>
      <c r="M353" s="256" t="s">
        <v>41</v>
      </c>
      <c r="N353" s="256" t="s">
        <v>41</v>
      </c>
      <c r="O353" s="256" t="s">
        <v>3643</v>
      </c>
    </row>
    <row r="354" spans="1:15" s="296" customFormat="1" ht="19.95" customHeight="1" x14ac:dyDescent="0.3">
      <c r="A354" s="272" t="s">
        <v>3770</v>
      </c>
      <c r="B354" s="272" t="s">
        <v>3771</v>
      </c>
      <c r="C354" s="272" t="s">
        <v>2648</v>
      </c>
      <c r="D354" s="256">
        <v>90</v>
      </c>
      <c r="E354" s="273">
        <v>45409</v>
      </c>
      <c r="F354" s="273">
        <v>45411</v>
      </c>
      <c r="G354" s="301">
        <f t="shared" ca="1" si="5"/>
        <v>660</v>
      </c>
      <c r="H354" s="256" t="s">
        <v>68</v>
      </c>
      <c r="I354" s="257">
        <v>45423</v>
      </c>
      <c r="J354" s="256" t="s">
        <v>234</v>
      </c>
      <c r="K354" s="256">
        <v>50</v>
      </c>
      <c r="L354" s="256" t="s">
        <v>4051</v>
      </c>
      <c r="M354" s="256" t="s">
        <v>3305</v>
      </c>
      <c r="N354" s="256" t="s">
        <v>3305</v>
      </c>
      <c r="O354" s="256" t="s">
        <v>4079</v>
      </c>
    </row>
    <row r="355" spans="1:15" s="296" customFormat="1" ht="19.95" customHeight="1" x14ac:dyDescent="0.3">
      <c r="A355" s="256" t="s">
        <v>3230</v>
      </c>
      <c r="B355" s="256" t="s">
        <v>3231</v>
      </c>
      <c r="C355" s="256" t="s">
        <v>165</v>
      </c>
      <c r="D355" s="256">
        <v>32</v>
      </c>
      <c r="E355" s="257">
        <v>44571</v>
      </c>
      <c r="F355" s="257">
        <v>44571</v>
      </c>
      <c r="G355" s="301">
        <f t="shared" ca="1" si="5"/>
        <v>1498</v>
      </c>
      <c r="H355" s="256" t="s">
        <v>3304</v>
      </c>
      <c r="I355" s="256" t="s">
        <v>2637</v>
      </c>
      <c r="J355" s="256" t="s">
        <v>234</v>
      </c>
      <c r="K355" s="256">
        <v>150</v>
      </c>
      <c r="L355" s="256" t="s">
        <v>4051</v>
      </c>
      <c r="M355" s="256" t="s">
        <v>77</v>
      </c>
      <c r="N355" s="256" t="s">
        <v>3306</v>
      </c>
      <c r="O355" s="256" t="s">
        <v>3645</v>
      </c>
    </row>
    <row r="356" spans="1:15" s="296" customFormat="1" ht="19.95" customHeight="1" x14ac:dyDescent="0.3">
      <c r="A356" s="256" t="s">
        <v>3232</v>
      </c>
      <c r="B356" s="256" t="s">
        <v>3233</v>
      </c>
      <c r="C356" s="256" t="s">
        <v>162</v>
      </c>
      <c r="D356" s="256">
        <v>6</v>
      </c>
      <c r="E356" s="257">
        <v>45336</v>
      </c>
      <c r="F356" s="257">
        <v>45337</v>
      </c>
      <c r="G356" s="301">
        <f t="shared" ca="1" si="5"/>
        <v>733</v>
      </c>
      <c r="H356" s="256" t="s">
        <v>3304</v>
      </c>
      <c r="I356" s="257" t="s">
        <v>2637</v>
      </c>
      <c r="J356" s="256" t="s">
        <v>234</v>
      </c>
      <c r="K356" s="256">
        <v>480</v>
      </c>
      <c r="L356" s="256" t="s">
        <v>4051</v>
      </c>
      <c r="M356" s="256" t="s">
        <v>77</v>
      </c>
      <c r="N356" s="256" t="s">
        <v>3307</v>
      </c>
      <c r="O356" s="256" t="s">
        <v>3646</v>
      </c>
    </row>
    <row r="357" spans="1:15" s="296" customFormat="1" ht="19.95" customHeight="1" x14ac:dyDescent="0.3">
      <c r="A357" s="272" t="s">
        <v>3322</v>
      </c>
      <c r="B357" s="272" t="s">
        <v>3323</v>
      </c>
      <c r="C357" s="256" t="s">
        <v>164</v>
      </c>
      <c r="D357" s="256"/>
      <c r="E357" s="273">
        <v>45403</v>
      </c>
      <c r="F357" s="273">
        <v>45404</v>
      </c>
      <c r="G357" s="301">
        <f t="shared" ca="1" si="5"/>
        <v>666</v>
      </c>
      <c r="H357" s="256" t="s">
        <v>3304</v>
      </c>
      <c r="I357" s="256"/>
      <c r="J357" s="256" t="s">
        <v>234</v>
      </c>
      <c r="K357" s="256"/>
      <c r="L357" s="256" t="s">
        <v>4051</v>
      </c>
      <c r="M357" s="256" t="s">
        <v>77</v>
      </c>
      <c r="N357" s="256" t="s">
        <v>3307</v>
      </c>
      <c r="O357" s="256" t="s">
        <v>3647</v>
      </c>
    </row>
    <row r="358" spans="1:15" s="296" customFormat="1" ht="19.95" customHeight="1" x14ac:dyDescent="0.3">
      <c r="A358" s="272" t="s">
        <v>3888</v>
      </c>
      <c r="B358" s="272" t="s">
        <v>3889</v>
      </c>
      <c r="C358" s="256" t="s">
        <v>117</v>
      </c>
      <c r="D358" s="256"/>
      <c r="E358" s="273">
        <v>45413</v>
      </c>
      <c r="F358" s="273">
        <v>45415</v>
      </c>
      <c r="G358" s="301">
        <f t="shared" ca="1" si="5"/>
        <v>656</v>
      </c>
      <c r="H358" s="256" t="s">
        <v>63</v>
      </c>
      <c r="I358" s="256"/>
      <c r="J358" s="256" t="s">
        <v>234</v>
      </c>
      <c r="K358" s="256"/>
      <c r="L358" s="256" t="s">
        <v>4051</v>
      </c>
      <c r="M358" s="256" t="s">
        <v>63</v>
      </c>
      <c r="N358" s="256" t="s">
        <v>63</v>
      </c>
      <c r="O358" s="256"/>
    </row>
    <row r="359" spans="1:15" s="296" customFormat="1" ht="19.95" customHeight="1" x14ac:dyDescent="0.3">
      <c r="A359" s="256" t="s">
        <v>3234</v>
      </c>
      <c r="B359" s="256" t="s">
        <v>3235</v>
      </c>
      <c r="C359" s="256" t="s">
        <v>99</v>
      </c>
      <c r="D359" s="256">
        <v>28</v>
      </c>
      <c r="E359" s="257">
        <v>44905</v>
      </c>
      <c r="F359" s="257">
        <v>44908</v>
      </c>
      <c r="G359" s="301">
        <f t="shared" ca="1" si="5"/>
        <v>1164</v>
      </c>
      <c r="H359" s="256" t="s">
        <v>3304</v>
      </c>
      <c r="I359" s="256" t="s">
        <v>2637</v>
      </c>
      <c r="J359" s="256" t="s">
        <v>234</v>
      </c>
      <c r="K359" s="256">
        <v>200</v>
      </c>
      <c r="L359" s="256" t="s">
        <v>4051</v>
      </c>
      <c r="M359" s="256" t="s">
        <v>77</v>
      </c>
      <c r="N359" s="256" t="s">
        <v>2631</v>
      </c>
      <c r="O359" s="256" t="s">
        <v>3482</v>
      </c>
    </row>
    <row r="360" spans="1:15" s="296" customFormat="1" ht="19.95" customHeight="1" x14ac:dyDescent="0.3">
      <c r="A360" s="272" t="s">
        <v>3764</v>
      </c>
      <c r="B360" s="272" t="s">
        <v>3765</v>
      </c>
      <c r="C360" s="272" t="s">
        <v>2649</v>
      </c>
      <c r="D360" s="256">
        <v>106</v>
      </c>
      <c r="E360" s="273">
        <v>45411</v>
      </c>
      <c r="F360" s="273">
        <v>45411</v>
      </c>
      <c r="G360" s="301">
        <f t="shared" ca="1" si="5"/>
        <v>658</v>
      </c>
      <c r="H360" s="256" t="s">
        <v>68</v>
      </c>
      <c r="I360" s="257">
        <v>45423</v>
      </c>
      <c r="J360" s="256" t="s">
        <v>234</v>
      </c>
      <c r="K360" s="256">
        <v>100</v>
      </c>
      <c r="L360" s="256" t="s">
        <v>4051</v>
      </c>
      <c r="M360" s="256" t="s">
        <v>3305</v>
      </c>
      <c r="N360" s="256" t="s">
        <v>3305</v>
      </c>
      <c r="O360" s="256" t="s">
        <v>4080</v>
      </c>
    </row>
    <row r="361" spans="1:15" s="296" customFormat="1" ht="19.95" customHeight="1" x14ac:dyDescent="0.3">
      <c r="A361" s="306" t="s">
        <v>3298</v>
      </c>
      <c r="B361" s="306" t="s">
        <v>3299</v>
      </c>
      <c r="C361" s="256" t="s">
        <v>94</v>
      </c>
      <c r="D361" s="256"/>
      <c r="E361" s="312">
        <v>45399</v>
      </c>
      <c r="F361" s="312">
        <v>45402</v>
      </c>
      <c r="G361" s="301">
        <f t="shared" ca="1" si="5"/>
        <v>670</v>
      </c>
      <c r="H361" s="256" t="s">
        <v>41</v>
      </c>
      <c r="I361" s="256"/>
      <c r="J361" s="256" t="s">
        <v>234</v>
      </c>
      <c r="K361" s="256"/>
      <c r="L361" s="256" t="s">
        <v>4051</v>
      </c>
      <c r="M361" s="256" t="s">
        <v>41</v>
      </c>
      <c r="N361" s="256" t="s">
        <v>41</v>
      </c>
      <c r="O361" s="256" t="s">
        <v>3649</v>
      </c>
    </row>
    <row r="362" spans="1:15" s="296" customFormat="1" ht="19.95" customHeight="1" x14ac:dyDescent="0.3">
      <c r="A362" s="276" t="s">
        <v>3455</v>
      </c>
      <c r="B362" s="276" t="s">
        <v>3456</v>
      </c>
      <c r="C362" s="276" t="s">
        <v>2514</v>
      </c>
      <c r="D362" s="256">
        <v>108</v>
      </c>
      <c r="E362" s="277">
        <v>45408</v>
      </c>
      <c r="F362" s="277">
        <v>45408</v>
      </c>
      <c r="G362" s="301">
        <f t="shared" ca="1" si="5"/>
        <v>661</v>
      </c>
      <c r="H362" s="256" t="s">
        <v>65</v>
      </c>
      <c r="I362" s="257" t="s">
        <v>2637</v>
      </c>
      <c r="J362" s="256" t="s">
        <v>234</v>
      </c>
      <c r="K362" s="256">
        <v>300</v>
      </c>
      <c r="L362" s="256" t="s">
        <v>4051</v>
      </c>
      <c r="M362" s="256" t="s">
        <v>77</v>
      </c>
      <c r="N362" s="256" t="s">
        <v>3306</v>
      </c>
      <c r="O362" s="256" t="s">
        <v>4081</v>
      </c>
    </row>
    <row r="363" spans="1:15" s="296" customFormat="1" ht="19.95" customHeight="1" x14ac:dyDescent="0.3">
      <c r="A363" s="256" t="s">
        <v>3238</v>
      </c>
      <c r="B363" s="256" t="s">
        <v>3239</v>
      </c>
      <c r="C363" s="256" t="s">
        <v>117</v>
      </c>
      <c r="D363" s="256"/>
      <c r="E363" s="257">
        <v>45221</v>
      </c>
      <c r="F363" s="257">
        <v>45237</v>
      </c>
      <c r="G363" s="301">
        <f t="shared" ca="1" si="5"/>
        <v>848</v>
      </c>
      <c r="H363" s="256" t="s">
        <v>41</v>
      </c>
      <c r="I363" s="257" t="s">
        <v>2637</v>
      </c>
      <c r="J363" s="256" t="s">
        <v>234</v>
      </c>
      <c r="K363" s="256">
        <v>1100</v>
      </c>
      <c r="L363" s="256" t="s">
        <v>4051</v>
      </c>
      <c r="M363" s="256" t="s">
        <v>41</v>
      </c>
      <c r="N363" s="256" t="s">
        <v>41</v>
      </c>
      <c r="O363" s="256" t="s">
        <v>3650</v>
      </c>
    </row>
    <row r="364" spans="1:15" s="296" customFormat="1" ht="19.95" customHeight="1" x14ac:dyDescent="0.3">
      <c r="A364" s="276" t="s">
        <v>3788</v>
      </c>
      <c r="B364" s="276" t="s">
        <v>3789</v>
      </c>
      <c r="C364" s="276" t="s">
        <v>2515</v>
      </c>
      <c r="D364" s="256">
        <v>41</v>
      </c>
      <c r="E364" s="277">
        <v>45408</v>
      </c>
      <c r="F364" s="277">
        <v>45411</v>
      </c>
      <c r="G364" s="301">
        <f t="shared" ca="1" si="5"/>
        <v>661</v>
      </c>
      <c r="H364" s="256" t="s">
        <v>68</v>
      </c>
      <c r="I364" s="257">
        <v>45423</v>
      </c>
      <c r="J364" s="256" t="s">
        <v>234</v>
      </c>
      <c r="K364" s="256">
        <v>300</v>
      </c>
      <c r="L364" s="256" t="s">
        <v>4051</v>
      </c>
      <c r="M364" s="256" t="s">
        <v>3305</v>
      </c>
      <c r="N364" s="256" t="s">
        <v>3305</v>
      </c>
      <c r="O364" s="256" t="s">
        <v>4082</v>
      </c>
    </row>
    <row r="365" spans="1:15" s="296" customFormat="1" ht="19.95" customHeight="1" x14ac:dyDescent="0.3">
      <c r="A365" s="256" t="s">
        <v>3240</v>
      </c>
      <c r="B365" s="256" t="s">
        <v>3241</v>
      </c>
      <c r="C365" s="256" t="s">
        <v>165</v>
      </c>
      <c r="D365" s="256"/>
      <c r="E365" s="257">
        <v>44596</v>
      </c>
      <c r="F365" s="257">
        <v>44596</v>
      </c>
      <c r="G365" s="301">
        <f t="shared" ca="1" si="5"/>
        <v>1473</v>
      </c>
      <c r="H365" s="256" t="s">
        <v>3304</v>
      </c>
      <c r="I365" s="256" t="s">
        <v>2637</v>
      </c>
      <c r="J365" s="256" t="s">
        <v>234</v>
      </c>
      <c r="K365" s="256"/>
      <c r="L365" s="256" t="s">
        <v>4051</v>
      </c>
      <c r="M365" s="256" t="s">
        <v>77</v>
      </c>
      <c r="N365" s="256" t="s">
        <v>2631</v>
      </c>
      <c r="O365" s="256" t="s">
        <v>3482</v>
      </c>
    </row>
    <row r="366" spans="1:15" s="296" customFormat="1" ht="19.95" customHeight="1" x14ac:dyDescent="0.3">
      <c r="A366" s="256" t="s">
        <v>3242</v>
      </c>
      <c r="B366" s="256" t="s">
        <v>3243</v>
      </c>
      <c r="C366" s="272" t="s">
        <v>101</v>
      </c>
      <c r="D366" s="256">
        <v>78</v>
      </c>
      <c r="E366" s="256" t="s">
        <v>3303</v>
      </c>
      <c r="F366" s="256" t="s">
        <v>3303</v>
      </c>
      <c r="G366" s="301" t="e">
        <f t="shared" ca="1" si="5"/>
        <v>#VALUE!</v>
      </c>
      <c r="H366" s="256" t="s">
        <v>3304</v>
      </c>
      <c r="I366" s="257" t="s">
        <v>2637</v>
      </c>
      <c r="J366" s="256" t="s">
        <v>234</v>
      </c>
      <c r="K366" s="256">
        <v>150</v>
      </c>
      <c r="L366" s="256" t="s">
        <v>4051</v>
      </c>
      <c r="M366" s="256" t="s">
        <v>77</v>
      </c>
      <c r="N366" s="256" t="s">
        <v>2631</v>
      </c>
      <c r="O366" s="256" t="s">
        <v>3482</v>
      </c>
    </row>
    <row r="367" spans="1:15" s="296" customFormat="1" ht="19.95" customHeight="1" x14ac:dyDescent="0.3">
      <c r="A367" s="256" t="s">
        <v>3244</v>
      </c>
      <c r="B367" s="256" t="s">
        <v>3245</v>
      </c>
      <c r="C367" s="256" t="s">
        <v>94</v>
      </c>
      <c r="D367" s="256"/>
      <c r="E367" s="257">
        <v>44819</v>
      </c>
      <c r="F367" s="257">
        <v>45190</v>
      </c>
      <c r="G367" s="301">
        <f t="shared" ca="1" si="5"/>
        <v>1250</v>
      </c>
      <c r="H367" s="256" t="s">
        <v>3304</v>
      </c>
      <c r="I367" s="256" t="s">
        <v>2637</v>
      </c>
      <c r="J367" s="256" t="s">
        <v>3751</v>
      </c>
      <c r="K367" s="256"/>
      <c r="L367" s="256" t="s">
        <v>4051</v>
      </c>
      <c r="M367" s="256" t="s">
        <v>77</v>
      </c>
      <c r="N367" s="256" t="s">
        <v>2631</v>
      </c>
      <c r="O367" s="256" t="s">
        <v>3482</v>
      </c>
    </row>
    <row r="368" spans="1:15" s="296" customFormat="1" ht="19.95" customHeight="1" x14ac:dyDescent="0.3">
      <c r="A368" s="272" t="s">
        <v>3463</v>
      </c>
      <c r="B368" s="272" t="s">
        <v>3464</v>
      </c>
      <c r="C368" s="272" t="s">
        <v>91</v>
      </c>
      <c r="D368" s="256"/>
      <c r="E368" s="273">
        <v>45408</v>
      </c>
      <c r="F368" s="273">
        <v>45409</v>
      </c>
      <c r="G368" s="301">
        <f t="shared" ca="1" si="5"/>
        <v>661</v>
      </c>
      <c r="H368" s="256" t="s">
        <v>3304</v>
      </c>
      <c r="I368" s="256" t="s">
        <v>2637</v>
      </c>
      <c r="J368" s="256" t="s">
        <v>234</v>
      </c>
      <c r="K368" s="256"/>
      <c r="L368" s="256" t="s">
        <v>4051</v>
      </c>
      <c r="M368" s="256" t="s">
        <v>77</v>
      </c>
      <c r="N368" s="256" t="s">
        <v>2631</v>
      </c>
      <c r="O368" s="256" t="s">
        <v>3482</v>
      </c>
    </row>
    <row r="369" spans="1:15" s="296" customFormat="1" ht="19.95" customHeight="1" x14ac:dyDescent="0.3">
      <c r="A369" s="256" t="s">
        <v>3246</v>
      </c>
      <c r="B369" s="256" t="s">
        <v>3247</v>
      </c>
      <c r="C369" s="256" t="s">
        <v>94</v>
      </c>
      <c r="D369" s="256">
        <v>74</v>
      </c>
      <c r="E369" s="257">
        <v>45215</v>
      </c>
      <c r="F369" s="257">
        <v>45216</v>
      </c>
      <c r="G369" s="301">
        <f t="shared" ca="1" si="5"/>
        <v>854</v>
      </c>
      <c r="H369" s="256" t="s">
        <v>3304</v>
      </c>
      <c r="I369" s="256" t="s">
        <v>2637</v>
      </c>
      <c r="J369" s="256" t="s">
        <v>234</v>
      </c>
      <c r="K369" s="256">
        <v>500</v>
      </c>
      <c r="L369" s="256" t="s">
        <v>4051</v>
      </c>
      <c r="M369" s="256" t="s">
        <v>77</v>
      </c>
      <c r="N369" s="256" t="s">
        <v>2631</v>
      </c>
      <c r="O369" s="256" t="s">
        <v>3482</v>
      </c>
    </row>
    <row r="370" spans="1:15" s="296" customFormat="1" ht="19.95" customHeight="1" x14ac:dyDescent="0.3">
      <c r="A370" s="256" t="s">
        <v>3248</v>
      </c>
      <c r="B370" s="256" t="s">
        <v>3249</v>
      </c>
      <c r="C370" s="256" t="s">
        <v>97</v>
      </c>
      <c r="D370" s="256"/>
      <c r="E370" s="257">
        <v>44831</v>
      </c>
      <c r="F370" s="257">
        <v>45216</v>
      </c>
      <c r="G370" s="301">
        <f t="shared" ca="1" si="5"/>
        <v>1238</v>
      </c>
      <c r="H370" s="256" t="s">
        <v>68</v>
      </c>
      <c r="I370" s="256" t="s">
        <v>2637</v>
      </c>
      <c r="J370" s="256" t="s">
        <v>234</v>
      </c>
      <c r="K370" s="256"/>
      <c r="L370" s="256" t="s">
        <v>4051</v>
      </c>
      <c r="M370" s="256" t="s">
        <v>77</v>
      </c>
      <c r="N370" s="306" t="s">
        <v>86</v>
      </c>
      <c r="O370" s="256" t="s">
        <v>3651</v>
      </c>
    </row>
    <row r="371" spans="1:15" s="296" customFormat="1" ht="19.95" customHeight="1" x14ac:dyDescent="0.3">
      <c r="A371" s="272" t="s">
        <v>3768</v>
      </c>
      <c r="B371" s="272" t="s">
        <v>3769</v>
      </c>
      <c r="C371" s="256" t="s">
        <v>167</v>
      </c>
      <c r="D371" s="256">
        <v>53</v>
      </c>
      <c r="E371" s="273">
        <v>45410</v>
      </c>
      <c r="F371" s="273">
        <v>45411</v>
      </c>
      <c r="G371" s="301">
        <f t="shared" ca="1" si="5"/>
        <v>659</v>
      </c>
      <c r="H371" s="256" t="s">
        <v>68</v>
      </c>
      <c r="I371" s="257">
        <v>45423</v>
      </c>
      <c r="J371" s="256" t="s">
        <v>234</v>
      </c>
      <c r="K371" s="256">
        <v>150</v>
      </c>
      <c r="L371" s="256" t="s">
        <v>4051</v>
      </c>
      <c r="M371" s="256" t="s">
        <v>3305</v>
      </c>
      <c r="N371" s="256" t="s">
        <v>3305</v>
      </c>
      <c r="O371" s="256" t="s">
        <v>4083</v>
      </c>
    </row>
    <row r="372" spans="1:15" s="296" customFormat="1" ht="19.95" customHeight="1" x14ac:dyDescent="0.3">
      <c r="A372" s="256" t="s">
        <v>3252</v>
      </c>
      <c r="B372" s="256" t="s">
        <v>3253</v>
      </c>
      <c r="C372" s="256" t="s">
        <v>99</v>
      </c>
      <c r="D372" s="256"/>
      <c r="E372" s="257">
        <v>44757</v>
      </c>
      <c r="F372" s="257">
        <v>44834</v>
      </c>
      <c r="G372" s="301">
        <f t="shared" ca="1" si="5"/>
        <v>1312</v>
      </c>
      <c r="H372" s="256" t="s">
        <v>3304</v>
      </c>
      <c r="I372" s="256" t="s">
        <v>2637</v>
      </c>
      <c r="J372" s="256" t="s">
        <v>234</v>
      </c>
      <c r="K372" s="256"/>
      <c r="L372" s="256" t="s">
        <v>4051</v>
      </c>
      <c r="M372" s="256" t="s">
        <v>77</v>
      </c>
      <c r="N372" s="256" t="s">
        <v>2631</v>
      </c>
      <c r="O372" s="256" t="s">
        <v>3482</v>
      </c>
    </row>
    <row r="373" spans="1:15" s="296" customFormat="1" ht="19.95" customHeight="1" x14ac:dyDescent="0.3">
      <c r="A373" s="272" t="s">
        <v>3254</v>
      </c>
      <c r="B373" s="272" t="s">
        <v>3255</v>
      </c>
      <c r="C373" s="276" t="s">
        <v>93</v>
      </c>
      <c r="D373" s="256"/>
      <c r="E373" s="273">
        <v>45367</v>
      </c>
      <c r="F373" s="273">
        <v>45387</v>
      </c>
      <c r="G373" s="301">
        <f t="shared" ca="1" si="5"/>
        <v>702</v>
      </c>
      <c r="H373" s="256" t="s">
        <v>3304</v>
      </c>
      <c r="I373" s="256" t="s">
        <v>2637</v>
      </c>
      <c r="J373" s="256" t="s">
        <v>234</v>
      </c>
      <c r="K373" s="256"/>
      <c r="L373" s="256" t="s">
        <v>4051</v>
      </c>
      <c r="M373" s="256" t="s">
        <v>77</v>
      </c>
      <c r="N373" s="256" t="s">
        <v>2631</v>
      </c>
      <c r="O373" s="256" t="s">
        <v>3482</v>
      </c>
    </row>
    <row r="374" spans="1:15" s="296" customFormat="1" ht="19.95" customHeight="1" x14ac:dyDescent="0.3">
      <c r="A374" s="256" t="s">
        <v>3256</v>
      </c>
      <c r="B374" s="256" t="s">
        <v>3257</v>
      </c>
      <c r="C374" s="256" t="s">
        <v>99</v>
      </c>
      <c r="D374" s="256">
        <v>30</v>
      </c>
      <c r="E374" s="257">
        <v>44839</v>
      </c>
      <c r="F374" s="257">
        <v>44845</v>
      </c>
      <c r="G374" s="301">
        <f t="shared" ca="1" si="5"/>
        <v>1230</v>
      </c>
      <c r="H374" s="256" t="s">
        <v>68</v>
      </c>
      <c r="I374" s="256" t="s">
        <v>2637</v>
      </c>
      <c r="J374" s="256" t="s">
        <v>234</v>
      </c>
      <c r="K374" s="256">
        <v>600</v>
      </c>
      <c r="L374" s="256" t="s">
        <v>4051</v>
      </c>
      <c r="M374" s="256" t="s">
        <v>77</v>
      </c>
      <c r="N374" s="306" t="s">
        <v>86</v>
      </c>
      <c r="O374" s="256" t="s">
        <v>3653</v>
      </c>
    </row>
    <row r="375" spans="1:15" s="296" customFormat="1" ht="19.95" customHeight="1" x14ac:dyDescent="0.3">
      <c r="A375" s="272" t="s">
        <v>3258</v>
      </c>
      <c r="B375" s="272" t="s">
        <v>3259</v>
      </c>
      <c r="C375" s="256" t="s">
        <v>97</v>
      </c>
      <c r="D375" s="256"/>
      <c r="E375" s="273">
        <v>45399</v>
      </c>
      <c r="F375" s="273">
        <v>45400</v>
      </c>
      <c r="G375" s="301">
        <f t="shared" ca="1" si="5"/>
        <v>670</v>
      </c>
      <c r="H375" s="256" t="s">
        <v>68</v>
      </c>
      <c r="I375" s="256" t="s">
        <v>2637</v>
      </c>
      <c r="J375" s="256" t="s">
        <v>234</v>
      </c>
      <c r="K375" s="256"/>
      <c r="L375" s="256" t="s">
        <v>4051</v>
      </c>
      <c r="M375" s="256" t="s">
        <v>77</v>
      </c>
      <c r="N375" s="306" t="s">
        <v>86</v>
      </c>
      <c r="O375" s="256" t="s">
        <v>3654</v>
      </c>
    </row>
    <row r="376" spans="1:15" s="296" customFormat="1" ht="19.95" customHeight="1" x14ac:dyDescent="0.3">
      <c r="A376" s="272" t="s">
        <v>3461</v>
      </c>
      <c r="B376" s="272" t="s">
        <v>3462</v>
      </c>
      <c r="C376" s="272" t="s">
        <v>2514</v>
      </c>
      <c r="D376" s="256">
        <v>120</v>
      </c>
      <c r="E376" s="273">
        <v>45407</v>
      </c>
      <c r="F376" s="273">
        <v>45409</v>
      </c>
      <c r="G376" s="301">
        <f t="shared" ca="1" si="5"/>
        <v>662</v>
      </c>
      <c r="H376" s="256" t="s">
        <v>65</v>
      </c>
      <c r="I376" s="257">
        <v>45420</v>
      </c>
      <c r="J376" s="256" t="s">
        <v>234</v>
      </c>
      <c r="K376" s="256">
        <v>150</v>
      </c>
      <c r="L376" s="256" t="s">
        <v>4051</v>
      </c>
      <c r="M376" s="256" t="s">
        <v>66</v>
      </c>
      <c r="N376" s="256" t="s">
        <v>3308</v>
      </c>
      <c r="O376" s="256" t="s">
        <v>4084</v>
      </c>
    </row>
    <row r="377" spans="1:15" s="296" customFormat="1" ht="19.95" customHeight="1" x14ac:dyDescent="0.3">
      <c r="A377" s="276" t="s">
        <v>3786</v>
      </c>
      <c r="B377" s="276" t="s">
        <v>3787</v>
      </c>
      <c r="C377" s="276" t="s">
        <v>101</v>
      </c>
      <c r="D377" s="256">
        <v>78</v>
      </c>
      <c r="E377" s="277">
        <v>45408</v>
      </c>
      <c r="F377" s="277">
        <v>45411</v>
      </c>
      <c r="G377" s="301">
        <f t="shared" ca="1" si="5"/>
        <v>661</v>
      </c>
      <c r="H377" s="256" t="s">
        <v>65</v>
      </c>
      <c r="I377" s="257">
        <v>45419</v>
      </c>
      <c r="J377" s="256" t="s">
        <v>234</v>
      </c>
      <c r="K377" s="256">
        <v>350</v>
      </c>
      <c r="L377" s="256" t="s">
        <v>4051</v>
      </c>
      <c r="M377" s="256" t="s">
        <v>66</v>
      </c>
      <c r="N377" s="256" t="s">
        <v>66</v>
      </c>
      <c r="O377" s="256" t="s">
        <v>4085</v>
      </c>
    </row>
    <row r="378" spans="1:15" s="296" customFormat="1" ht="19.95" customHeight="1" x14ac:dyDescent="0.3">
      <c r="A378" s="256" t="s">
        <v>3260</v>
      </c>
      <c r="B378" s="256" t="s">
        <v>3261</v>
      </c>
      <c r="C378" s="256" t="s">
        <v>136</v>
      </c>
      <c r="D378" s="256"/>
      <c r="E378" s="257">
        <v>44749</v>
      </c>
      <c r="F378" s="257">
        <v>44749</v>
      </c>
      <c r="G378" s="301">
        <f t="shared" ca="1" si="5"/>
        <v>1320</v>
      </c>
      <c r="H378" s="256" t="s">
        <v>3304</v>
      </c>
      <c r="I378" s="256" t="s">
        <v>2637</v>
      </c>
      <c r="J378" s="256" t="s">
        <v>3751</v>
      </c>
      <c r="K378" s="256"/>
      <c r="L378" s="256" t="s">
        <v>4051</v>
      </c>
      <c r="M378" s="256" t="s">
        <v>77</v>
      </c>
      <c r="N378" s="256" t="s">
        <v>2631</v>
      </c>
      <c r="O378" s="256" t="s">
        <v>3482</v>
      </c>
    </row>
    <row r="379" spans="1:15" s="296" customFormat="1" ht="19.95" customHeight="1" x14ac:dyDescent="0.3">
      <c r="A379" s="256" t="s">
        <v>3262</v>
      </c>
      <c r="B379" s="256" t="s">
        <v>3263</v>
      </c>
      <c r="C379" s="256" t="s">
        <v>162</v>
      </c>
      <c r="D379" s="256">
        <v>90</v>
      </c>
      <c r="E379" s="257">
        <v>45302</v>
      </c>
      <c r="F379" s="257">
        <v>45306</v>
      </c>
      <c r="G379" s="301">
        <f t="shared" ca="1" si="5"/>
        <v>767</v>
      </c>
      <c r="H379" s="256" t="s">
        <v>3304</v>
      </c>
      <c r="I379" s="257" t="s">
        <v>2637</v>
      </c>
      <c r="J379" s="256" t="s">
        <v>234</v>
      </c>
      <c r="K379" s="256">
        <v>100</v>
      </c>
      <c r="L379" s="256" t="s">
        <v>4051</v>
      </c>
      <c r="M379" s="256" t="s">
        <v>77</v>
      </c>
      <c r="N379" s="256" t="s">
        <v>2631</v>
      </c>
      <c r="O379" s="256" t="s">
        <v>3482</v>
      </c>
    </row>
    <row r="380" spans="1:15" s="296" customFormat="1" ht="19.95" customHeight="1" x14ac:dyDescent="0.3">
      <c r="A380" s="256" t="s">
        <v>3264</v>
      </c>
      <c r="B380" s="256" t="s">
        <v>3265</v>
      </c>
      <c r="C380" s="256" t="s">
        <v>94</v>
      </c>
      <c r="D380" s="256">
        <v>74</v>
      </c>
      <c r="E380" s="257">
        <v>45174</v>
      </c>
      <c r="F380" s="257">
        <v>45175</v>
      </c>
      <c r="G380" s="301">
        <f t="shared" ca="1" si="5"/>
        <v>895</v>
      </c>
      <c r="H380" s="256" t="s">
        <v>3304</v>
      </c>
      <c r="I380" s="256" t="s">
        <v>2637</v>
      </c>
      <c r="J380" s="256" t="s">
        <v>234</v>
      </c>
      <c r="K380" s="256">
        <v>310</v>
      </c>
      <c r="L380" s="256" t="s">
        <v>4051</v>
      </c>
      <c r="M380" s="256" t="s">
        <v>77</v>
      </c>
      <c r="N380" s="256" t="s">
        <v>2631</v>
      </c>
      <c r="O380" s="256" t="s">
        <v>3482</v>
      </c>
    </row>
    <row r="381" spans="1:15" s="296" customFormat="1" ht="19.95" customHeight="1" x14ac:dyDescent="0.3">
      <c r="A381" s="272" t="s">
        <v>3890</v>
      </c>
      <c r="B381" s="272" t="s">
        <v>3891</v>
      </c>
      <c r="C381" s="256" t="s">
        <v>3481</v>
      </c>
      <c r="D381" s="256">
        <v>13</v>
      </c>
      <c r="E381" s="273">
        <v>45413</v>
      </c>
      <c r="F381" s="273">
        <v>45415</v>
      </c>
      <c r="G381" s="301">
        <f t="shared" ca="1" si="5"/>
        <v>656</v>
      </c>
      <c r="H381" s="256" t="s">
        <v>68</v>
      </c>
      <c r="I381" s="257">
        <v>45423</v>
      </c>
      <c r="J381" s="256" t="s">
        <v>234</v>
      </c>
      <c r="K381" s="256">
        <v>100</v>
      </c>
      <c r="L381" s="256" t="s">
        <v>4051</v>
      </c>
      <c r="M381" s="256" t="s">
        <v>3305</v>
      </c>
      <c r="N381" s="256" t="s">
        <v>3305</v>
      </c>
      <c r="O381" s="256" t="s">
        <v>4086</v>
      </c>
    </row>
    <row r="382" spans="1:15" s="296" customFormat="1" ht="19.95" customHeight="1" x14ac:dyDescent="0.3">
      <c r="A382" s="259" t="s">
        <v>3266</v>
      </c>
      <c r="B382" s="259" t="s">
        <v>3267</v>
      </c>
      <c r="C382" s="272" t="s">
        <v>91</v>
      </c>
      <c r="D382" s="256"/>
      <c r="E382" s="260">
        <v>45344</v>
      </c>
      <c r="F382" s="260">
        <v>45346</v>
      </c>
      <c r="G382" s="301">
        <f t="shared" ca="1" si="5"/>
        <v>725</v>
      </c>
      <c r="H382" s="256" t="s">
        <v>41</v>
      </c>
      <c r="I382" s="257" t="s">
        <v>2637</v>
      </c>
      <c r="J382" s="256" t="s">
        <v>234</v>
      </c>
      <c r="K382" s="256">
        <v>800</v>
      </c>
      <c r="L382" s="256" t="s">
        <v>4051</v>
      </c>
      <c r="M382" s="256" t="s">
        <v>41</v>
      </c>
      <c r="N382" s="256" t="s">
        <v>41</v>
      </c>
      <c r="O382" s="256" t="s">
        <v>3657</v>
      </c>
    </row>
    <row r="383" spans="1:15" s="296" customFormat="1" ht="19.95" customHeight="1" x14ac:dyDescent="0.3">
      <c r="A383" s="256" t="s">
        <v>3268</v>
      </c>
      <c r="B383" s="256" t="s">
        <v>3269</v>
      </c>
      <c r="C383" s="256" t="s">
        <v>94</v>
      </c>
      <c r="D383" s="256"/>
      <c r="E383" s="257">
        <v>44961</v>
      </c>
      <c r="F383" s="257">
        <v>45216</v>
      </c>
      <c r="G383" s="301">
        <f t="shared" ca="1" si="5"/>
        <v>1108</v>
      </c>
      <c r="H383" s="256" t="s">
        <v>3304</v>
      </c>
      <c r="I383" s="256" t="s">
        <v>2637</v>
      </c>
      <c r="J383" s="256" t="s">
        <v>234</v>
      </c>
      <c r="K383" s="256"/>
      <c r="L383" s="256" t="s">
        <v>4051</v>
      </c>
      <c r="M383" s="256" t="s">
        <v>77</v>
      </c>
      <c r="N383" s="256" t="s">
        <v>2631</v>
      </c>
      <c r="O383" s="256" t="s">
        <v>3482</v>
      </c>
    </row>
    <row r="384" spans="1:15" s="296" customFormat="1" ht="19.95" customHeight="1" x14ac:dyDescent="0.3">
      <c r="A384" s="256" t="s">
        <v>3270</v>
      </c>
      <c r="B384" s="256" t="s">
        <v>3271</v>
      </c>
      <c r="C384" s="256" t="s">
        <v>163</v>
      </c>
      <c r="D384" s="256">
        <v>91</v>
      </c>
      <c r="E384" s="257">
        <v>45162</v>
      </c>
      <c r="F384" s="257">
        <v>45162</v>
      </c>
      <c r="G384" s="301">
        <f t="shared" ca="1" si="5"/>
        <v>907</v>
      </c>
      <c r="H384" s="256" t="s">
        <v>3304</v>
      </c>
      <c r="I384" s="256" t="s">
        <v>2637</v>
      </c>
      <c r="J384" s="256" t="s">
        <v>234</v>
      </c>
      <c r="K384" s="256">
        <v>150</v>
      </c>
      <c r="L384" s="256" t="s">
        <v>4051</v>
      </c>
      <c r="M384" s="256" t="s">
        <v>77</v>
      </c>
      <c r="N384" s="256" t="s">
        <v>3307</v>
      </c>
      <c r="O384" s="256" t="s">
        <v>3658</v>
      </c>
    </row>
    <row r="385" spans="1:15" s="296" customFormat="1" ht="19.95" customHeight="1" x14ac:dyDescent="0.3">
      <c r="A385" s="256" t="s">
        <v>3272</v>
      </c>
      <c r="B385" s="256" t="s">
        <v>3273</v>
      </c>
      <c r="C385" s="256" t="s">
        <v>117</v>
      </c>
      <c r="D385" s="256">
        <v>37</v>
      </c>
      <c r="E385" s="257">
        <v>45140</v>
      </c>
      <c r="F385" s="257">
        <v>45140</v>
      </c>
      <c r="G385" s="301">
        <f t="shared" ca="1" si="5"/>
        <v>929</v>
      </c>
      <c r="H385" s="256" t="s">
        <v>3304</v>
      </c>
      <c r="I385" s="256" t="s">
        <v>2637</v>
      </c>
      <c r="J385" s="256" t="s">
        <v>234</v>
      </c>
      <c r="K385" s="256">
        <v>300</v>
      </c>
      <c r="L385" s="256" t="s">
        <v>4051</v>
      </c>
      <c r="M385" s="256" t="s">
        <v>77</v>
      </c>
      <c r="N385" s="256" t="s">
        <v>3306</v>
      </c>
      <c r="O385" s="256" t="s">
        <v>3659</v>
      </c>
    </row>
    <row r="386" spans="1:15" s="296" customFormat="1" ht="19.95" customHeight="1" x14ac:dyDescent="0.3">
      <c r="A386" s="256" t="s">
        <v>3274</v>
      </c>
      <c r="B386" s="256" t="s">
        <v>3275</v>
      </c>
      <c r="C386" s="256" t="s">
        <v>3302</v>
      </c>
      <c r="D386" s="256">
        <v>34</v>
      </c>
      <c r="E386" s="257">
        <v>44582</v>
      </c>
      <c r="F386" s="257">
        <v>44582</v>
      </c>
      <c r="G386" s="301">
        <f t="shared" ca="1" si="5"/>
        <v>1487</v>
      </c>
      <c r="H386" s="256" t="s">
        <v>3304</v>
      </c>
      <c r="I386" s="256" t="s">
        <v>2637</v>
      </c>
      <c r="J386" s="256" t="s">
        <v>234</v>
      </c>
      <c r="K386" s="256">
        <v>200</v>
      </c>
      <c r="L386" s="256" t="s">
        <v>4051</v>
      </c>
      <c r="M386" s="256" t="s">
        <v>77</v>
      </c>
      <c r="N386" s="256" t="s">
        <v>2631</v>
      </c>
      <c r="O386" s="256" t="s">
        <v>3482</v>
      </c>
    </row>
    <row r="387" spans="1:15" s="296" customFormat="1" ht="19.95" customHeight="1" x14ac:dyDescent="0.3">
      <c r="A387" s="256" t="s">
        <v>3276</v>
      </c>
      <c r="B387" s="256" t="s">
        <v>3277</v>
      </c>
      <c r="C387" s="256" t="s">
        <v>163</v>
      </c>
      <c r="D387" s="256">
        <v>15</v>
      </c>
      <c r="E387" s="257">
        <v>45225</v>
      </c>
      <c r="F387" s="257">
        <v>45225</v>
      </c>
      <c r="G387" s="301">
        <f t="shared" ref="G387:G450" ca="1" si="6">TODAY()-E387</f>
        <v>844</v>
      </c>
      <c r="H387" s="256" t="s">
        <v>3304</v>
      </c>
      <c r="I387" s="256" t="s">
        <v>2637</v>
      </c>
      <c r="J387" s="256" t="s">
        <v>234</v>
      </c>
      <c r="K387" s="256">
        <v>80</v>
      </c>
      <c r="L387" s="256" t="s">
        <v>4051</v>
      </c>
      <c r="M387" s="256" t="s">
        <v>77</v>
      </c>
      <c r="N387" s="256" t="s">
        <v>2631</v>
      </c>
      <c r="O387" s="256" t="s">
        <v>3482</v>
      </c>
    </row>
    <row r="388" spans="1:15" s="296" customFormat="1" ht="19.95" customHeight="1" x14ac:dyDescent="0.3">
      <c r="A388" s="276" t="s">
        <v>3892</v>
      </c>
      <c r="B388" s="276" t="s">
        <v>3893</v>
      </c>
      <c r="C388" s="276" t="s">
        <v>94</v>
      </c>
      <c r="D388" s="256">
        <v>22</v>
      </c>
      <c r="E388" s="277">
        <v>45411</v>
      </c>
      <c r="F388" s="277">
        <v>45414</v>
      </c>
      <c r="G388" s="301">
        <f t="shared" ca="1" si="6"/>
        <v>658</v>
      </c>
      <c r="H388" s="256" t="s">
        <v>65</v>
      </c>
      <c r="I388" s="257">
        <v>45419</v>
      </c>
      <c r="J388" s="256" t="s">
        <v>234</v>
      </c>
      <c r="K388" s="256">
        <v>400</v>
      </c>
      <c r="L388" s="256" t="s">
        <v>4051</v>
      </c>
      <c r="M388" s="256" t="s">
        <v>66</v>
      </c>
      <c r="N388" s="256" t="s">
        <v>66</v>
      </c>
      <c r="O388" s="256" t="s">
        <v>4087</v>
      </c>
    </row>
    <row r="389" spans="1:15" s="296" customFormat="1" ht="19.95" customHeight="1" x14ac:dyDescent="0.3">
      <c r="A389" s="256" t="s">
        <v>3278</v>
      </c>
      <c r="B389" s="256" t="s">
        <v>3279</v>
      </c>
      <c r="C389" s="259" t="s">
        <v>103</v>
      </c>
      <c r="D389" s="256">
        <v>30</v>
      </c>
      <c r="E389" s="257">
        <v>44595</v>
      </c>
      <c r="F389" s="257">
        <v>44595</v>
      </c>
      <c r="G389" s="301">
        <f t="shared" ca="1" si="6"/>
        <v>1474</v>
      </c>
      <c r="H389" s="256" t="s">
        <v>3304</v>
      </c>
      <c r="I389" s="256" t="s">
        <v>2637</v>
      </c>
      <c r="J389" s="256" t="s">
        <v>234</v>
      </c>
      <c r="K389" s="256">
        <v>300</v>
      </c>
      <c r="L389" s="256" t="s">
        <v>4051</v>
      </c>
      <c r="M389" s="256" t="s">
        <v>77</v>
      </c>
      <c r="N389" s="256" t="s">
        <v>2631</v>
      </c>
      <c r="O389" s="256" t="s">
        <v>3482</v>
      </c>
    </row>
    <row r="390" spans="1:15" s="296" customFormat="1" ht="19.95" customHeight="1" x14ac:dyDescent="0.3">
      <c r="A390" s="256" t="s">
        <v>3280</v>
      </c>
      <c r="B390" s="256" t="s">
        <v>3281</v>
      </c>
      <c r="C390" s="256" t="s">
        <v>165</v>
      </c>
      <c r="D390" s="256"/>
      <c r="E390" s="257">
        <v>44690</v>
      </c>
      <c r="F390" s="257">
        <v>44952</v>
      </c>
      <c r="G390" s="301">
        <f t="shared" ca="1" si="6"/>
        <v>1379</v>
      </c>
      <c r="H390" s="256" t="s">
        <v>3304</v>
      </c>
      <c r="I390" s="256" t="s">
        <v>2637</v>
      </c>
      <c r="J390" s="256" t="s">
        <v>234</v>
      </c>
      <c r="K390" s="256"/>
      <c r="L390" s="256" t="s">
        <v>4051</v>
      </c>
      <c r="M390" s="256" t="s">
        <v>77</v>
      </c>
      <c r="N390" s="256" t="s">
        <v>2631</v>
      </c>
      <c r="O390" s="256" t="s">
        <v>3482</v>
      </c>
    </row>
    <row r="391" spans="1:15" s="296" customFormat="1" ht="19.95" customHeight="1" x14ac:dyDescent="0.3">
      <c r="A391" s="256" t="s">
        <v>3282</v>
      </c>
      <c r="B391" s="256" t="s">
        <v>3283</v>
      </c>
      <c r="C391" s="256" t="s">
        <v>165</v>
      </c>
      <c r="D391" s="256">
        <v>39</v>
      </c>
      <c r="E391" s="257">
        <v>44599</v>
      </c>
      <c r="F391" s="257">
        <v>44599</v>
      </c>
      <c r="G391" s="301">
        <f t="shared" ca="1" si="6"/>
        <v>1470</v>
      </c>
      <c r="H391" s="256" t="s">
        <v>3304</v>
      </c>
      <c r="I391" s="256" t="s">
        <v>2637</v>
      </c>
      <c r="J391" s="256" t="s">
        <v>234</v>
      </c>
      <c r="K391" s="256">
        <v>700</v>
      </c>
      <c r="L391" s="256" t="s">
        <v>4051</v>
      </c>
      <c r="M391" s="256" t="s">
        <v>77</v>
      </c>
      <c r="N391" s="256" t="s">
        <v>2631</v>
      </c>
      <c r="O391" s="256" t="s">
        <v>3482</v>
      </c>
    </row>
    <row r="392" spans="1:15" s="296" customFormat="1" ht="19.95" customHeight="1" x14ac:dyDescent="0.3">
      <c r="A392" s="259" t="s">
        <v>3284</v>
      </c>
      <c r="B392" s="259" t="s">
        <v>3285</v>
      </c>
      <c r="C392" s="276" t="s">
        <v>93</v>
      </c>
      <c r="D392" s="256"/>
      <c r="E392" s="260">
        <v>45335</v>
      </c>
      <c r="F392" s="260">
        <v>45352</v>
      </c>
      <c r="G392" s="301">
        <f t="shared" ca="1" si="6"/>
        <v>734</v>
      </c>
      <c r="H392" s="256" t="s">
        <v>3304</v>
      </c>
      <c r="I392" s="257" t="s">
        <v>2637</v>
      </c>
      <c r="J392" s="256" t="s">
        <v>234</v>
      </c>
      <c r="K392" s="256"/>
      <c r="L392" s="256" t="s">
        <v>4051</v>
      </c>
      <c r="M392" s="256" t="s">
        <v>77</v>
      </c>
      <c r="N392" s="256" t="s">
        <v>70</v>
      </c>
      <c r="O392" s="256" t="s">
        <v>70</v>
      </c>
    </row>
    <row r="393" spans="1:15" s="296" customFormat="1" ht="19.95" customHeight="1" x14ac:dyDescent="0.3">
      <c r="A393" s="256" t="s">
        <v>3286</v>
      </c>
      <c r="B393" s="256" t="s">
        <v>3287</v>
      </c>
      <c r="C393" s="256" t="s">
        <v>94</v>
      </c>
      <c r="D393" s="256"/>
      <c r="E393" s="257">
        <v>44883</v>
      </c>
      <c r="F393" s="257">
        <v>45190</v>
      </c>
      <c r="G393" s="301">
        <f t="shared" ca="1" si="6"/>
        <v>1186</v>
      </c>
      <c r="H393" s="256" t="s">
        <v>3304</v>
      </c>
      <c r="I393" s="256" t="s">
        <v>2637</v>
      </c>
      <c r="J393" s="256" t="s">
        <v>234</v>
      </c>
      <c r="K393" s="256"/>
      <c r="L393" s="256" t="s">
        <v>4051</v>
      </c>
      <c r="M393" s="256" t="s">
        <v>77</v>
      </c>
      <c r="N393" s="256" t="s">
        <v>67</v>
      </c>
      <c r="O393" s="256" t="s">
        <v>67</v>
      </c>
    </row>
    <row r="394" spans="1:15" s="296" customFormat="1" ht="19.95" customHeight="1" x14ac:dyDescent="0.3">
      <c r="A394" s="256" t="s">
        <v>3288</v>
      </c>
      <c r="B394" s="256" t="s">
        <v>3289</v>
      </c>
      <c r="C394" s="259" t="s">
        <v>103</v>
      </c>
      <c r="D394" s="256"/>
      <c r="E394" s="257">
        <v>44552</v>
      </c>
      <c r="F394" s="257">
        <v>45083</v>
      </c>
      <c r="G394" s="301">
        <f t="shared" ca="1" si="6"/>
        <v>1517</v>
      </c>
      <c r="H394" s="256" t="s">
        <v>3304</v>
      </c>
      <c r="I394" s="256" t="s">
        <v>2637</v>
      </c>
      <c r="J394" s="256" t="s">
        <v>234</v>
      </c>
      <c r="K394" s="256"/>
      <c r="L394" s="256" t="s">
        <v>4051</v>
      </c>
      <c r="M394" s="256" t="s">
        <v>77</v>
      </c>
      <c r="N394" s="256" t="s">
        <v>2631</v>
      </c>
      <c r="O394" s="256" t="s">
        <v>3482</v>
      </c>
    </row>
    <row r="395" spans="1:15" s="296" customFormat="1" ht="19.95" customHeight="1" x14ac:dyDescent="0.3">
      <c r="A395" s="256" t="s">
        <v>3290</v>
      </c>
      <c r="B395" s="256" t="s">
        <v>3291</v>
      </c>
      <c r="C395" s="276" t="s">
        <v>93</v>
      </c>
      <c r="D395" s="256">
        <v>4</v>
      </c>
      <c r="E395" s="257">
        <v>45215</v>
      </c>
      <c r="F395" s="257">
        <v>45217</v>
      </c>
      <c r="G395" s="301">
        <f t="shared" ca="1" si="6"/>
        <v>854</v>
      </c>
      <c r="H395" s="256" t="s">
        <v>3304</v>
      </c>
      <c r="I395" s="256" t="s">
        <v>2637</v>
      </c>
      <c r="J395" s="256" t="s">
        <v>234</v>
      </c>
      <c r="K395" s="256">
        <v>400</v>
      </c>
      <c r="L395" s="256" t="s">
        <v>4051</v>
      </c>
      <c r="M395" s="256" t="s">
        <v>77</v>
      </c>
      <c r="N395" s="256" t="s">
        <v>2631</v>
      </c>
      <c r="O395" s="256" t="s">
        <v>3482</v>
      </c>
    </row>
    <row r="396" spans="1:15" s="296" customFormat="1" ht="19.95" customHeight="1" x14ac:dyDescent="0.3">
      <c r="A396" s="256" t="s">
        <v>3292</v>
      </c>
      <c r="B396" s="256" t="s">
        <v>3293</v>
      </c>
      <c r="C396" s="256" t="s">
        <v>97</v>
      </c>
      <c r="D396" s="256">
        <v>15</v>
      </c>
      <c r="E396" s="257">
        <v>45218</v>
      </c>
      <c r="F396" s="257">
        <v>45219</v>
      </c>
      <c r="G396" s="301">
        <f t="shared" ca="1" si="6"/>
        <v>851</v>
      </c>
      <c r="H396" s="256" t="s">
        <v>3304</v>
      </c>
      <c r="I396" s="256" t="s">
        <v>2637</v>
      </c>
      <c r="J396" s="256" t="s">
        <v>234</v>
      </c>
      <c r="K396" s="256">
        <v>230</v>
      </c>
      <c r="L396" s="256" t="s">
        <v>4051</v>
      </c>
      <c r="M396" s="256" t="s">
        <v>77</v>
      </c>
      <c r="N396" s="256" t="s">
        <v>2631</v>
      </c>
      <c r="O396" s="256" t="s">
        <v>3482</v>
      </c>
    </row>
    <row r="397" spans="1:15" s="296" customFormat="1" ht="19.95" customHeight="1" x14ac:dyDescent="0.3">
      <c r="A397" s="272" t="s">
        <v>3894</v>
      </c>
      <c r="B397" s="272" t="s">
        <v>3895</v>
      </c>
      <c r="C397" s="272" t="s">
        <v>98</v>
      </c>
      <c r="D397" s="306">
        <v>29</v>
      </c>
      <c r="E397" s="273">
        <v>45414</v>
      </c>
      <c r="F397" s="273">
        <v>45415</v>
      </c>
      <c r="G397" s="301">
        <f t="shared" ca="1" si="6"/>
        <v>655</v>
      </c>
      <c r="H397" s="306" t="s">
        <v>65</v>
      </c>
      <c r="I397" s="257">
        <v>45419</v>
      </c>
      <c r="J397" s="272" t="s">
        <v>234</v>
      </c>
      <c r="K397" s="306">
        <v>200</v>
      </c>
      <c r="L397" s="272" t="s">
        <v>4051</v>
      </c>
      <c r="M397" s="306" t="s">
        <v>66</v>
      </c>
      <c r="N397" s="306" t="s">
        <v>66</v>
      </c>
      <c r="O397" s="306" t="s">
        <v>4088</v>
      </c>
    </row>
    <row r="398" spans="1:15" s="296" customFormat="1" ht="19.95" customHeight="1" x14ac:dyDescent="0.3">
      <c r="A398" s="256" t="s">
        <v>3294</v>
      </c>
      <c r="B398" s="256" t="s">
        <v>3295</v>
      </c>
      <c r="C398" s="256" t="s">
        <v>165</v>
      </c>
      <c r="D398" s="256">
        <v>26</v>
      </c>
      <c r="E398" s="257">
        <v>44862</v>
      </c>
      <c r="F398" s="257">
        <v>44865</v>
      </c>
      <c r="G398" s="301">
        <f t="shared" ca="1" si="6"/>
        <v>1207</v>
      </c>
      <c r="H398" s="256" t="s">
        <v>3304</v>
      </c>
      <c r="I398" s="256" t="s">
        <v>2637</v>
      </c>
      <c r="J398" s="256" t="s">
        <v>234</v>
      </c>
      <c r="K398" s="256">
        <v>350</v>
      </c>
      <c r="L398" s="256" t="s">
        <v>4051</v>
      </c>
      <c r="M398" s="256" t="s">
        <v>77</v>
      </c>
      <c r="N398" s="256" t="s">
        <v>3306</v>
      </c>
      <c r="O398" s="256" t="s">
        <v>3660</v>
      </c>
    </row>
    <row r="399" spans="1:15" s="296" customFormat="1" ht="19.95" customHeight="1" x14ac:dyDescent="0.3">
      <c r="A399" s="259" t="s">
        <v>3296</v>
      </c>
      <c r="B399" s="259" t="s">
        <v>3297</v>
      </c>
      <c r="C399" s="256" t="s">
        <v>100</v>
      </c>
      <c r="D399" s="256">
        <v>101</v>
      </c>
      <c r="E399" s="260">
        <v>45349</v>
      </c>
      <c r="F399" s="260">
        <v>45350</v>
      </c>
      <c r="G399" s="301">
        <f t="shared" ca="1" si="6"/>
        <v>720</v>
      </c>
      <c r="H399" s="256" t="s">
        <v>3304</v>
      </c>
      <c r="I399" s="257" t="s">
        <v>2637</v>
      </c>
      <c r="J399" s="256" t="s">
        <v>234</v>
      </c>
      <c r="K399" s="256">
        <v>100</v>
      </c>
      <c r="L399" s="256" t="s">
        <v>4051</v>
      </c>
      <c r="M399" s="256" t="s">
        <v>77</v>
      </c>
      <c r="N399" s="256" t="s">
        <v>2631</v>
      </c>
      <c r="O399" s="256" t="s">
        <v>3482</v>
      </c>
    </row>
    <row r="400" spans="1:15" s="296" customFormat="1" ht="19.95" customHeight="1" x14ac:dyDescent="0.3">
      <c r="A400" s="306" t="s">
        <v>2921</v>
      </c>
      <c r="B400" s="306" t="s">
        <v>2922</v>
      </c>
      <c r="C400" s="306" t="s">
        <v>118</v>
      </c>
      <c r="D400" s="306">
        <v>41</v>
      </c>
      <c r="E400" s="273">
        <v>45414</v>
      </c>
      <c r="F400" s="273">
        <v>45415</v>
      </c>
      <c r="G400" s="301">
        <f t="shared" ca="1" si="6"/>
        <v>655</v>
      </c>
      <c r="H400" s="306" t="s">
        <v>65</v>
      </c>
      <c r="I400" s="257">
        <v>45419</v>
      </c>
      <c r="J400" s="272" t="s">
        <v>234</v>
      </c>
      <c r="K400" s="306">
        <v>300</v>
      </c>
      <c r="L400" s="306" t="s">
        <v>4051</v>
      </c>
      <c r="M400" s="306" t="s">
        <v>66</v>
      </c>
      <c r="N400" s="306" t="s">
        <v>66</v>
      </c>
      <c r="O400" s="306" t="s">
        <v>4089</v>
      </c>
    </row>
    <row r="401" spans="1:15" s="296" customFormat="1" ht="19.95" customHeight="1" x14ac:dyDescent="0.3">
      <c r="A401" s="272" t="s">
        <v>3896</v>
      </c>
      <c r="B401" s="272" t="s">
        <v>3897</v>
      </c>
      <c r="C401" s="272" t="s">
        <v>2515</v>
      </c>
      <c r="D401" s="256"/>
      <c r="E401" s="273">
        <v>45411</v>
      </c>
      <c r="F401" s="273">
        <v>45416</v>
      </c>
      <c r="G401" s="301">
        <f t="shared" ca="1" si="6"/>
        <v>658</v>
      </c>
      <c r="H401" s="256" t="s">
        <v>63</v>
      </c>
      <c r="I401" s="256"/>
      <c r="J401" s="272" t="s">
        <v>234</v>
      </c>
      <c r="K401" s="256"/>
      <c r="L401" s="306" t="s">
        <v>4051</v>
      </c>
      <c r="M401" s="256" t="s">
        <v>63</v>
      </c>
      <c r="N401" s="256" t="s">
        <v>63</v>
      </c>
      <c r="O401" s="256"/>
    </row>
    <row r="402" spans="1:15" s="296" customFormat="1" ht="19.95" customHeight="1" x14ac:dyDescent="0.3">
      <c r="A402" s="272" t="s">
        <v>3898</v>
      </c>
      <c r="B402" s="272" t="s">
        <v>3899</v>
      </c>
      <c r="C402" s="272" t="s">
        <v>235</v>
      </c>
      <c r="D402" s="256"/>
      <c r="E402" s="273">
        <v>45411</v>
      </c>
      <c r="F402" s="273">
        <v>45416</v>
      </c>
      <c r="G402" s="301">
        <f t="shared" ca="1" si="6"/>
        <v>658</v>
      </c>
      <c r="H402" s="256" t="s">
        <v>63</v>
      </c>
      <c r="I402" s="256"/>
      <c r="J402" s="272" t="s">
        <v>234</v>
      </c>
      <c r="K402" s="256"/>
      <c r="L402" s="306" t="s">
        <v>4051</v>
      </c>
      <c r="M402" s="256" t="s">
        <v>63</v>
      </c>
      <c r="N402" s="256" t="s">
        <v>63</v>
      </c>
      <c r="O402" s="256"/>
    </row>
    <row r="403" spans="1:15" s="296" customFormat="1" ht="19.95" customHeight="1" x14ac:dyDescent="0.3">
      <c r="A403" s="272" t="s">
        <v>3900</v>
      </c>
      <c r="B403" s="272" t="s">
        <v>3901</v>
      </c>
      <c r="C403" s="272" t="s">
        <v>135</v>
      </c>
      <c r="D403" s="256"/>
      <c r="E403" s="273">
        <v>45411</v>
      </c>
      <c r="F403" s="273">
        <v>45416</v>
      </c>
      <c r="G403" s="301">
        <f t="shared" ca="1" si="6"/>
        <v>658</v>
      </c>
      <c r="H403" s="256" t="s">
        <v>63</v>
      </c>
      <c r="I403" s="256"/>
      <c r="J403" s="272" t="s">
        <v>234</v>
      </c>
      <c r="K403" s="256"/>
      <c r="L403" s="306" t="s">
        <v>4051</v>
      </c>
      <c r="M403" s="256" t="s">
        <v>63</v>
      </c>
      <c r="N403" s="256" t="s">
        <v>63</v>
      </c>
      <c r="O403" s="256"/>
    </row>
    <row r="404" spans="1:15" s="296" customFormat="1" ht="19.95" customHeight="1" x14ac:dyDescent="0.3">
      <c r="A404" s="272" t="s">
        <v>3902</v>
      </c>
      <c r="B404" s="272" t="s">
        <v>3903</v>
      </c>
      <c r="C404" s="272" t="s">
        <v>95</v>
      </c>
      <c r="D404" s="256"/>
      <c r="E404" s="273">
        <v>45412</v>
      </c>
      <c r="F404" s="273">
        <v>45416</v>
      </c>
      <c r="G404" s="301">
        <f t="shared" ca="1" si="6"/>
        <v>657</v>
      </c>
      <c r="H404" s="256" t="s">
        <v>63</v>
      </c>
      <c r="I404" s="256"/>
      <c r="J404" s="272" t="s">
        <v>234</v>
      </c>
      <c r="K404" s="256"/>
      <c r="L404" s="306" t="s">
        <v>4051</v>
      </c>
      <c r="M404" s="256" t="s">
        <v>63</v>
      </c>
      <c r="N404" s="256" t="s">
        <v>63</v>
      </c>
      <c r="O404" s="256"/>
    </row>
    <row r="405" spans="1:15" s="296" customFormat="1" ht="19.95" customHeight="1" x14ac:dyDescent="0.3">
      <c r="A405" s="272" t="s">
        <v>3904</v>
      </c>
      <c r="B405" s="272" t="s">
        <v>3905</v>
      </c>
      <c r="C405" s="272" t="s">
        <v>2477</v>
      </c>
      <c r="D405" s="256"/>
      <c r="E405" s="273">
        <v>45413</v>
      </c>
      <c r="F405" s="273">
        <v>45416</v>
      </c>
      <c r="G405" s="301">
        <f t="shared" ca="1" si="6"/>
        <v>656</v>
      </c>
      <c r="H405" s="256" t="s">
        <v>63</v>
      </c>
      <c r="I405" s="256"/>
      <c r="J405" s="272" t="s">
        <v>234</v>
      </c>
      <c r="K405" s="256"/>
      <c r="L405" s="306" t="s">
        <v>4051</v>
      </c>
      <c r="M405" s="256" t="s">
        <v>63</v>
      </c>
      <c r="N405" s="256" t="s">
        <v>63</v>
      </c>
      <c r="O405" s="256"/>
    </row>
    <row r="406" spans="1:15" s="296" customFormat="1" ht="19.95" customHeight="1" x14ac:dyDescent="0.3">
      <c r="A406" s="272" t="s">
        <v>3906</v>
      </c>
      <c r="B406" s="272" t="s">
        <v>3907</v>
      </c>
      <c r="C406" s="272" t="s">
        <v>94</v>
      </c>
      <c r="D406" s="256"/>
      <c r="E406" s="273">
        <v>45414</v>
      </c>
      <c r="F406" s="273">
        <v>45416</v>
      </c>
      <c r="G406" s="301">
        <f t="shared" ca="1" si="6"/>
        <v>655</v>
      </c>
      <c r="H406" s="256" t="s">
        <v>63</v>
      </c>
      <c r="I406" s="256"/>
      <c r="J406" s="272" t="s">
        <v>234</v>
      </c>
      <c r="K406" s="256"/>
      <c r="L406" s="306" t="s">
        <v>4051</v>
      </c>
      <c r="M406" s="256" t="s">
        <v>63</v>
      </c>
      <c r="N406" s="256" t="s">
        <v>63</v>
      </c>
      <c r="O406" s="256"/>
    </row>
    <row r="407" spans="1:15" s="296" customFormat="1" ht="19.95" customHeight="1" x14ac:dyDescent="0.3">
      <c r="A407" s="272" t="s">
        <v>3908</v>
      </c>
      <c r="B407" s="272" t="s">
        <v>3909</v>
      </c>
      <c r="C407" s="272" t="s">
        <v>135</v>
      </c>
      <c r="D407" s="256"/>
      <c r="E407" s="273">
        <v>45414</v>
      </c>
      <c r="F407" s="273">
        <v>45416</v>
      </c>
      <c r="G407" s="301">
        <f t="shared" ca="1" si="6"/>
        <v>655</v>
      </c>
      <c r="H407" s="256" t="s">
        <v>63</v>
      </c>
      <c r="I407" s="256"/>
      <c r="J407" s="272" t="s">
        <v>234</v>
      </c>
      <c r="K407" s="256"/>
      <c r="L407" s="306" t="s">
        <v>4051</v>
      </c>
      <c r="M407" s="256" t="s">
        <v>63</v>
      </c>
      <c r="N407" s="256" t="s">
        <v>63</v>
      </c>
      <c r="O407" s="256"/>
    </row>
    <row r="408" spans="1:15" s="296" customFormat="1" ht="19.95" customHeight="1" x14ac:dyDescent="0.3">
      <c r="A408" s="272" t="s">
        <v>3910</v>
      </c>
      <c r="B408" s="272" t="s">
        <v>3911</v>
      </c>
      <c r="C408" s="272" t="s">
        <v>235</v>
      </c>
      <c r="D408" s="256"/>
      <c r="E408" s="273">
        <v>45415</v>
      </c>
      <c r="F408" s="273">
        <v>45416</v>
      </c>
      <c r="G408" s="301">
        <f t="shared" ca="1" si="6"/>
        <v>654</v>
      </c>
      <c r="H408" s="256" t="s">
        <v>63</v>
      </c>
      <c r="I408" s="256"/>
      <c r="J408" s="272" t="s">
        <v>234</v>
      </c>
      <c r="K408" s="256"/>
      <c r="L408" s="306" t="s">
        <v>4051</v>
      </c>
      <c r="M408" s="256" t="s">
        <v>63</v>
      </c>
      <c r="N408" s="256" t="s">
        <v>63</v>
      </c>
      <c r="O408" s="256"/>
    </row>
    <row r="409" spans="1:15" s="296" customFormat="1" ht="19.95" customHeight="1" x14ac:dyDescent="0.3">
      <c r="A409" s="272" t="s">
        <v>3912</v>
      </c>
      <c r="B409" s="272" t="s">
        <v>502</v>
      </c>
      <c r="C409" s="272" t="s">
        <v>93</v>
      </c>
      <c r="D409" s="256"/>
      <c r="E409" s="273">
        <v>45415</v>
      </c>
      <c r="F409" s="273">
        <v>45416</v>
      </c>
      <c r="G409" s="301">
        <f t="shared" ca="1" si="6"/>
        <v>654</v>
      </c>
      <c r="H409" s="256" t="s">
        <v>63</v>
      </c>
      <c r="I409" s="256"/>
      <c r="J409" s="272" t="s">
        <v>234</v>
      </c>
      <c r="K409" s="256"/>
      <c r="L409" s="306" t="s">
        <v>4051</v>
      </c>
      <c r="M409" s="256" t="s">
        <v>63</v>
      </c>
      <c r="N409" s="256" t="s">
        <v>63</v>
      </c>
      <c r="O409" s="256"/>
    </row>
    <row r="410" spans="1:15" s="296" customFormat="1" ht="19.95" customHeight="1" x14ac:dyDescent="0.3">
      <c r="A410" s="272" t="s">
        <v>3913</v>
      </c>
      <c r="B410" s="272" t="s">
        <v>3914</v>
      </c>
      <c r="C410" s="272" t="s">
        <v>120</v>
      </c>
      <c r="D410" s="256"/>
      <c r="E410" s="273">
        <v>45415</v>
      </c>
      <c r="F410" s="273">
        <v>45416</v>
      </c>
      <c r="G410" s="301">
        <f t="shared" ca="1" si="6"/>
        <v>654</v>
      </c>
      <c r="H410" s="256" t="s">
        <v>63</v>
      </c>
      <c r="I410" s="256"/>
      <c r="J410" s="272" t="s">
        <v>234</v>
      </c>
      <c r="K410" s="256"/>
      <c r="L410" s="306" t="s">
        <v>4051</v>
      </c>
      <c r="M410" s="256" t="s">
        <v>63</v>
      </c>
      <c r="N410" s="256" t="s">
        <v>63</v>
      </c>
      <c r="O410" s="256"/>
    </row>
    <row r="411" spans="1:15" s="296" customFormat="1" ht="19.95" customHeight="1" x14ac:dyDescent="0.3">
      <c r="A411" s="276" t="s">
        <v>2532</v>
      </c>
      <c r="B411" s="276" t="s">
        <v>2533</v>
      </c>
      <c r="C411" s="281" t="s">
        <v>211</v>
      </c>
      <c r="D411" s="281">
        <v>5</v>
      </c>
      <c r="E411" s="277">
        <v>44904</v>
      </c>
      <c r="F411" s="277">
        <v>44908</v>
      </c>
      <c r="G411" s="301">
        <f t="shared" ca="1" si="6"/>
        <v>1165</v>
      </c>
      <c r="H411" s="281" t="s">
        <v>41</v>
      </c>
      <c r="I411" s="280" t="s">
        <v>3807</v>
      </c>
      <c r="J411" s="280" t="s">
        <v>3754</v>
      </c>
      <c r="K411" s="280">
        <v>700</v>
      </c>
      <c r="L411" s="280" t="s">
        <v>4051</v>
      </c>
      <c r="M411" s="256" t="s">
        <v>41</v>
      </c>
      <c r="N411" s="281" t="s">
        <v>41</v>
      </c>
      <c r="O411" s="280" t="s">
        <v>3662</v>
      </c>
    </row>
    <row r="412" spans="1:15" s="296" customFormat="1" ht="19.95" customHeight="1" x14ac:dyDescent="0.3">
      <c r="A412" s="306" t="s">
        <v>2534</v>
      </c>
      <c r="B412" s="276" t="s">
        <v>2535</v>
      </c>
      <c r="C412" s="281" t="s">
        <v>211</v>
      </c>
      <c r="D412" s="281">
        <v>5</v>
      </c>
      <c r="E412" s="277">
        <v>44896</v>
      </c>
      <c r="F412" s="277">
        <v>44900</v>
      </c>
      <c r="G412" s="301">
        <f t="shared" ca="1" si="6"/>
        <v>1173</v>
      </c>
      <c r="H412" s="281" t="s">
        <v>41</v>
      </c>
      <c r="I412" s="280" t="s">
        <v>3807</v>
      </c>
      <c r="J412" s="280" t="s">
        <v>3754</v>
      </c>
      <c r="K412" s="280">
        <v>800</v>
      </c>
      <c r="L412" s="280" t="s">
        <v>4051</v>
      </c>
      <c r="M412" s="256" t="s">
        <v>41</v>
      </c>
      <c r="N412" s="281" t="s">
        <v>41</v>
      </c>
      <c r="O412" s="280" t="s">
        <v>3663</v>
      </c>
    </row>
    <row r="413" spans="1:15" s="296" customFormat="1" ht="19.95" customHeight="1" x14ac:dyDescent="0.3">
      <c r="A413" s="281" t="s">
        <v>2580</v>
      </c>
      <c r="B413" s="281" t="s">
        <v>2581</v>
      </c>
      <c r="C413" s="281" t="s">
        <v>211</v>
      </c>
      <c r="D413" s="308">
        <v>10</v>
      </c>
      <c r="E413" s="273">
        <v>45295</v>
      </c>
      <c r="F413" s="273">
        <v>45295</v>
      </c>
      <c r="G413" s="301">
        <f t="shared" ca="1" si="6"/>
        <v>774</v>
      </c>
      <c r="H413" s="281" t="s">
        <v>41</v>
      </c>
      <c r="I413" s="281"/>
      <c r="J413" s="281" t="s">
        <v>234</v>
      </c>
      <c r="K413" s="281">
        <v>800</v>
      </c>
      <c r="L413" s="281" t="s">
        <v>4051</v>
      </c>
      <c r="M413" s="256" t="s">
        <v>41</v>
      </c>
      <c r="N413" s="281" t="s">
        <v>41</v>
      </c>
      <c r="O413" s="281" t="s">
        <v>3664</v>
      </c>
    </row>
    <row r="414" spans="1:15" s="296" customFormat="1" ht="19.95" customHeight="1" x14ac:dyDescent="0.3">
      <c r="A414" s="281" t="s">
        <v>3475</v>
      </c>
      <c r="B414" s="281" t="s">
        <v>3476</v>
      </c>
      <c r="C414" s="281" t="s">
        <v>224</v>
      </c>
      <c r="D414" s="308"/>
      <c r="E414" s="273">
        <v>45408</v>
      </c>
      <c r="F414" s="273">
        <v>45409</v>
      </c>
      <c r="G414" s="301">
        <f t="shared" ca="1" si="6"/>
        <v>661</v>
      </c>
      <c r="H414" s="256" t="s">
        <v>3304</v>
      </c>
      <c r="I414" s="273"/>
      <c r="J414" s="281" t="s">
        <v>234</v>
      </c>
      <c r="K414" s="281"/>
      <c r="L414" s="281" t="s">
        <v>4051</v>
      </c>
      <c r="M414" s="256" t="s">
        <v>77</v>
      </c>
      <c r="N414" s="281" t="s">
        <v>86</v>
      </c>
      <c r="O414" s="281" t="s">
        <v>3818</v>
      </c>
    </row>
    <row r="415" spans="1:15" s="296" customFormat="1" ht="19.95" customHeight="1" x14ac:dyDescent="0.3">
      <c r="A415" s="276" t="s">
        <v>2540</v>
      </c>
      <c r="B415" s="276" t="s">
        <v>2541</v>
      </c>
      <c r="C415" s="281" t="s">
        <v>214</v>
      </c>
      <c r="D415" s="281">
        <v>7</v>
      </c>
      <c r="E415" s="277">
        <v>44808</v>
      </c>
      <c r="F415" s="277">
        <v>44811</v>
      </c>
      <c r="G415" s="301">
        <f t="shared" ca="1" si="6"/>
        <v>1261</v>
      </c>
      <c r="H415" s="281" t="s">
        <v>41</v>
      </c>
      <c r="I415" s="280" t="s">
        <v>3807</v>
      </c>
      <c r="J415" s="280" t="s">
        <v>3754</v>
      </c>
      <c r="K415" s="280">
        <v>500</v>
      </c>
      <c r="L415" s="280" t="s">
        <v>4051</v>
      </c>
      <c r="M415" s="256" t="s">
        <v>41</v>
      </c>
      <c r="N415" s="281" t="s">
        <v>41</v>
      </c>
      <c r="O415" s="280" t="s">
        <v>3665</v>
      </c>
    </row>
    <row r="416" spans="1:15" s="296" customFormat="1" ht="19.95" customHeight="1" x14ac:dyDescent="0.3">
      <c r="A416" s="276" t="s">
        <v>2546</v>
      </c>
      <c r="B416" s="276" t="s">
        <v>2547</v>
      </c>
      <c r="C416" s="281" t="s">
        <v>214</v>
      </c>
      <c r="D416" s="281">
        <v>3</v>
      </c>
      <c r="E416" s="277">
        <v>45154</v>
      </c>
      <c r="F416" s="277">
        <v>45154</v>
      </c>
      <c r="G416" s="301">
        <f t="shared" ca="1" si="6"/>
        <v>915</v>
      </c>
      <c r="H416" s="281" t="s">
        <v>41</v>
      </c>
      <c r="I416" s="280" t="s">
        <v>3807</v>
      </c>
      <c r="J416" s="280" t="s">
        <v>3754</v>
      </c>
      <c r="K416" s="280">
        <v>700</v>
      </c>
      <c r="L416" s="280" t="s">
        <v>4051</v>
      </c>
      <c r="M416" s="256" t="s">
        <v>41</v>
      </c>
      <c r="N416" s="281" t="s">
        <v>41</v>
      </c>
      <c r="O416" s="280" t="s">
        <v>3666</v>
      </c>
    </row>
    <row r="417" spans="1:15" s="296" customFormat="1" ht="19.95" customHeight="1" x14ac:dyDescent="0.3">
      <c r="A417" s="276" t="s">
        <v>2554</v>
      </c>
      <c r="B417" s="276" t="s">
        <v>2555</v>
      </c>
      <c r="C417" s="281" t="s">
        <v>214</v>
      </c>
      <c r="D417" s="281">
        <v>6</v>
      </c>
      <c r="E417" s="277">
        <v>45195</v>
      </c>
      <c r="F417" s="277">
        <v>45199</v>
      </c>
      <c r="G417" s="301">
        <f t="shared" ca="1" si="6"/>
        <v>874</v>
      </c>
      <c r="H417" s="281" t="s">
        <v>41</v>
      </c>
      <c r="I417" s="280" t="s">
        <v>3807</v>
      </c>
      <c r="J417" s="280" t="s">
        <v>234</v>
      </c>
      <c r="K417" s="280">
        <v>1500</v>
      </c>
      <c r="L417" s="280" t="s">
        <v>4051</v>
      </c>
      <c r="M417" s="256" t="s">
        <v>41</v>
      </c>
      <c r="N417" s="281" t="s">
        <v>41</v>
      </c>
      <c r="O417" s="280" t="s">
        <v>3667</v>
      </c>
    </row>
    <row r="418" spans="1:15" s="296" customFormat="1" ht="19.95" customHeight="1" x14ac:dyDescent="0.3">
      <c r="A418" s="281" t="s">
        <v>2572</v>
      </c>
      <c r="B418" s="281" t="s">
        <v>2573</v>
      </c>
      <c r="C418" s="281" t="s">
        <v>106</v>
      </c>
      <c r="D418" s="276">
        <v>62</v>
      </c>
      <c r="E418" s="314">
        <v>45265</v>
      </c>
      <c r="F418" s="314">
        <v>45265</v>
      </c>
      <c r="G418" s="301">
        <f t="shared" ca="1" si="6"/>
        <v>804</v>
      </c>
      <c r="H418" s="281" t="s">
        <v>41</v>
      </c>
      <c r="I418" s="281"/>
      <c r="J418" s="281" t="s">
        <v>234</v>
      </c>
      <c r="K418" s="281">
        <v>1800</v>
      </c>
      <c r="L418" s="281" t="s">
        <v>4051</v>
      </c>
      <c r="M418" s="256" t="s">
        <v>41</v>
      </c>
      <c r="N418" s="281" t="s">
        <v>41</v>
      </c>
      <c r="O418" s="281" t="s">
        <v>3721</v>
      </c>
    </row>
    <row r="419" spans="1:15" s="296" customFormat="1" ht="19.95" customHeight="1" x14ac:dyDescent="0.3">
      <c r="A419" s="272" t="s">
        <v>2562</v>
      </c>
      <c r="B419" s="281" t="s">
        <v>2563</v>
      </c>
      <c r="C419" s="281" t="s">
        <v>106</v>
      </c>
      <c r="D419" s="281">
        <v>30</v>
      </c>
      <c r="E419" s="314">
        <v>45246</v>
      </c>
      <c r="F419" s="314">
        <v>45247</v>
      </c>
      <c r="G419" s="301">
        <f t="shared" ca="1" si="6"/>
        <v>823</v>
      </c>
      <c r="H419" s="281" t="s">
        <v>41</v>
      </c>
      <c r="I419" s="281"/>
      <c r="J419" s="280" t="s">
        <v>234</v>
      </c>
      <c r="K419" s="280">
        <v>1100</v>
      </c>
      <c r="L419" s="280" t="s">
        <v>4051</v>
      </c>
      <c r="M419" s="256" t="s">
        <v>41</v>
      </c>
      <c r="N419" s="281" t="s">
        <v>41</v>
      </c>
      <c r="O419" s="281" t="s">
        <v>3683</v>
      </c>
    </row>
    <row r="420" spans="1:15" s="296" customFormat="1" ht="19.95" customHeight="1" x14ac:dyDescent="0.3">
      <c r="A420" s="276" t="s">
        <v>2566</v>
      </c>
      <c r="B420" s="276" t="s">
        <v>2567</v>
      </c>
      <c r="C420" s="281" t="s">
        <v>106</v>
      </c>
      <c r="D420" s="281">
        <v>6</v>
      </c>
      <c r="E420" s="277">
        <v>45251</v>
      </c>
      <c r="F420" s="277">
        <v>45251</v>
      </c>
      <c r="G420" s="301">
        <f t="shared" ca="1" si="6"/>
        <v>818</v>
      </c>
      <c r="H420" s="281" t="s">
        <v>41</v>
      </c>
      <c r="I420" s="281"/>
      <c r="J420" s="280" t="s">
        <v>234</v>
      </c>
      <c r="K420" s="281">
        <v>1000</v>
      </c>
      <c r="L420" s="280" t="s">
        <v>4051</v>
      </c>
      <c r="M420" s="256" t="s">
        <v>41</v>
      </c>
      <c r="N420" s="281" t="s">
        <v>41</v>
      </c>
      <c r="O420" s="281" t="s">
        <v>3684</v>
      </c>
    </row>
    <row r="421" spans="1:15" s="296" customFormat="1" ht="19.95" customHeight="1" x14ac:dyDescent="0.3">
      <c r="A421" s="276" t="s">
        <v>2570</v>
      </c>
      <c r="B421" s="276" t="s">
        <v>2571</v>
      </c>
      <c r="C421" s="281" t="s">
        <v>106</v>
      </c>
      <c r="D421" s="281">
        <v>62</v>
      </c>
      <c r="E421" s="277">
        <v>45265</v>
      </c>
      <c r="F421" s="277">
        <v>45266</v>
      </c>
      <c r="G421" s="301">
        <f t="shared" ca="1" si="6"/>
        <v>804</v>
      </c>
      <c r="H421" s="281" t="s">
        <v>41</v>
      </c>
      <c r="I421" s="281"/>
      <c r="J421" s="280" t="s">
        <v>234</v>
      </c>
      <c r="K421" s="281">
        <v>1200</v>
      </c>
      <c r="L421" s="280" t="s">
        <v>4051</v>
      </c>
      <c r="M421" s="256" t="s">
        <v>41</v>
      </c>
      <c r="N421" s="281" t="s">
        <v>41</v>
      </c>
      <c r="O421" s="281" t="s">
        <v>3685</v>
      </c>
    </row>
    <row r="422" spans="1:15" s="296" customFormat="1" ht="19.95" customHeight="1" x14ac:dyDescent="0.3">
      <c r="A422" s="281" t="s">
        <v>2574</v>
      </c>
      <c r="B422" s="281" t="s">
        <v>2575</v>
      </c>
      <c r="C422" s="281" t="s">
        <v>106</v>
      </c>
      <c r="D422" s="276">
        <v>62</v>
      </c>
      <c r="E422" s="314">
        <v>45266</v>
      </c>
      <c r="F422" s="314">
        <v>45266</v>
      </c>
      <c r="G422" s="301">
        <f t="shared" ca="1" si="6"/>
        <v>803</v>
      </c>
      <c r="H422" s="281" t="s">
        <v>41</v>
      </c>
      <c r="I422" s="281"/>
      <c r="J422" s="281" t="s">
        <v>234</v>
      </c>
      <c r="K422" s="281">
        <v>1000</v>
      </c>
      <c r="L422" s="281" t="s">
        <v>4051</v>
      </c>
      <c r="M422" s="256" t="s">
        <v>41</v>
      </c>
      <c r="N422" s="281" t="s">
        <v>41</v>
      </c>
      <c r="O422" s="281" t="s">
        <v>3686</v>
      </c>
    </row>
    <row r="423" spans="1:15" s="296" customFormat="1" ht="19.95" customHeight="1" x14ac:dyDescent="0.3">
      <c r="A423" s="281" t="s">
        <v>2576</v>
      </c>
      <c r="B423" s="281" t="s">
        <v>2577</v>
      </c>
      <c r="C423" s="281" t="s">
        <v>106</v>
      </c>
      <c r="D423" s="308">
        <v>62</v>
      </c>
      <c r="E423" s="273">
        <v>45272</v>
      </c>
      <c r="F423" s="273">
        <v>45273</v>
      </c>
      <c r="G423" s="301">
        <f t="shared" ca="1" si="6"/>
        <v>797</v>
      </c>
      <c r="H423" s="281" t="s">
        <v>41</v>
      </c>
      <c r="I423" s="281"/>
      <c r="J423" s="281" t="s">
        <v>234</v>
      </c>
      <c r="K423" s="281">
        <v>800</v>
      </c>
      <c r="L423" s="281" t="s">
        <v>4051</v>
      </c>
      <c r="M423" s="256" t="s">
        <v>41</v>
      </c>
      <c r="N423" s="281" t="s">
        <v>41</v>
      </c>
      <c r="O423" s="281" t="s">
        <v>3687</v>
      </c>
    </row>
    <row r="424" spans="1:15" s="296" customFormat="1" ht="19.95" customHeight="1" x14ac:dyDescent="0.3">
      <c r="A424" s="281" t="s">
        <v>2624</v>
      </c>
      <c r="B424" s="281" t="s">
        <v>2625</v>
      </c>
      <c r="C424" s="281" t="s">
        <v>106</v>
      </c>
      <c r="D424" s="308">
        <v>62</v>
      </c>
      <c r="E424" s="273">
        <v>45380</v>
      </c>
      <c r="F424" s="273">
        <v>45381</v>
      </c>
      <c r="G424" s="301">
        <f t="shared" ca="1" si="6"/>
        <v>689</v>
      </c>
      <c r="H424" s="281" t="s">
        <v>41</v>
      </c>
      <c r="I424" s="273"/>
      <c r="J424" s="281" t="s">
        <v>234</v>
      </c>
      <c r="K424" s="281">
        <v>850</v>
      </c>
      <c r="L424" s="281" t="s">
        <v>4051</v>
      </c>
      <c r="M424" s="256" t="s">
        <v>41</v>
      </c>
      <c r="N424" s="281" t="s">
        <v>41</v>
      </c>
      <c r="O424" s="281" t="s">
        <v>3688</v>
      </c>
    </row>
    <row r="425" spans="1:15" s="296" customFormat="1" ht="19.95" customHeight="1" x14ac:dyDescent="0.3">
      <c r="A425" s="281" t="s">
        <v>2626</v>
      </c>
      <c r="B425" s="281" t="s">
        <v>2627</v>
      </c>
      <c r="C425" s="281" t="s">
        <v>106</v>
      </c>
      <c r="D425" s="308">
        <v>6</v>
      </c>
      <c r="E425" s="273">
        <v>45386</v>
      </c>
      <c r="F425" s="273">
        <v>45387</v>
      </c>
      <c r="G425" s="301">
        <f t="shared" ca="1" si="6"/>
        <v>683</v>
      </c>
      <c r="H425" s="281" t="s">
        <v>41</v>
      </c>
      <c r="I425" s="273"/>
      <c r="J425" s="281" t="s">
        <v>234</v>
      </c>
      <c r="K425" s="281">
        <v>850</v>
      </c>
      <c r="L425" s="281" t="s">
        <v>4051</v>
      </c>
      <c r="M425" s="256" t="s">
        <v>41</v>
      </c>
      <c r="N425" s="281" t="s">
        <v>41</v>
      </c>
      <c r="O425" s="281" t="s">
        <v>3689</v>
      </c>
    </row>
    <row r="426" spans="1:15" s="296" customFormat="1" ht="19.95" customHeight="1" x14ac:dyDescent="0.3">
      <c r="A426" s="281" t="s">
        <v>2602</v>
      </c>
      <c r="B426" s="281" t="s">
        <v>2603</v>
      </c>
      <c r="C426" s="281" t="s">
        <v>106</v>
      </c>
      <c r="D426" s="308"/>
      <c r="E426" s="273">
        <v>45323</v>
      </c>
      <c r="F426" s="273">
        <v>45324</v>
      </c>
      <c r="G426" s="301">
        <f t="shared" ca="1" si="6"/>
        <v>746</v>
      </c>
      <c r="H426" s="281" t="s">
        <v>41</v>
      </c>
      <c r="I426" s="281"/>
      <c r="J426" s="281" t="s">
        <v>234</v>
      </c>
      <c r="K426" s="281"/>
      <c r="L426" s="281" t="s">
        <v>4051</v>
      </c>
      <c r="M426" s="256" t="s">
        <v>41</v>
      </c>
      <c r="N426" s="281" t="s">
        <v>41</v>
      </c>
      <c r="O426" s="281" t="s">
        <v>3729</v>
      </c>
    </row>
    <row r="427" spans="1:15" s="296" customFormat="1" ht="19.95" customHeight="1" x14ac:dyDescent="0.3">
      <c r="A427" s="281" t="s">
        <v>2604</v>
      </c>
      <c r="B427" s="281" t="s">
        <v>2605</v>
      </c>
      <c r="C427" s="281" t="s">
        <v>106</v>
      </c>
      <c r="D427" s="308"/>
      <c r="E427" s="273">
        <v>44904</v>
      </c>
      <c r="F427" s="273">
        <v>45352</v>
      </c>
      <c r="G427" s="301">
        <f t="shared" ca="1" si="6"/>
        <v>1165</v>
      </c>
      <c r="H427" s="281" t="s">
        <v>41</v>
      </c>
      <c r="I427" s="273"/>
      <c r="J427" s="281" t="s">
        <v>234</v>
      </c>
      <c r="K427" s="281"/>
      <c r="L427" s="281" t="s">
        <v>4051</v>
      </c>
      <c r="M427" s="256" t="s">
        <v>41</v>
      </c>
      <c r="N427" s="281" t="s">
        <v>41</v>
      </c>
      <c r="O427" s="281" t="s">
        <v>3731</v>
      </c>
    </row>
    <row r="428" spans="1:15" s="296" customFormat="1" ht="19.95" customHeight="1" x14ac:dyDescent="0.3">
      <c r="A428" s="276" t="s">
        <v>2544</v>
      </c>
      <c r="B428" s="276" t="s">
        <v>2545</v>
      </c>
      <c r="C428" s="281" t="s">
        <v>216</v>
      </c>
      <c r="D428" s="281">
        <v>4</v>
      </c>
      <c r="E428" s="277">
        <v>44960</v>
      </c>
      <c r="F428" s="277">
        <v>44964</v>
      </c>
      <c r="G428" s="301">
        <f t="shared" ca="1" si="6"/>
        <v>1109</v>
      </c>
      <c r="H428" s="281" t="s">
        <v>41</v>
      </c>
      <c r="I428" s="280" t="s">
        <v>3807</v>
      </c>
      <c r="J428" s="280" t="s">
        <v>3754</v>
      </c>
      <c r="K428" s="280">
        <v>800</v>
      </c>
      <c r="L428" s="280" t="s">
        <v>4051</v>
      </c>
      <c r="M428" s="256" t="s">
        <v>41</v>
      </c>
      <c r="N428" s="281" t="s">
        <v>41</v>
      </c>
      <c r="O428" s="280" t="s">
        <v>3668</v>
      </c>
    </row>
    <row r="429" spans="1:15" s="296" customFormat="1" ht="19.95" customHeight="1" x14ac:dyDescent="0.3">
      <c r="A429" s="276" t="s">
        <v>2548</v>
      </c>
      <c r="B429" s="276" t="s">
        <v>2549</v>
      </c>
      <c r="C429" s="281" t="s">
        <v>2630</v>
      </c>
      <c r="D429" s="281">
        <v>2</v>
      </c>
      <c r="E429" s="277">
        <v>45107</v>
      </c>
      <c r="F429" s="277">
        <v>45113</v>
      </c>
      <c r="G429" s="301">
        <f t="shared" ca="1" si="6"/>
        <v>962</v>
      </c>
      <c r="H429" s="281" t="s">
        <v>41</v>
      </c>
      <c r="I429" s="280" t="s">
        <v>3807</v>
      </c>
      <c r="J429" s="280" t="s">
        <v>3754</v>
      </c>
      <c r="K429" s="280">
        <v>550</v>
      </c>
      <c r="L429" s="280" t="s">
        <v>4051</v>
      </c>
      <c r="M429" s="256" t="s">
        <v>41</v>
      </c>
      <c r="N429" s="281" t="s">
        <v>41</v>
      </c>
      <c r="O429" s="280" t="s">
        <v>3669</v>
      </c>
    </row>
    <row r="430" spans="1:15" s="296" customFormat="1" ht="19.95" customHeight="1" x14ac:dyDescent="0.3">
      <c r="A430" s="276" t="s">
        <v>2564</v>
      </c>
      <c r="B430" s="276" t="s">
        <v>2565</v>
      </c>
      <c r="C430" s="281" t="s">
        <v>216</v>
      </c>
      <c r="D430" s="281">
        <v>18</v>
      </c>
      <c r="E430" s="277">
        <v>45226</v>
      </c>
      <c r="F430" s="277">
        <v>45229</v>
      </c>
      <c r="G430" s="301">
        <f t="shared" ca="1" si="6"/>
        <v>843</v>
      </c>
      <c r="H430" s="281" t="s">
        <v>41</v>
      </c>
      <c r="I430" s="281"/>
      <c r="J430" s="280" t="s">
        <v>234</v>
      </c>
      <c r="K430" s="281">
        <v>900</v>
      </c>
      <c r="L430" s="280" t="s">
        <v>4051</v>
      </c>
      <c r="M430" s="256" t="s">
        <v>41</v>
      </c>
      <c r="N430" s="281" t="s">
        <v>41</v>
      </c>
      <c r="O430" s="281" t="s">
        <v>3670</v>
      </c>
    </row>
    <row r="431" spans="1:15" s="296" customFormat="1" ht="19.95" customHeight="1" x14ac:dyDescent="0.3">
      <c r="A431" s="281" t="s">
        <v>2628</v>
      </c>
      <c r="B431" s="281" t="s">
        <v>2629</v>
      </c>
      <c r="C431" s="281" t="s">
        <v>2490</v>
      </c>
      <c r="D431" s="308">
        <v>20</v>
      </c>
      <c r="E431" s="273">
        <v>45391</v>
      </c>
      <c r="F431" s="273">
        <v>45393</v>
      </c>
      <c r="G431" s="301">
        <f t="shared" ca="1" si="6"/>
        <v>678</v>
      </c>
      <c r="H431" s="281" t="s">
        <v>41</v>
      </c>
      <c r="I431" s="273"/>
      <c r="J431" s="281" t="s">
        <v>234</v>
      </c>
      <c r="K431" s="281">
        <v>850</v>
      </c>
      <c r="L431" s="281" t="s">
        <v>4051</v>
      </c>
      <c r="M431" s="256" t="s">
        <v>41</v>
      </c>
      <c r="N431" s="281" t="s">
        <v>41</v>
      </c>
      <c r="O431" s="281" t="s">
        <v>3671</v>
      </c>
    </row>
    <row r="432" spans="1:15" s="296" customFormat="1" ht="19.95" customHeight="1" x14ac:dyDescent="0.3">
      <c r="A432" s="281" t="s">
        <v>2578</v>
      </c>
      <c r="B432" s="281" t="s">
        <v>2579</v>
      </c>
      <c r="C432" s="281" t="s">
        <v>221</v>
      </c>
      <c r="D432" s="281">
        <v>11</v>
      </c>
      <c r="E432" s="273">
        <v>45290</v>
      </c>
      <c r="F432" s="273">
        <v>45293</v>
      </c>
      <c r="G432" s="301">
        <f t="shared" ca="1" si="6"/>
        <v>779</v>
      </c>
      <c r="H432" s="281" t="s">
        <v>41</v>
      </c>
      <c r="I432" s="281"/>
      <c r="J432" s="281" t="s">
        <v>234</v>
      </c>
      <c r="K432" s="281">
        <v>650</v>
      </c>
      <c r="L432" s="281" t="s">
        <v>4051</v>
      </c>
      <c r="M432" s="256" t="s">
        <v>41</v>
      </c>
      <c r="N432" s="281" t="s">
        <v>41</v>
      </c>
      <c r="O432" s="281" t="s">
        <v>3672</v>
      </c>
    </row>
    <row r="433" spans="1:15" s="296" customFormat="1" ht="19.95" customHeight="1" x14ac:dyDescent="0.3">
      <c r="A433" s="281" t="s">
        <v>2585</v>
      </c>
      <c r="B433" s="281" t="s">
        <v>2586</v>
      </c>
      <c r="C433" s="281" t="s">
        <v>223</v>
      </c>
      <c r="D433" s="308">
        <v>99</v>
      </c>
      <c r="E433" s="273">
        <v>45058</v>
      </c>
      <c r="F433" s="273">
        <v>45306</v>
      </c>
      <c r="G433" s="301">
        <f t="shared" ca="1" si="6"/>
        <v>1011</v>
      </c>
      <c r="H433" s="281" t="s">
        <v>41</v>
      </c>
      <c r="I433" s="281"/>
      <c r="J433" s="281" t="s">
        <v>234</v>
      </c>
      <c r="K433" s="281">
        <v>1000</v>
      </c>
      <c r="L433" s="281" t="s">
        <v>4051</v>
      </c>
      <c r="M433" s="256" t="s">
        <v>41</v>
      </c>
      <c r="N433" s="281" t="s">
        <v>41</v>
      </c>
      <c r="O433" s="281" t="s">
        <v>3673</v>
      </c>
    </row>
    <row r="434" spans="1:15" s="296" customFormat="1" ht="19.95" customHeight="1" x14ac:dyDescent="0.3">
      <c r="A434" s="281" t="s">
        <v>2596</v>
      </c>
      <c r="B434" s="281" t="s">
        <v>2597</v>
      </c>
      <c r="C434" s="281" t="s">
        <v>223</v>
      </c>
      <c r="D434" s="308">
        <v>70</v>
      </c>
      <c r="E434" s="273">
        <v>45354</v>
      </c>
      <c r="F434" s="273">
        <v>45355</v>
      </c>
      <c r="G434" s="301">
        <f t="shared" ca="1" si="6"/>
        <v>715</v>
      </c>
      <c r="H434" s="281" t="s">
        <v>41</v>
      </c>
      <c r="I434" s="273"/>
      <c r="J434" s="281" t="s">
        <v>234</v>
      </c>
      <c r="K434" s="281">
        <v>500</v>
      </c>
      <c r="L434" s="281" t="s">
        <v>4051</v>
      </c>
      <c r="M434" s="256" t="s">
        <v>41</v>
      </c>
      <c r="N434" s="281" t="s">
        <v>41</v>
      </c>
      <c r="O434" s="281" t="s">
        <v>3674</v>
      </c>
    </row>
    <row r="435" spans="1:15" s="296" customFormat="1" ht="19.95" customHeight="1" x14ac:dyDescent="0.3">
      <c r="A435" s="281" t="s">
        <v>3915</v>
      </c>
      <c r="B435" s="281" t="s">
        <v>3916</v>
      </c>
      <c r="C435" s="281" t="s">
        <v>106</v>
      </c>
      <c r="D435" s="308">
        <v>6</v>
      </c>
      <c r="E435" s="273">
        <v>45415</v>
      </c>
      <c r="F435" s="273">
        <v>45415</v>
      </c>
      <c r="G435" s="301">
        <f t="shared" ca="1" si="6"/>
        <v>654</v>
      </c>
      <c r="H435" s="256" t="s">
        <v>3304</v>
      </c>
      <c r="I435" s="273"/>
      <c r="J435" s="281" t="s">
        <v>234</v>
      </c>
      <c r="K435" s="281">
        <v>350</v>
      </c>
      <c r="L435" s="281" t="s">
        <v>4051</v>
      </c>
      <c r="M435" s="256" t="s">
        <v>77</v>
      </c>
      <c r="N435" s="281" t="s">
        <v>86</v>
      </c>
      <c r="O435" s="281" t="s">
        <v>4090</v>
      </c>
    </row>
    <row r="436" spans="1:15" s="296" customFormat="1" ht="19.95" customHeight="1" x14ac:dyDescent="0.3">
      <c r="A436" s="281" t="s">
        <v>3917</v>
      </c>
      <c r="B436" s="281" t="s">
        <v>3918</v>
      </c>
      <c r="C436" s="281" t="s">
        <v>106</v>
      </c>
      <c r="D436" s="308">
        <v>6</v>
      </c>
      <c r="E436" s="273">
        <v>45415</v>
      </c>
      <c r="F436" s="273">
        <v>45416</v>
      </c>
      <c r="G436" s="301">
        <f t="shared" ca="1" si="6"/>
        <v>654</v>
      </c>
      <c r="H436" s="256" t="s">
        <v>3304</v>
      </c>
      <c r="I436" s="273"/>
      <c r="J436" s="281" t="s">
        <v>234</v>
      </c>
      <c r="K436" s="281">
        <v>300</v>
      </c>
      <c r="L436" s="281" t="s">
        <v>4051</v>
      </c>
      <c r="M436" s="256" t="s">
        <v>77</v>
      </c>
      <c r="N436" s="281" t="s">
        <v>86</v>
      </c>
      <c r="O436" s="281" t="s">
        <v>4091</v>
      </c>
    </row>
    <row r="437" spans="1:15" s="296" customFormat="1" ht="19.95" customHeight="1" x14ac:dyDescent="0.3">
      <c r="A437" s="281" t="s">
        <v>2596</v>
      </c>
      <c r="B437" s="281" t="s">
        <v>2597</v>
      </c>
      <c r="C437" s="281" t="s">
        <v>223</v>
      </c>
      <c r="D437" s="308">
        <v>70</v>
      </c>
      <c r="E437" s="273">
        <v>45354</v>
      </c>
      <c r="F437" s="273">
        <v>45355</v>
      </c>
      <c r="G437" s="301">
        <f t="shared" ca="1" si="6"/>
        <v>715</v>
      </c>
      <c r="H437" s="281" t="s">
        <v>41</v>
      </c>
      <c r="I437" s="273"/>
      <c r="J437" s="281" t="s">
        <v>234</v>
      </c>
      <c r="K437" s="281">
        <v>500</v>
      </c>
      <c r="L437" s="281" t="s">
        <v>4051</v>
      </c>
      <c r="M437" s="256" t="s">
        <v>41</v>
      </c>
      <c r="N437" s="281" t="s">
        <v>41</v>
      </c>
      <c r="O437" s="281" t="s">
        <v>3674</v>
      </c>
    </row>
    <row r="438" spans="1:15" s="296" customFormat="1" ht="19.95" customHeight="1" x14ac:dyDescent="0.3">
      <c r="A438" s="281" t="s">
        <v>2611</v>
      </c>
      <c r="B438" s="281" t="s">
        <v>2612</v>
      </c>
      <c r="C438" s="281" t="s">
        <v>223</v>
      </c>
      <c r="D438" s="308">
        <v>14</v>
      </c>
      <c r="E438" s="273">
        <v>45365</v>
      </c>
      <c r="F438" s="273">
        <v>45366</v>
      </c>
      <c r="G438" s="301">
        <f t="shared" ca="1" si="6"/>
        <v>704</v>
      </c>
      <c r="H438" s="281" t="s">
        <v>41</v>
      </c>
      <c r="I438" s="273"/>
      <c r="J438" s="281" t="s">
        <v>234</v>
      </c>
      <c r="K438" s="281">
        <v>500</v>
      </c>
      <c r="L438" s="281" t="s">
        <v>4051</v>
      </c>
      <c r="M438" s="256" t="s">
        <v>41</v>
      </c>
      <c r="N438" s="281" t="s">
        <v>41</v>
      </c>
      <c r="O438" s="281" t="s">
        <v>3675</v>
      </c>
    </row>
    <row r="439" spans="1:15" s="296" customFormat="1" ht="19.95" customHeight="1" x14ac:dyDescent="0.3">
      <c r="A439" s="281" t="s">
        <v>2620</v>
      </c>
      <c r="B439" s="281" t="s">
        <v>2621</v>
      </c>
      <c r="C439" s="281" t="s">
        <v>223</v>
      </c>
      <c r="D439" s="308">
        <v>94</v>
      </c>
      <c r="E439" s="273">
        <v>45378</v>
      </c>
      <c r="F439" s="273">
        <v>45379</v>
      </c>
      <c r="G439" s="301">
        <f t="shared" ca="1" si="6"/>
        <v>691</v>
      </c>
      <c r="H439" s="281" t="s">
        <v>41</v>
      </c>
      <c r="I439" s="273"/>
      <c r="J439" s="281" t="s">
        <v>234</v>
      </c>
      <c r="K439" s="281">
        <v>750</v>
      </c>
      <c r="L439" s="281" t="s">
        <v>4051</v>
      </c>
      <c r="M439" s="256" t="s">
        <v>41</v>
      </c>
      <c r="N439" s="281" t="s">
        <v>41</v>
      </c>
      <c r="O439" s="281" t="s">
        <v>3676</v>
      </c>
    </row>
    <row r="440" spans="1:15" s="296" customFormat="1" ht="19.95" customHeight="1" x14ac:dyDescent="0.3">
      <c r="A440" s="276" t="s">
        <v>2536</v>
      </c>
      <c r="B440" s="276" t="s">
        <v>2537</v>
      </c>
      <c r="C440" s="281" t="s">
        <v>212</v>
      </c>
      <c r="D440" s="281">
        <v>3</v>
      </c>
      <c r="E440" s="277">
        <v>45029</v>
      </c>
      <c r="F440" s="277">
        <v>45032</v>
      </c>
      <c r="G440" s="301">
        <f t="shared" ca="1" si="6"/>
        <v>1040</v>
      </c>
      <c r="H440" s="281" t="s">
        <v>41</v>
      </c>
      <c r="I440" s="280" t="s">
        <v>3807</v>
      </c>
      <c r="J440" s="280" t="s">
        <v>3754</v>
      </c>
      <c r="K440" s="280">
        <v>1100</v>
      </c>
      <c r="L440" s="280" t="s">
        <v>4051</v>
      </c>
      <c r="M440" s="256" t="s">
        <v>41</v>
      </c>
      <c r="N440" s="281" t="s">
        <v>41</v>
      </c>
      <c r="O440" s="280" t="s">
        <v>3677</v>
      </c>
    </row>
    <row r="441" spans="1:15" s="296" customFormat="1" ht="19.95" customHeight="1" x14ac:dyDescent="0.3">
      <c r="A441" s="276" t="s">
        <v>2550</v>
      </c>
      <c r="B441" s="276" t="s">
        <v>2551</v>
      </c>
      <c r="C441" s="281" t="s">
        <v>217</v>
      </c>
      <c r="D441" s="281">
        <v>12</v>
      </c>
      <c r="E441" s="277">
        <v>45175</v>
      </c>
      <c r="F441" s="277">
        <v>45176</v>
      </c>
      <c r="G441" s="301">
        <f t="shared" ca="1" si="6"/>
        <v>894</v>
      </c>
      <c r="H441" s="281" t="s">
        <v>41</v>
      </c>
      <c r="I441" s="280" t="s">
        <v>3807</v>
      </c>
      <c r="J441" s="280" t="s">
        <v>3754</v>
      </c>
      <c r="K441" s="280">
        <v>500</v>
      </c>
      <c r="L441" s="280" t="s">
        <v>4051</v>
      </c>
      <c r="M441" s="256" t="s">
        <v>41</v>
      </c>
      <c r="N441" s="281" t="s">
        <v>41</v>
      </c>
      <c r="O441" s="280" t="s">
        <v>3678</v>
      </c>
    </row>
    <row r="442" spans="1:15" s="296" customFormat="1" ht="19.95" customHeight="1" x14ac:dyDescent="0.3">
      <c r="A442" s="281" t="s">
        <v>2618</v>
      </c>
      <c r="B442" s="281" t="s">
        <v>2619</v>
      </c>
      <c r="C442" s="281" t="s">
        <v>2507</v>
      </c>
      <c r="D442" s="308">
        <v>11</v>
      </c>
      <c r="E442" s="273">
        <v>45377</v>
      </c>
      <c r="F442" s="273">
        <v>45377</v>
      </c>
      <c r="G442" s="301">
        <f t="shared" ca="1" si="6"/>
        <v>692</v>
      </c>
      <c r="H442" s="281" t="s">
        <v>41</v>
      </c>
      <c r="I442" s="273"/>
      <c r="J442" s="281" t="s">
        <v>234</v>
      </c>
      <c r="K442" s="281">
        <v>600</v>
      </c>
      <c r="L442" s="281" t="s">
        <v>4051</v>
      </c>
      <c r="M442" s="256" t="s">
        <v>41</v>
      </c>
      <c r="N442" s="281" t="s">
        <v>41</v>
      </c>
      <c r="O442" s="281" t="s">
        <v>3679</v>
      </c>
    </row>
    <row r="443" spans="1:15" s="296" customFormat="1" ht="19.95" customHeight="1" x14ac:dyDescent="0.3">
      <c r="A443" s="281" t="s">
        <v>2589</v>
      </c>
      <c r="B443" s="281" t="s">
        <v>2590</v>
      </c>
      <c r="C443" s="281" t="s">
        <v>106</v>
      </c>
      <c r="D443" s="308"/>
      <c r="E443" s="273">
        <v>44691</v>
      </c>
      <c r="F443" s="273">
        <v>45306</v>
      </c>
      <c r="G443" s="301">
        <f t="shared" ca="1" si="6"/>
        <v>1378</v>
      </c>
      <c r="H443" s="281" t="s">
        <v>3304</v>
      </c>
      <c r="I443" s="281"/>
      <c r="J443" s="281" t="s">
        <v>234</v>
      </c>
      <c r="K443" s="281"/>
      <c r="L443" s="281" t="s">
        <v>4051</v>
      </c>
      <c r="M443" s="281" t="s">
        <v>77</v>
      </c>
      <c r="N443" s="281" t="s">
        <v>2631</v>
      </c>
      <c r="O443" s="281" t="s">
        <v>3722</v>
      </c>
    </row>
    <row r="444" spans="1:15" s="296" customFormat="1" ht="19.95" customHeight="1" x14ac:dyDescent="0.3">
      <c r="A444" s="281" t="s">
        <v>2591</v>
      </c>
      <c r="B444" s="281" t="s">
        <v>2592</v>
      </c>
      <c r="C444" s="281" t="s">
        <v>106</v>
      </c>
      <c r="D444" s="308"/>
      <c r="E444" s="273">
        <v>44806</v>
      </c>
      <c r="F444" s="273">
        <v>45306</v>
      </c>
      <c r="G444" s="301">
        <f t="shared" ca="1" si="6"/>
        <v>1263</v>
      </c>
      <c r="H444" s="281" t="s">
        <v>3304</v>
      </c>
      <c r="I444" s="281"/>
      <c r="J444" s="281" t="s">
        <v>234</v>
      </c>
      <c r="K444" s="281"/>
      <c r="L444" s="281" t="s">
        <v>4051</v>
      </c>
      <c r="M444" s="281" t="s">
        <v>77</v>
      </c>
      <c r="N444" s="281" t="s">
        <v>2631</v>
      </c>
      <c r="O444" s="281" t="s">
        <v>3723</v>
      </c>
    </row>
    <row r="445" spans="1:15" s="296" customFormat="1" ht="19.95" customHeight="1" x14ac:dyDescent="0.3">
      <c r="A445" s="276" t="s">
        <v>2542</v>
      </c>
      <c r="B445" s="276" t="s">
        <v>2543</v>
      </c>
      <c r="C445" s="281" t="s">
        <v>215</v>
      </c>
      <c r="D445" s="281">
        <v>2</v>
      </c>
      <c r="E445" s="277">
        <v>45006</v>
      </c>
      <c r="F445" s="277">
        <v>45008</v>
      </c>
      <c r="G445" s="301">
        <f t="shared" ca="1" si="6"/>
        <v>1063</v>
      </c>
      <c r="H445" s="281" t="s">
        <v>41</v>
      </c>
      <c r="I445" s="280" t="s">
        <v>3807</v>
      </c>
      <c r="J445" s="280" t="s">
        <v>3754</v>
      </c>
      <c r="K445" s="280">
        <v>950</v>
      </c>
      <c r="L445" s="280" t="s">
        <v>4051</v>
      </c>
      <c r="M445" s="256" t="s">
        <v>41</v>
      </c>
      <c r="N445" s="281" t="s">
        <v>41</v>
      </c>
      <c r="O445" s="280" t="s">
        <v>3680</v>
      </c>
    </row>
    <row r="446" spans="1:15" s="296" customFormat="1" ht="19.95" customHeight="1" x14ac:dyDescent="0.3">
      <c r="A446" s="276" t="s">
        <v>2552</v>
      </c>
      <c r="B446" s="276" t="s">
        <v>2553</v>
      </c>
      <c r="C446" s="281" t="s">
        <v>215</v>
      </c>
      <c r="D446" s="281">
        <v>2</v>
      </c>
      <c r="E446" s="277">
        <v>45187</v>
      </c>
      <c r="F446" s="277">
        <v>45189</v>
      </c>
      <c r="G446" s="301">
        <f t="shared" ca="1" si="6"/>
        <v>882</v>
      </c>
      <c r="H446" s="281" t="s">
        <v>41</v>
      </c>
      <c r="I446" s="280" t="s">
        <v>3807</v>
      </c>
      <c r="J446" s="280" t="s">
        <v>234</v>
      </c>
      <c r="K446" s="280">
        <v>1500</v>
      </c>
      <c r="L446" s="280" t="s">
        <v>4051</v>
      </c>
      <c r="M446" s="256" t="s">
        <v>41</v>
      </c>
      <c r="N446" s="281" t="s">
        <v>41</v>
      </c>
      <c r="O446" s="280" t="s">
        <v>3681</v>
      </c>
    </row>
    <row r="447" spans="1:15" s="296" customFormat="1" ht="19.95" customHeight="1" x14ac:dyDescent="0.3">
      <c r="A447" s="281" t="s">
        <v>2594</v>
      </c>
      <c r="B447" s="281" t="s">
        <v>2595</v>
      </c>
      <c r="C447" s="281" t="s">
        <v>106</v>
      </c>
      <c r="D447" s="308"/>
      <c r="E447" s="273">
        <v>45335</v>
      </c>
      <c r="F447" s="273">
        <v>45352</v>
      </c>
      <c r="G447" s="301">
        <f t="shared" ca="1" si="6"/>
        <v>734</v>
      </c>
      <c r="H447" s="256" t="s">
        <v>3304</v>
      </c>
      <c r="I447" s="273"/>
      <c r="J447" s="281" t="s">
        <v>234</v>
      </c>
      <c r="K447" s="281"/>
      <c r="L447" s="281" t="s">
        <v>4051</v>
      </c>
      <c r="M447" s="256" t="s">
        <v>77</v>
      </c>
      <c r="N447" s="256" t="s">
        <v>2631</v>
      </c>
      <c r="O447" s="281" t="s">
        <v>3724</v>
      </c>
    </row>
    <row r="448" spans="1:15" s="296" customFormat="1" ht="19.95" customHeight="1" x14ac:dyDescent="0.3">
      <c r="A448" s="276" t="s">
        <v>2568</v>
      </c>
      <c r="B448" s="276" t="s">
        <v>2569</v>
      </c>
      <c r="C448" s="281" t="s">
        <v>215</v>
      </c>
      <c r="D448" s="281">
        <v>1</v>
      </c>
      <c r="E448" s="277">
        <v>45251</v>
      </c>
      <c r="F448" s="277">
        <v>45252</v>
      </c>
      <c r="G448" s="301">
        <f t="shared" ca="1" si="6"/>
        <v>818</v>
      </c>
      <c r="H448" s="281" t="s">
        <v>41</v>
      </c>
      <c r="I448" s="281"/>
      <c r="J448" s="280" t="s">
        <v>234</v>
      </c>
      <c r="K448" s="281">
        <v>900</v>
      </c>
      <c r="L448" s="280" t="s">
        <v>4051</v>
      </c>
      <c r="M448" s="256" t="s">
        <v>41</v>
      </c>
      <c r="N448" s="281" t="s">
        <v>41</v>
      </c>
      <c r="O448" s="281" t="s">
        <v>3682</v>
      </c>
    </row>
    <row r="449" spans="1:15" s="296" customFormat="1" ht="19.95" customHeight="1" x14ac:dyDescent="0.3">
      <c r="A449" s="276" t="s">
        <v>2538</v>
      </c>
      <c r="B449" s="276" t="s">
        <v>2539</v>
      </c>
      <c r="C449" s="281" t="s">
        <v>213</v>
      </c>
      <c r="D449" s="281"/>
      <c r="E449" s="277">
        <v>44953</v>
      </c>
      <c r="F449" s="277">
        <v>44957</v>
      </c>
      <c r="G449" s="301">
        <f t="shared" ca="1" si="6"/>
        <v>1116</v>
      </c>
      <c r="H449" s="256" t="s">
        <v>3304</v>
      </c>
      <c r="I449" s="280" t="s">
        <v>3807</v>
      </c>
      <c r="J449" s="280" t="s">
        <v>3754</v>
      </c>
      <c r="K449" s="280"/>
      <c r="L449" s="280" t="s">
        <v>4051</v>
      </c>
      <c r="M449" s="256" t="s">
        <v>77</v>
      </c>
      <c r="N449" s="256" t="s">
        <v>67</v>
      </c>
      <c r="O449" s="280" t="s">
        <v>3692</v>
      </c>
    </row>
    <row r="450" spans="1:15" s="296" customFormat="1" ht="19.95" customHeight="1" x14ac:dyDescent="0.3">
      <c r="A450" s="281" t="s">
        <v>171</v>
      </c>
      <c r="B450" s="281" t="s">
        <v>172</v>
      </c>
      <c r="C450" s="281" t="s">
        <v>225</v>
      </c>
      <c r="D450" s="308">
        <v>8</v>
      </c>
      <c r="E450" s="273">
        <v>45352</v>
      </c>
      <c r="F450" s="273">
        <v>45353</v>
      </c>
      <c r="G450" s="301">
        <f t="shared" ca="1" si="6"/>
        <v>717</v>
      </c>
      <c r="H450" s="256" t="s">
        <v>3304</v>
      </c>
      <c r="I450" s="273"/>
      <c r="J450" s="281" t="s">
        <v>234</v>
      </c>
      <c r="K450" s="281">
        <v>750</v>
      </c>
      <c r="L450" s="281" t="s">
        <v>4051</v>
      </c>
      <c r="M450" s="256" t="s">
        <v>77</v>
      </c>
      <c r="N450" s="281" t="s">
        <v>86</v>
      </c>
      <c r="O450" s="281" t="s">
        <v>3696</v>
      </c>
    </row>
    <row r="451" spans="1:15" s="296" customFormat="1" ht="19.95" customHeight="1" x14ac:dyDescent="0.3">
      <c r="A451" s="276" t="s">
        <v>2558</v>
      </c>
      <c r="B451" s="276" t="s">
        <v>2559</v>
      </c>
      <c r="C451" s="281" t="s">
        <v>219</v>
      </c>
      <c r="D451" s="281">
        <v>8</v>
      </c>
      <c r="E451" s="277">
        <v>45224</v>
      </c>
      <c r="F451" s="277">
        <v>45225</v>
      </c>
      <c r="G451" s="301">
        <f t="shared" ref="G451:G514" ca="1" si="7">TODAY()-E451</f>
        <v>845</v>
      </c>
      <c r="H451" s="281" t="s">
        <v>41</v>
      </c>
      <c r="I451" s="281"/>
      <c r="J451" s="280" t="s">
        <v>234</v>
      </c>
      <c r="K451" s="281">
        <v>650</v>
      </c>
      <c r="L451" s="280" t="s">
        <v>4051</v>
      </c>
      <c r="M451" s="256" t="s">
        <v>41</v>
      </c>
      <c r="N451" s="281" t="s">
        <v>41</v>
      </c>
      <c r="O451" s="281" t="s">
        <v>3690</v>
      </c>
    </row>
    <row r="452" spans="1:15" s="296" customFormat="1" ht="19.95" customHeight="1" x14ac:dyDescent="0.3">
      <c r="A452" s="281" t="s">
        <v>3919</v>
      </c>
      <c r="B452" s="281" t="s">
        <v>3920</v>
      </c>
      <c r="C452" s="281" t="s">
        <v>106</v>
      </c>
      <c r="D452" s="308"/>
      <c r="E452" s="273">
        <v>45412</v>
      </c>
      <c r="F452" s="273">
        <v>45412</v>
      </c>
      <c r="G452" s="301">
        <f t="shared" ca="1" si="7"/>
        <v>657</v>
      </c>
      <c r="H452" s="256" t="s">
        <v>3304</v>
      </c>
      <c r="I452" s="273"/>
      <c r="J452" s="281" t="s">
        <v>234</v>
      </c>
      <c r="K452" s="281"/>
      <c r="L452" s="281" t="s">
        <v>4051</v>
      </c>
      <c r="M452" s="256" t="s">
        <v>77</v>
      </c>
      <c r="N452" s="281" t="s">
        <v>86</v>
      </c>
      <c r="O452" s="281" t="s">
        <v>4092</v>
      </c>
    </row>
    <row r="453" spans="1:15" s="296" customFormat="1" ht="19.95" customHeight="1" x14ac:dyDescent="0.3">
      <c r="A453" s="276" t="s">
        <v>2560</v>
      </c>
      <c r="B453" s="276" t="s">
        <v>2561</v>
      </c>
      <c r="C453" s="281" t="s">
        <v>219</v>
      </c>
      <c r="D453" s="281">
        <v>8</v>
      </c>
      <c r="E453" s="277">
        <v>45224</v>
      </c>
      <c r="F453" s="277">
        <v>45225</v>
      </c>
      <c r="G453" s="301">
        <f t="shared" ca="1" si="7"/>
        <v>845</v>
      </c>
      <c r="H453" s="281" t="s">
        <v>41</v>
      </c>
      <c r="I453" s="281"/>
      <c r="J453" s="280" t="s">
        <v>234</v>
      </c>
      <c r="K453" s="281">
        <v>750</v>
      </c>
      <c r="L453" s="280" t="s">
        <v>4051</v>
      </c>
      <c r="M453" s="256" t="s">
        <v>41</v>
      </c>
      <c r="N453" s="281" t="s">
        <v>41</v>
      </c>
      <c r="O453" s="281" t="s">
        <v>3691</v>
      </c>
    </row>
    <row r="454" spans="1:15" s="296" customFormat="1" ht="19.95" customHeight="1" x14ac:dyDescent="0.3">
      <c r="A454" s="281" t="s">
        <v>2598</v>
      </c>
      <c r="B454" s="281" t="s">
        <v>2599</v>
      </c>
      <c r="C454" s="281" t="s">
        <v>106</v>
      </c>
      <c r="D454" s="308"/>
      <c r="E454" s="273">
        <v>44971</v>
      </c>
      <c r="F454" s="273">
        <v>45352</v>
      </c>
      <c r="G454" s="301">
        <f t="shared" ca="1" si="7"/>
        <v>1098</v>
      </c>
      <c r="H454" s="256" t="s">
        <v>3304</v>
      </c>
      <c r="I454" s="273"/>
      <c r="J454" s="281" t="s">
        <v>234</v>
      </c>
      <c r="K454" s="281"/>
      <c r="L454" s="281" t="s">
        <v>4051</v>
      </c>
      <c r="M454" s="256" t="s">
        <v>77</v>
      </c>
      <c r="N454" s="256" t="s">
        <v>2631</v>
      </c>
      <c r="O454" s="281" t="s">
        <v>3724</v>
      </c>
    </row>
    <row r="455" spans="1:15" s="296" customFormat="1" ht="19.95" customHeight="1" x14ac:dyDescent="0.3">
      <c r="A455" s="276" t="s">
        <v>2556</v>
      </c>
      <c r="B455" s="276" t="s">
        <v>2557</v>
      </c>
      <c r="C455" s="281" t="s">
        <v>218</v>
      </c>
      <c r="D455" s="281">
        <v>22</v>
      </c>
      <c r="E455" s="277">
        <v>45203</v>
      </c>
      <c r="F455" s="277">
        <v>45204</v>
      </c>
      <c r="G455" s="301">
        <f t="shared" ca="1" si="7"/>
        <v>866</v>
      </c>
      <c r="H455" s="281" t="s">
        <v>41</v>
      </c>
      <c r="I455" s="280" t="s">
        <v>3807</v>
      </c>
      <c r="J455" s="280" t="s">
        <v>234</v>
      </c>
      <c r="K455" s="281">
        <v>800</v>
      </c>
      <c r="L455" s="280" t="s">
        <v>4051</v>
      </c>
      <c r="M455" s="256" t="s">
        <v>41</v>
      </c>
      <c r="N455" s="281" t="s">
        <v>41</v>
      </c>
      <c r="O455" s="281" t="s">
        <v>3693</v>
      </c>
    </row>
    <row r="456" spans="1:15" s="296" customFormat="1" ht="19.95" customHeight="1" x14ac:dyDescent="0.3">
      <c r="A456" s="281" t="s">
        <v>2587</v>
      </c>
      <c r="B456" s="281" t="s">
        <v>2588</v>
      </c>
      <c r="C456" s="281" t="s">
        <v>218</v>
      </c>
      <c r="D456" s="308">
        <v>23</v>
      </c>
      <c r="E456" s="273">
        <v>45154</v>
      </c>
      <c r="F456" s="273">
        <v>45306</v>
      </c>
      <c r="G456" s="301">
        <f t="shared" ca="1" si="7"/>
        <v>915</v>
      </c>
      <c r="H456" s="281" t="s">
        <v>41</v>
      </c>
      <c r="I456" s="314"/>
      <c r="J456" s="281" t="s">
        <v>234</v>
      </c>
      <c r="K456" s="281">
        <v>1000</v>
      </c>
      <c r="L456" s="281" t="s">
        <v>4051</v>
      </c>
      <c r="M456" s="256" t="s">
        <v>41</v>
      </c>
      <c r="N456" s="281" t="s">
        <v>41</v>
      </c>
      <c r="O456" s="281" t="s">
        <v>3694</v>
      </c>
    </row>
    <row r="457" spans="1:15" s="296" customFormat="1" ht="19.95" customHeight="1" x14ac:dyDescent="0.3">
      <c r="A457" s="281" t="s">
        <v>170</v>
      </c>
      <c r="B457" s="281" t="s">
        <v>2593</v>
      </c>
      <c r="C457" s="281" t="s">
        <v>218</v>
      </c>
      <c r="D457" s="308">
        <v>22</v>
      </c>
      <c r="E457" s="273">
        <v>45324</v>
      </c>
      <c r="F457" s="273">
        <v>45324</v>
      </c>
      <c r="G457" s="301">
        <f t="shared" ca="1" si="7"/>
        <v>745</v>
      </c>
      <c r="H457" s="281" t="s">
        <v>41</v>
      </c>
      <c r="I457" s="281"/>
      <c r="J457" s="281" t="s">
        <v>234</v>
      </c>
      <c r="K457" s="281"/>
      <c r="L457" s="281" t="s">
        <v>4051</v>
      </c>
      <c r="M457" s="256" t="s">
        <v>41</v>
      </c>
      <c r="N457" s="281" t="s">
        <v>41</v>
      </c>
      <c r="O457" s="281" t="s">
        <v>3695</v>
      </c>
    </row>
    <row r="458" spans="1:15" s="296" customFormat="1" ht="19.95" customHeight="1" x14ac:dyDescent="0.3">
      <c r="A458" s="281" t="s">
        <v>2600</v>
      </c>
      <c r="B458" s="281" t="s">
        <v>2601</v>
      </c>
      <c r="C458" s="281" t="s">
        <v>218</v>
      </c>
      <c r="D458" s="308">
        <v>4</v>
      </c>
      <c r="E458" s="273">
        <v>45359</v>
      </c>
      <c r="F458" s="273">
        <v>45360</v>
      </c>
      <c r="G458" s="301">
        <f t="shared" ca="1" si="7"/>
        <v>710</v>
      </c>
      <c r="H458" s="281" t="s">
        <v>41</v>
      </c>
      <c r="I458" s="273"/>
      <c r="J458" s="281" t="s">
        <v>234</v>
      </c>
      <c r="K458" s="281">
        <v>1700</v>
      </c>
      <c r="L458" s="281" t="s">
        <v>4051</v>
      </c>
      <c r="M458" s="256" t="s">
        <v>41</v>
      </c>
      <c r="N458" s="281" t="s">
        <v>41</v>
      </c>
      <c r="O458" s="281" t="s">
        <v>3697</v>
      </c>
    </row>
    <row r="459" spans="1:15" s="296" customFormat="1" ht="19.95" customHeight="1" x14ac:dyDescent="0.3">
      <c r="A459" s="281" t="s">
        <v>2606</v>
      </c>
      <c r="B459" s="281" t="s">
        <v>2607</v>
      </c>
      <c r="C459" s="281" t="s">
        <v>106</v>
      </c>
      <c r="D459" s="308"/>
      <c r="E459" s="273">
        <v>45305</v>
      </c>
      <c r="F459" s="273">
        <v>45365</v>
      </c>
      <c r="G459" s="301">
        <f t="shared" ca="1" si="7"/>
        <v>764</v>
      </c>
      <c r="H459" s="256" t="s">
        <v>3304</v>
      </c>
      <c r="I459" s="273"/>
      <c r="J459" s="281" t="s">
        <v>234</v>
      </c>
      <c r="K459" s="281"/>
      <c r="L459" s="281" t="s">
        <v>4051</v>
      </c>
      <c r="M459" s="256" t="s">
        <v>77</v>
      </c>
      <c r="N459" s="256" t="s">
        <v>2631</v>
      </c>
      <c r="O459" s="281" t="s">
        <v>3732</v>
      </c>
    </row>
    <row r="460" spans="1:15" s="296" customFormat="1" ht="19.95" customHeight="1" x14ac:dyDescent="0.3">
      <c r="A460" s="281" t="s">
        <v>2609</v>
      </c>
      <c r="B460" s="281" t="s">
        <v>2610</v>
      </c>
      <c r="C460" s="281" t="s">
        <v>106</v>
      </c>
      <c r="D460" s="308"/>
      <c r="E460" s="273">
        <v>45374</v>
      </c>
      <c r="F460" s="273">
        <v>45378</v>
      </c>
      <c r="G460" s="301">
        <f t="shared" ca="1" si="7"/>
        <v>695</v>
      </c>
      <c r="H460" s="256" t="s">
        <v>3304</v>
      </c>
      <c r="I460" s="273"/>
      <c r="J460" s="281" t="s">
        <v>234</v>
      </c>
      <c r="K460" s="281"/>
      <c r="L460" s="281" t="s">
        <v>4051</v>
      </c>
      <c r="M460" s="256" t="s">
        <v>77</v>
      </c>
      <c r="N460" s="256" t="s">
        <v>2631</v>
      </c>
      <c r="O460" s="281" t="s">
        <v>3699</v>
      </c>
    </row>
    <row r="461" spans="1:15" s="296" customFormat="1" ht="19.95" customHeight="1" x14ac:dyDescent="0.3">
      <c r="A461" s="281" t="s">
        <v>2622</v>
      </c>
      <c r="B461" s="281" t="s">
        <v>2623</v>
      </c>
      <c r="C461" s="281" t="s">
        <v>218</v>
      </c>
      <c r="D461" s="308">
        <v>4</v>
      </c>
      <c r="E461" s="273">
        <v>45397</v>
      </c>
      <c r="F461" s="273">
        <v>45398</v>
      </c>
      <c r="G461" s="301">
        <f t="shared" ca="1" si="7"/>
        <v>672</v>
      </c>
      <c r="H461" s="281" t="s">
        <v>41</v>
      </c>
      <c r="I461" s="273"/>
      <c r="J461" s="281" t="s">
        <v>234</v>
      </c>
      <c r="K461" s="281">
        <v>850</v>
      </c>
      <c r="L461" s="281" t="s">
        <v>4051</v>
      </c>
      <c r="M461" s="256" t="s">
        <v>41</v>
      </c>
      <c r="N461" s="281" t="s">
        <v>41</v>
      </c>
      <c r="O461" s="281" t="s">
        <v>3698</v>
      </c>
    </row>
    <row r="462" spans="1:15" s="296" customFormat="1" ht="19.95" customHeight="1" x14ac:dyDescent="0.3">
      <c r="A462" s="281" t="s">
        <v>2613</v>
      </c>
      <c r="B462" s="281" t="s">
        <v>2614</v>
      </c>
      <c r="C462" s="281" t="s">
        <v>226</v>
      </c>
      <c r="D462" s="308">
        <v>5</v>
      </c>
      <c r="E462" s="273">
        <v>45377</v>
      </c>
      <c r="F462" s="273">
        <v>45377</v>
      </c>
      <c r="G462" s="301">
        <f t="shared" ca="1" si="7"/>
        <v>692</v>
      </c>
      <c r="H462" s="281" t="s">
        <v>41</v>
      </c>
      <c r="I462" s="273"/>
      <c r="J462" s="281" t="s">
        <v>234</v>
      </c>
      <c r="K462" s="281">
        <v>850</v>
      </c>
      <c r="L462" s="281" t="s">
        <v>4051</v>
      </c>
      <c r="M462" s="256" t="s">
        <v>41</v>
      </c>
      <c r="N462" s="281" t="s">
        <v>41</v>
      </c>
      <c r="O462" s="281" t="s">
        <v>3700</v>
      </c>
    </row>
    <row r="463" spans="1:15" s="296" customFormat="1" ht="19.95" customHeight="1" x14ac:dyDescent="0.3">
      <c r="A463" s="281" t="s">
        <v>2615</v>
      </c>
      <c r="B463" s="281" t="s">
        <v>2616</v>
      </c>
      <c r="C463" s="281" t="s">
        <v>106</v>
      </c>
      <c r="D463" s="308"/>
      <c r="E463" s="273">
        <v>45379</v>
      </c>
      <c r="F463" s="273">
        <v>45380</v>
      </c>
      <c r="G463" s="301">
        <f t="shared" ca="1" si="7"/>
        <v>690</v>
      </c>
      <c r="H463" s="256" t="s">
        <v>3304</v>
      </c>
      <c r="I463" s="273"/>
      <c r="J463" s="281" t="s">
        <v>234</v>
      </c>
      <c r="K463" s="281"/>
      <c r="L463" s="281" t="s">
        <v>4051</v>
      </c>
      <c r="M463" s="256" t="s">
        <v>77</v>
      </c>
      <c r="N463" s="281" t="s">
        <v>4093</v>
      </c>
      <c r="O463" s="281" t="s">
        <v>3734</v>
      </c>
    </row>
    <row r="464" spans="1:15" s="296" customFormat="1" ht="19.95" customHeight="1" x14ac:dyDescent="0.3">
      <c r="A464" s="281" t="s">
        <v>3921</v>
      </c>
      <c r="B464" s="281" t="s">
        <v>3922</v>
      </c>
      <c r="C464" s="281" t="s">
        <v>106</v>
      </c>
      <c r="D464" s="308"/>
      <c r="E464" s="273">
        <v>45410</v>
      </c>
      <c r="F464" s="273">
        <v>45411</v>
      </c>
      <c r="G464" s="301">
        <f t="shared" ca="1" si="7"/>
        <v>659</v>
      </c>
      <c r="H464" s="256" t="s">
        <v>3304</v>
      </c>
      <c r="I464" s="273"/>
      <c r="J464" s="281" t="s">
        <v>234</v>
      </c>
      <c r="K464" s="281"/>
      <c r="L464" s="281" t="s">
        <v>4051</v>
      </c>
      <c r="M464" s="256" t="s">
        <v>77</v>
      </c>
      <c r="N464" s="281" t="s">
        <v>4093</v>
      </c>
      <c r="O464" s="281" t="s">
        <v>3734</v>
      </c>
    </row>
    <row r="465" spans="1:15" s="296" customFormat="1" ht="19.95" customHeight="1" x14ac:dyDescent="0.3">
      <c r="A465" s="281" t="s">
        <v>2582</v>
      </c>
      <c r="B465" s="281" t="s">
        <v>2583</v>
      </c>
      <c r="C465" s="281" t="s">
        <v>222</v>
      </c>
      <c r="D465" s="308">
        <v>12</v>
      </c>
      <c r="E465" s="273">
        <v>45304</v>
      </c>
      <c r="F465" s="273">
        <v>45306</v>
      </c>
      <c r="G465" s="301">
        <f t="shared" ca="1" si="7"/>
        <v>765</v>
      </c>
      <c r="H465" s="281" t="s">
        <v>41</v>
      </c>
      <c r="I465" s="281"/>
      <c r="J465" s="281" t="s">
        <v>234</v>
      </c>
      <c r="K465" s="281">
        <v>670</v>
      </c>
      <c r="L465" s="281" t="s">
        <v>4051</v>
      </c>
      <c r="M465" s="256" t="s">
        <v>41</v>
      </c>
      <c r="N465" s="281" t="s">
        <v>41</v>
      </c>
      <c r="O465" s="281" t="s">
        <v>3701</v>
      </c>
    </row>
    <row r="466" spans="1:15" s="296" customFormat="1" ht="19.95" customHeight="1" x14ac:dyDescent="0.3">
      <c r="A466" s="281" t="s">
        <v>2584</v>
      </c>
      <c r="B466" s="281" t="s">
        <v>2583</v>
      </c>
      <c r="C466" s="281" t="s">
        <v>222</v>
      </c>
      <c r="D466" s="308">
        <v>12</v>
      </c>
      <c r="E466" s="273">
        <v>45304</v>
      </c>
      <c r="F466" s="273">
        <v>45306</v>
      </c>
      <c r="G466" s="301">
        <f t="shared" ca="1" si="7"/>
        <v>765</v>
      </c>
      <c r="H466" s="281" t="s">
        <v>41</v>
      </c>
      <c r="I466" s="281"/>
      <c r="J466" s="281" t="s">
        <v>234</v>
      </c>
      <c r="K466" s="281">
        <v>500</v>
      </c>
      <c r="L466" s="281" t="s">
        <v>4051</v>
      </c>
      <c r="M466" s="256" t="s">
        <v>41</v>
      </c>
      <c r="N466" s="281" t="s">
        <v>41</v>
      </c>
      <c r="O466" s="281" t="s">
        <v>3702</v>
      </c>
    </row>
    <row r="467" spans="1:15" s="296" customFormat="1" ht="19.95" customHeight="1" x14ac:dyDescent="0.3">
      <c r="A467" s="281" t="s">
        <v>3923</v>
      </c>
      <c r="B467" s="281" t="s">
        <v>3924</v>
      </c>
      <c r="C467" s="281" t="s">
        <v>222</v>
      </c>
      <c r="D467" s="308">
        <v>12</v>
      </c>
      <c r="E467" s="273">
        <v>45345</v>
      </c>
      <c r="F467" s="273">
        <v>45346</v>
      </c>
      <c r="G467" s="301">
        <f t="shared" ca="1" si="7"/>
        <v>724</v>
      </c>
      <c r="H467" s="281" t="s">
        <v>41</v>
      </c>
      <c r="I467" s="314"/>
      <c r="J467" s="281" t="s">
        <v>234</v>
      </c>
      <c r="K467" s="281">
        <v>650</v>
      </c>
      <c r="L467" s="281" t="s">
        <v>4051</v>
      </c>
      <c r="M467" s="256" t="s">
        <v>41</v>
      </c>
      <c r="N467" s="281" t="s">
        <v>41</v>
      </c>
      <c r="O467" s="281" t="s">
        <v>4094</v>
      </c>
    </row>
    <row r="468" spans="1:15" s="296" customFormat="1" ht="19.95" customHeight="1" x14ac:dyDescent="0.3">
      <c r="A468" s="276" t="s">
        <v>3925</v>
      </c>
      <c r="B468" s="276" t="s">
        <v>3926</v>
      </c>
      <c r="C468" s="281" t="s">
        <v>4046</v>
      </c>
      <c r="D468" s="281">
        <v>14</v>
      </c>
      <c r="E468" s="277">
        <v>45200</v>
      </c>
      <c r="F468" s="277">
        <v>45202</v>
      </c>
      <c r="G468" s="301">
        <f t="shared" ca="1" si="7"/>
        <v>869</v>
      </c>
      <c r="H468" s="256" t="s">
        <v>3304</v>
      </c>
      <c r="I468" s="314" t="s">
        <v>3807</v>
      </c>
      <c r="J468" s="280" t="s">
        <v>234</v>
      </c>
      <c r="K468" s="280">
        <v>200</v>
      </c>
      <c r="L468" s="280" t="s">
        <v>4051</v>
      </c>
      <c r="M468" s="256" t="s">
        <v>77</v>
      </c>
      <c r="N468" s="256" t="s">
        <v>3306</v>
      </c>
      <c r="O468" s="281" t="s">
        <v>4095</v>
      </c>
    </row>
    <row r="469" spans="1:15" s="296" customFormat="1" ht="19.95" customHeight="1" x14ac:dyDescent="0.3">
      <c r="A469" s="276" t="s">
        <v>3927</v>
      </c>
      <c r="B469" s="276" t="s">
        <v>3928</v>
      </c>
      <c r="C469" s="281" t="s">
        <v>4047</v>
      </c>
      <c r="D469" s="281">
        <v>3</v>
      </c>
      <c r="E469" s="277">
        <v>44714</v>
      </c>
      <c r="F469" s="277">
        <v>44720</v>
      </c>
      <c r="G469" s="301">
        <f t="shared" ca="1" si="7"/>
        <v>1355</v>
      </c>
      <c r="H469" s="281" t="s">
        <v>41</v>
      </c>
      <c r="I469" s="280" t="s">
        <v>3807</v>
      </c>
      <c r="J469" s="280" t="s">
        <v>3754</v>
      </c>
      <c r="K469" s="280">
        <v>600</v>
      </c>
      <c r="L469" s="280" t="s">
        <v>4051</v>
      </c>
      <c r="M469" s="256" t="s">
        <v>41</v>
      </c>
      <c r="N469" s="281" t="s">
        <v>41</v>
      </c>
      <c r="O469" s="280" t="s">
        <v>4096</v>
      </c>
    </row>
    <row r="470" spans="1:15" s="296" customFormat="1" ht="19.95" customHeight="1" x14ac:dyDescent="0.3">
      <c r="A470" s="276" t="s">
        <v>3929</v>
      </c>
      <c r="B470" s="276" t="s">
        <v>3930</v>
      </c>
      <c r="C470" s="281" t="s">
        <v>4047</v>
      </c>
      <c r="D470" s="281">
        <v>3</v>
      </c>
      <c r="E470" s="277">
        <v>45111</v>
      </c>
      <c r="F470" s="277">
        <v>45112</v>
      </c>
      <c r="G470" s="301">
        <f t="shared" ca="1" si="7"/>
        <v>958</v>
      </c>
      <c r="H470" s="281" t="s">
        <v>41</v>
      </c>
      <c r="I470" s="280" t="s">
        <v>3807</v>
      </c>
      <c r="J470" s="280" t="s">
        <v>3754</v>
      </c>
      <c r="K470" s="280">
        <v>1200</v>
      </c>
      <c r="L470" s="280" t="s">
        <v>4051</v>
      </c>
      <c r="M470" s="256" t="s">
        <v>41</v>
      </c>
      <c r="N470" s="281" t="s">
        <v>41</v>
      </c>
      <c r="O470" s="280" t="s">
        <v>4097</v>
      </c>
    </row>
    <row r="471" spans="1:15" s="296" customFormat="1" ht="19.95" customHeight="1" x14ac:dyDescent="0.3">
      <c r="A471" s="281" t="s">
        <v>3931</v>
      </c>
      <c r="B471" s="281" t="s">
        <v>3932</v>
      </c>
      <c r="C471" s="281" t="s">
        <v>4048</v>
      </c>
      <c r="D471" s="308"/>
      <c r="E471" s="273">
        <v>45405</v>
      </c>
      <c r="F471" s="273">
        <v>45406</v>
      </c>
      <c r="G471" s="301">
        <f t="shared" ca="1" si="7"/>
        <v>664</v>
      </c>
      <c r="H471" s="281" t="s">
        <v>41</v>
      </c>
      <c r="I471" s="273"/>
      <c r="J471" s="281" t="s">
        <v>234</v>
      </c>
      <c r="K471" s="281"/>
      <c r="L471" s="281" t="s">
        <v>4051</v>
      </c>
      <c r="M471" s="256" t="s">
        <v>41</v>
      </c>
      <c r="N471" s="281" t="s">
        <v>41</v>
      </c>
      <c r="O471" s="281" t="s">
        <v>4098</v>
      </c>
    </row>
    <row r="472" spans="1:15" s="296" customFormat="1" ht="19.95" customHeight="1" x14ac:dyDescent="0.3">
      <c r="A472" s="281" t="s">
        <v>3933</v>
      </c>
      <c r="B472" s="281" t="s">
        <v>3934</v>
      </c>
      <c r="C472" s="281" t="s">
        <v>2509</v>
      </c>
      <c r="D472" s="308">
        <v>6</v>
      </c>
      <c r="E472" s="273">
        <v>45415</v>
      </c>
      <c r="F472" s="273">
        <v>45415</v>
      </c>
      <c r="G472" s="301">
        <f t="shared" ca="1" si="7"/>
        <v>654</v>
      </c>
      <c r="H472" s="281" t="s">
        <v>65</v>
      </c>
      <c r="I472" s="273">
        <v>45418</v>
      </c>
      <c r="J472" s="281" t="s">
        <v>234</v>
      </c>
      <c r="K472" s="281">
        <v>150</v>
      </c>
      <c r="L472" s="281" t="s">
        <v>4051</v>
      </c>
      <c r="M472" s="281" t="s">
        <v>66</v>
      </c>
      <c r="N472" s="281" t="s">
        <v>66</v>
      </c>
      <c r="O472" s="281" t="s">
        <v>4099</v>
      </c>
    </row>
    <row r="473" spans="1:15" s="296" customFormat="1" ht="19.95" customHeight="1" x14ac:dyDescent="0.3">
      <c r="A473" s="268" t="s">
        <v>3935</v>
      </c>
      <c r="B473" s="268" t="s">
        <v>3936</v>
      </c>
      <c r="C473" s="268" t="s">
        <v>106</v>
      </c>
      <c r="D473" s="281"/>
      <c r="E473" s="269">
        <v>45416</v>
      </c>
      <c r="F473" s="269">
        <v>45416</v>
      </c>
      <c r="G473" s="301">
        <f t="shared" ca="1" si="7"/>
        <v>653</v>
      </c>
      <c r="H473" s="277" t="s">
        <v>63</v>
      </c>
      <c r="I473" s="281"/>
      <c r="J473" s="276" t="s">
        <v>234</v>
      </c>
      <c r="K473" s="281"/>
      <c r="L473" s="276" t="s">
        <v>4051</v>
      </c>
      <c r="M473" s="277" t="s">
        <v>63</v>
      </c>
      <c r="N473" s="277" t="s">
        <v>63</v>
      </c>
      <c r="O473" s="281"/>
    </row>
    <row r="474" spans="1:15" s="296" customFormat="1" ht="19.95" customHeight="1" x14ac:dyDescent="0.3">
      <c r="A474" s="268" t="s">
        <v>3937</v>
      </c>
      <c r="B474" s="268" t="s">
        <v>3938</v>
      </c>
      <c r="C474" s="268" t="s">
        <v>106</v>
      </c>
      <c r="D474" s="281"/>
      <c r="E474" s="269">
        <v>45416</v>
      </c>
      <c r="F474" s="269">
        <v>45416</v>
      </c>
      <c r="G474" s="301">
        <f t="shared" ca="1" si="7"/>
        <v>653</v>
      </c>
      <c r="H474" s="277" t="s">
        <v>63</v>
      </c>
      <c r="I474" s="281"/>
      <c r="J474" s="276" t="s">
        <v>234</v>
      </c>
      <c r="K474" s="281"/>
      <c r="L474" s="276" t="s">
        <v>4051</v>
      </c>
      <c r="M474" s="277" t="s">
        <v>63</v>
      </c>
      <c r="N474" s="277" t="s">
        <v>63</v>
      </c>
      <c r="O474" s="281"/>
    </row>
    <row r="475" spans="1:15" s="296" customFormat="1" ht="19.95" customHeight="1" x14ac:dyDescent="0.3">
      <c r="A475" s="268" t="s">
        <v>3939</v>
      </c>
      <c r="B475" s="268" t="s">
        <v>3940</v>
      </c>
      <c r="C475" s="268" t="s">
        <v>106</v>
      </c>
      <c r="D475" s="281"/>
      <c r="E475" s="269">
        <v>45416</v>
      </c>
      <c r="F475" s="269">
        <v>45416</v>
      </c>
      <c r="G475" s="301">
        <f t="shared" ca="1" si="7"/>
        <v>653</v>
      </c>
      <c r="H475" s="277" t="s">
        <v>63</v>
      </c>
      <c r="I475" s="281"/>
      <c r="J475" s="276" t="s">
        <v>234</v>
      </c>
      <c r="K475" s="281"/>
      <c r="L475" s="276" t="s">
        <v>4051</v>
      </c>
      <c r="M475" s="277" t="s">
        <v>63</v>
      </c>
      <c r="N475" s="277" t="s">
        <v>63</v>
      </c>
      <c r="O475" s="281"/>
    </row>
    <row r="476" spans="1:15" s="296" customFormat="1" ht="19.95" customHeight="1" x14ac:dyDescent="0.3">
      <c r="A476" s="268" t="s">
        <v>3941</v>
      </c>
      <c r="B476" s="268" t="s">
        <v>3942</v>
      </c>
      <c r="C476" s="268" t="s">
        <v>106</v>
      </c>
      <c r="D476" s="281"/>
      <c r="E476" s="269">
        <v>45416</v>
      </c>
      <c r="F476" s="269">
        <v>45416</v>
      </c>
      <c r="G476" s="301">
        <f t="shared" ca="1" si="7"/>
        <v>653</v>
      </c>
      <c r="H476" s="277" t="s">
        <v>63</v>
      </c>
      <c r="I476" s="281"/>
      <c r="J476" s="276" t="s">
        <v>234</v>
      </c>
      <c r="K476" s="281"/>
      <c r="L476" s="276" t="s">
        <v>4051</v>
      </c>
      <c r="M476" s="277" t="s">
        <v>63</v>
      </c>
      <c r="N476" s="277" t="s">
        <v>63</v>
      </c>
      <c r="O476" s="281"/>
    </row>
    <row r="477" spans="1:15" s="296" customFormat="1" ht="19.95" customHeight="1" x14ac:dyDescent="0.3">
      <c r="A477" s="268" t="s">
        <v>3943</v>
      </c>
      <c r="B477" s="268" t="s">
        <v>3944</v>
      </c>
      <c r="C477" s="268" t="s">
        <v>106</v>
      </c>
      <c r="D477" s="281"/>
      <c r="E477" s="269">
        <v>45416</v>
      </c>
      <c r="F477" s="269">
        <v>45416</v>
      </c>
      <c r="G477" s="301">
        <f t="shared" ca="1" si="7"/>
        <v>653</v>
      </c>
      <c r="H477" s="277" t="s">
        <v>63</v>
      </c>
      <c r="I477" s="281"/>
      <c r="J477" s="276" t="s">
        <v>234</v>
      </c>
      <c r="K477" s="281"/>
      <c r="L477" s="276" t="s">
        <v>4051</v>
      </c>
      <c r="M477" s="277" t="s">
        <v>63</v>
      </c>
      <c r="N477" s="277" t="s">
        <v>63</v>
      </c>
      <c r="O477" s="281"/>
    </row>
    <row r="478" spans="1:15" s="296" customFormat="1" ht="19.95" customHeight="1" x14ac:dyDescent="0.3">
      <c r="A478" s="268" t="s">
        <v>3945</v>
      </c>
      <c r="B478" s="268" t="s">
        <v>3946</v>
      </c>
      <c r="C478" s="268" t="s">
        <v>106</v>
      </c>
      <c r="D478" s="281"/>
      <c r="E478" s="269">
        <v>45416</v>
      </c>
      <c r="F478" s="269">
        <v>45416</v>
      </c>
      <c r="G478" s="301">
        <f t="shared" ca="1" si="7"/>
        <v>653</v>
      </c>
      <c r="H478" s="277" t="s">
        <v>63</v>
      </c>
      <c r="I478" s="281"/>
      <c r="J478" s="276" t="s">
        <v>234</v>
      </c>
      <c r="K478" s="281"/>
      <c r="L478" s="276" t="s">
        <v>4051</v>
      </c>
      <c r="M478" s="277" t="s">
        <v>63</v>
      </c>
      <c r="N478" s="277" t="s">
        <v>63</v>
      </c>
      <c r="O478" s="281"/>
    </row>
    <row r="479" spans="1:15" s="296" customFormat="1" ht="19.95" customHeight="1" x14ac:dyDescent="0.3">
      <c r="A479" s="268" t="s">
        <v>3947</v>
      </c>
      <c r="B479" s="268" t="s">
        <v>3948</v>
      </c>
      <c r="C479" s="268" t="s">
        <v>106</v>
      </c>
      <c r="D479" s="281"/>
      <c r="E479" s="269">
        <v>45416</v>
      </c>
      <c r="F479" s="269">
        <v>45416</v>
      </c>
      <c r="G479" s="301">
        <f t="shared" ca="1" si="7"/>
        <v>653</v>
      </c>
      <c r="H479" s="277" t="s">
        <v>63</v>
      </c>
      <c r="I479" s="281"/>
      <c r="J479" s="276" t="s">
        <v>234</v>
      </c>
      <c r="K479" s="281"/>
      <c r="L479" s="276" t="s">
        <v>4051</v>
      </c>
      <c r="M479" s="277" t="s">
        <v>63</v>
      </c>
      <c r="N479" s="277" t="s">
        <v>63</v>
      </c>
      <c r="O479" s="281"/>
    </row>
    <row r="480" spans="1:15" s="296" customFormat="1" ht="19.95" customHeight="1" x14ac:dyDescent="0.3">
      <c r="A480" s="268" t="s">
        <v>3949</v>
      </c>
      <c r="B480" s="268" t="s">
        <v>3950</v>
      </c>
      <c r="C480" s="268" t="s">
        <v>106</v>
      </c>
      <c r="D480" s="281"/>
      <c r="E480" s="269">
        <v>45416</v>
      </c>
      <c r="F480" s="269">
        <v>45416</v>
      </c>
      <c r="G480" s="301">
        <f t="shared" ca="1" si="7"/>
        <v>653</v>
      </c>
      <c r="H480" s="277" t="s">
        <v>63</v>
      </c>
      <c r="I480" s="281"/>
      <c r="J480" s="276" t="s">
        <v>234</v>
      </c>
      <c r="K480" s="281"/>
      <c r="L480" s="276" t="s">
        <v>4051</v>
      </c>
      <c r="M480" s="277" t="s">
        <v>63</v>
      </c>
      <c r="N480" s="277" t="s">
        <v>63</v>
      </c>
      <c r="O480" s="281"/>
    </row>
    <row r="481" spans="1:15" s="296" customFormat="1" ht="19.95" customHeight="1" x14ac:dyDescent="0.3">
      <c r="A481" s="268" t="s">
        <v>3951</v>
      </c>
      <c r="B481" s="268" t="s">
        <v>3952</v>
      </c>
      <c r="C481" s="268" t="s">
        <v>106</v>
      </c>
      <c r="D481" s="281"/>
      <c r="E481" s="269">
        <v>45416</v>
      </c>
      <c r="F481" s="269">
        <v>45416</v>
      </c>
      <c r="G481" s="301">
        <f t="shared" ca="1" si="7"/>
        <v>653</v>
      </c>
      <c r="H481" s="277" t="s">
        <v>63</v>
      </c>
      <c r="I481" s="281"/>
      <c r="J481" s="276" t="s">
        <v>234</v>
      </c>
      <c r="K481" s="281"/>
      <c r="L481" s="276" t="s">
        <v>4051</v>
      </c>
      <c r="M481" s="277" t="s">
        <v>63</v>
      </c>
      <c r="N481" s="277" t="s">
        <v>63</v>
      </c>
      <c r="O481" s="281"/>
    </row>
    <row r="482" spans="1:15" s="296" customFormat="1" ht="19.95" customHeight="1" x14ac:dyDescent="0.3">
      <c r="A482" s="268" t="s">
        <v>3953</v>
      </c>
      <c r="B482" s="268" t="s">
        <v>3954</v>
      </c>
      <c r="C482" s="268" t="s">
        <v>106</v>
      </c>
      <c r="D482" s="281"/>
      <c r="E482" s="269">
        <v>45416</v>
      </c>
      <c r="F482" s="269">
        <v>45416</v>
      </c>
      <c r="G482" s="301">
        <f t="shared" ca="1" si="7"/>
        <v>653</v>
      </c>
      <c r="H482" s="277" t="s">
        <v>63</v>
      </c>
      <c r="I482" s="281"/>
      <c r="J482" s="276" t="s">
        <v>234</v>
      </c>
      <c r="K482" s="281"/>
      <c r="L482" s="276" t="s">
        <v>4051</v>
      </c>
      <c r="M482" s="277" t="s">
        <v>63</v>
      </c>
      <c r="N482" s="277" t="s">
        <v>63</v>
      </c>
      <c r="O482" s="281"/>
    </row>
    <row r="483" spans="1:15" s="296" customFormat="1" ht="19.95" customHeight="1" x14ac:dyDescent="0.3">
      <c r="A483" s="281" t="s">
        <v>3955</v>
      </c>
      <c r="B483" s="281" t="s">
        <v>3956</v>
      </c>
      <c r="C483" s="281" t="s">
        <v>223</v>
      </c>
      <c r="D483" s="308">
        <v>124</v>
      </c>
      <c r="E483" s="273">
        <v>45412</v>
      </c>
      <c r="F483" s="273">
        <v>45412</v>
      </c>
      <c r="G483" s="301">
        <f t="shared" ca="1" si="7"/>
        <v>657</v>
      </c>
      <c r="H483" s="281" t="s">
        <v>65</v>
      </c>
      <c r="I483" s="273">
        <v>45418</v>
      </c>
      <c r="J483" s="281" t="s">
        <v>234</v>
      </c>
      <c r="K483" s="281">
        <v>350</v>
      </c>
      <c r="L483" s="281" t="s">
        <v>4051</v>
      </c>
      <c r="M483" s="281" t="s">
        <v>66</v>
      </c>
      <c r="N483" s="281" t="s">
        <v>66</v>
      </c>
      <c r="O483" s="281" t="s">
        <v>4100</v>
      </c>
    </row>
    <row r="484" spans="1:15" s="296" customFormat="1" ht="19.95" customHeight="1" x14ac:dyDescent="0.3">
      <c r="A484" s="281" t="s">
        <v>2617</v>
      </c>
      <c r="B484" s="281" t="s">
        <v>3957</v>
      </c>
      <c r="C484" s="281" t="s">
        <v>223</v>
      </c>
      <c r="D484" s="308">
        <v>124</v>
      </c>
      <c r="E484" s="273">
        <v>45406</v>
      </c>
      <c r="F484" s="273">
        <v>45414</v>
      </c>
      <c r="G484" s="301">
        <f t="shared" ca="1" si="7"/>
        <v>663</v>
      </c>
      <c r="H484" s="281" t="s">
        <v>65</v>
      </c>
      <c r="I484" s="273">
        <v>45418</v>
      </c>
      <c r="J484" s="281" t="s">
        <v>234</v>
      </c>
      <c r="K484" s="281">
        <v>300</v>
      </c>
      <c r="L484" s="281" t="s">
        <v>4051</v>
      </c>
      <c r="M484" s="281" t="s">
        <v>66</v>
      </c>
      <c r="N484" s="281" t="s">
        <v>66</v>
      </c>
      <c r="O484" s="281" t="s">
        <v>4101</v>
      </c>
    </row>
    <row r="485" spans="1:15" s="296" customFormat="1" ht="19.95" customHeight="1" x14ac:dyDescent="0.3">
      <c r="A485" s="281" t="s">
        <v>3958</v>
      </c>
      <c r="B485" s="281" t="s">
        <v>3959</v>
      </c>
      <c r="C485" s="281" t="s">
        <v>223</v>
      </c>
      <c r="D485" s="308">
        <v>86</v>
      </c>
      <c r="E485" s="273">
        <v>45412</v>
      </c>
      <c r="F485" s="273">
        <v>45414</v>
      </c>
      <c r="G485" s="301">
        <f t="shared" ca="1" si="7"/>
        <v>657</v>
      </c>
      <c r="H485" s="281" t="s">
        <v>65</v>
      </c>
      <c r="I485" s="273">
        <v>45418</v>
      </c>
      <c r="J485" s="281" t="s">
        <v>234</v>
      </c>
      <c r="K485" s="281">
        <v>350</v>
      </c>
      <c r="L485" s="281" t="s">
        <v>4051</v>
      </c>
      <c r="M485" s="281" t="s">
        <v>66</v>
      </c>
      <c r="N485" s="281" t="s">
        <v>66</v>
      </c>
      <c r="O485" s="281" t="s">
        <v>4102</v>
      </c>
    </row>
    <row r="486" spans="1:15" s="296" customFormat="1" ht="19.95" customHeight="1" x14ac:dyDescent="0.3">
      <c r="A486" s="281" t="s">
        <v>3960</v>
      </c>
      <c r="B486" s="281" t="s">
        <v>3961</v>
      </c>
      <c r="C486" s="281" t="s">
        <v>223</v>
      </c>
      <c r="D486" s="308">
        <v>57</v>
      </c>
      <c r="E486" s="273">
        <v>45414</v>
      </c>
      <c r="F486" s="273">
        <v>45415</v>
      </c>
      <c r="G486" s="301">
        <f t="shared" ca="1" si="7"/>
        <v>655</v>
      </c>
      <c r="H486" s="281" t="s">
        <v>65</v>
      </c>
      <c r="I486" s="273">
        <v>45418</v>
      </c>
      <c r="J486" s="281" t="s">
        <v>234</v>
      </c>
      <c r="K486" s="281">
        <v>150</v>
      </c>
      <c r="L486" s="281" t="s">
        <v>4051</v>
      </c>
      <c r="M486" s="281" t="s">
        <v>66</v>
      </c>
      <c r="N486" s="281" t="s">
        <v>66</v>
      </c>
      <c r="O486" s="281" t="s">
        <v>4103</v>
      </c>
    </row>
    <row r="487" spans="1:15" s="296" customFormat="1" ht="19.95" customHeight="1" x14ac:dyDescent="0.3">
      <c r="A487" s="281" t="s">
        <v>3962</v>
      </c>
      <c r="B487" s="281" t="s">
        <v>3963</v>
      </c>
      <c r="C487" s="281" t="s">
        <v>223</v>
      </c>
      <c r="D487" s="308">
        <v>71</v>
      </c>
      <c r="E487" s="273">
        <v>45412</v>
      </c>
      <c r="F487" s="273">
        <v>45412</v>
      </c>
      <c r="G487" s="301">
        <f t="shared" ca="1" si="7"/>
        <v>657</v>
      </c>
      <c r="H487" s="281" t="s">
        <v>65</v>
      </c>
      <c r="I487" s="273">
        <v>45418</v>
      </c>
      <c r="J487" s="281" t="s">
        <v>234</v>
      </c>
      <c r="K487" s="281">
        <v>200</v>
      </c>
      <c r="L487" s="281" t="s">
        <v>4051</v>
      </c>
      <c r="M487" s="281" t="s">
        <v>66</v>
      </c>
      <c r="N487" s="281" t="s">
        <v>66</v>
      </c>
      <c r="O487" s="281" t="s">
        <v>4104</v>
      </c>
    </row>
    <row r="488" spans="1:15" s="296" customFormat="1" ht="19.95" customHeight="1" x14ac:dyDescent="0.3">
      <c r="A488" s="281" t="s">
        <v>3964</v>
      </c>
      <c r="B488" s="281" t="s">
        <v>3965</v>
      </c>
      <c r="C488" s="281" t="s">
        <v>223</v>
      </c>
      <c r="D488" s="308">
        <v>95</v>
      </c>
      <c r="E488" s="273">
        <v>45415</v>
      </c>
      <c r="F488" s="273">
        <v>45415</v>
      </c>
      <c r="G488" s="301">
        <f t="shared" ca="1" si="7"/>
        <v>654</v>
      </c>
      <c r="H488" s="281" t="s">
        <v>65</v>
      </c>
      <c r="I488" s="273">
        <v>45418</v>
      </c>
      <c r="J488" s="281" t="s">
        <v>234</v>
      </c>
      <c r="K488" s="281">
        <v>350</v>
      </c>
      <c r="L488" s="281" t="s">
        <v>4051</v>
      </c>
      <c r="M488" s="281" t="s">
        <v>66</v>
      </c>
      <c r="N488" s="281" t="s">
        <v>66</v>
      </c>
      <c r="O488" s="281" t="s">
        <v>4105</v>
      </c>
    </row>
    <row r="489" spans="1:15" s="296" customFormat="1" ht="19.95" customHeight="1" x14ac:dyDescent="0.3">
      <c r="A489" s="281" t="s">
        <v>3966</v>
      </c>
      <c r="B489" s="281" t="s">
        <v>3967</v>
      </c>
      <c r="C489" s="281" t="s">
        <v>2507</v>
      </c>
      <c r="D489" s="308">
        <v>7</v>
      </c>
      <c r="E489" s="273">
        <v>45415</v>
      </c>
      <c r="F489" s="273">
        <v>45416</v>
      </c>
      <c r="G489" s="301">
        <f t="shared" ca="1" si="7"/>
        <v>654</v>
      </c>
      <c r="H489" s="281" t="s">
        <v>65</v>
      </c>
      <c r="I489" s="273">
        <v>45418</v>
      </c>
      <c r="J489" s="281" t="s">
        <v>234</v>
      </c>
      <c r="K489" s="281">
        <v>200</v>
      </c>
      <c r="L489" s="281" t="s">
        <v>4051</v>
      </c>
      <c r="M489" s="281" t="s">
        <v>66</v>
      </c>
      <c r="N489" s="281" t="s">
        <v>66</v>
      </c>
      <c r="O489" s="281" t="s">
        <v>4106</v>
      </c>
    </row>
    <row r="490" spans="1:15" s="296" customFormat="1" ht="19.95" customHeight="1" x14ac:dyDescent="0.3">
      <c r="A490" s="276" t="s">
        <v>3332</v>
      </c>
      <c r="B490" s="276" t="s">
        <v>3333</v>
      </c>
      <c r="C490" s="280" t="s">
        <v>109</v>
      </c>
      <c r="D490" s="281"/>
      <c r="E490" s="277">
        <v>45219</v>
      </c>
      <c r="F490" s="277">
        <v>45219</v>
      </c>
      <c r="G490" s="301">
        <f t="shared" ca="1" si="7"/>
        <v>850</v>
      </c>
      <c r="H490" s="256" t="s">
        <v>3304</v>
      </c>
      <c r="I490" s="315" t="s">
        <v>3807</v>
      </c>
      <c r="J490" s="276" t="s">
        <v>234</v>
      </c>
      <c r="K490" s="280"/>
      <c r="L490" s="276" t="s">
        <v>4051</v>
      </c>
      <c r="M490" s="256" t="s">
        <v>77</v>
      </c>
      <c r="N490" s="256" t="s">
        <v>67</v>
      </c>
      <c r="O490" s="281" t="s">
        <v>3735</v>
      </c>
    </row>
    <row r="491" spans="1:15" s="296" customFormat="1" ht="19.95" customHeight="1" x14ac:dyDescent="0.3">
      <c r="A491" s="276" t="s">
        <v>3342</v>
      </c>
      <c r="B491" s="276" t="s">
        <v>3343</v>
      </c>
      <c r="C491" s="280" t="s">
        <v>109</v>
      </c>
      <c r="D491" s="309"/>
      <c r="E491" s="277">
        <v>45308</v>
      </c>
      <c r="F491" s="277">
        <v>45317</v>
      </c>
      <c r="G491" s="301">
        <f t="shared" ca="1" si="7"/>
        <v>761</v>
      </c>
      <c r="H491" s="256" t="s">
        <v>3304</v>
      </c>
      <c r="I491" s="315"/>
      <c r="J491" s="276" t="s">
        <v>234</v>
      </c>
      <c r="K491" s="280"/>
      <c r="L491" s="276" t="s">
        <v>4051</v>
      </c>
      <c r="M491" s="256" t="s">
        <v>77</v>
      </c>
      <c r="N491" s="256" t="s">
        <v>67</v>
      </c>
      <c r="O491" s="281" t="s">
        <v>3736</v>
      </c>
    </row>
    <row r="492" spans="1:15" s="296" customFormat="1" ht="19.95" customHeight="1" x14ac:dyDescent="0.3">
      <c r="A492" s="276" t="s">
        <v>3374</v>
      </c>
      <c r="B492" s="276" t="s">
        <v>3375</v>
      </c>
      <c r="C492" s="280" t="s">
        <v>109</v>
      </c>
      <c r="D492" s="310"/>
      <c r="E492" s="277">
        <v>45395</v>
      </c>
      <c r="F492" s="277">
        <v>45395</v>
      </c>
      <c r="G492" s="301">
        <f t="shared" ca="1" si="7"/>
        <v>674</v>
      </c>
      <c r="H492" s="281" t="s">
        <v>41</v>
      </c>
      <c r="I492" s="315"/>
      <c r="J492" s="276" t="s">
        <v>234</v>
      </c>
      <c r="K492" s="276">
        <v>600</v>
      </c>
      <c r="L492" s="276" t="s">
        <v>4051</v>
      </c>
      <c r="M492" s="256" t="s">
        <v>41</v>
      </c>
      <c r="N492" s="281" t="s">
        <v>41</v>
      </c>
      <c r="O492" s="256" t="s">
        <v>3710</v>
      </c>
    </row>
    <row r="493" spans="1:15" s="296" customFormat="1" ht="19.95" customHeight="1" x14ac:dyDescent="0.3">
      <c r="A493" s="276" t="s">
        <v>3968</v>
      </c>
      <c r="B493" s="276" t="s">
        <v>3969</v>
      </c>
      <c r="C493" s="280" t="s">
        <v>109</v>
      </c>
      <c r="D493" s="310"/>
      <c r="E493" s="277">
        <v>45406</v>
      </c>
      <c r="F493" s="277">
        <v>45412</v>
      </c>
      <c r="G493" s="301">
        <f t="shared" ca="1" si="7"/>
        <v>663</v>
      </c>
      <c r="H493" s="256" t="s">
        <v>3304</v>
      </c>
      <c r="I493" s="315"/>
      <c r="J493" s="276" t="s">
        <v>234</v>
      </c>
      <c r="K493" s="276"/>
      <c r="L493" s="276" t="s">
        <v>4051</v>
      </c>
      <c r="M493" s="256" t="s">
        <v>77</v>
      </c>
      <c r="N493" s="256" t="s">
        <v>67</v>
      </c>
      <c r="O493" s="281" t="s">
        <v>4107</v>
      </c>
    </row>
    <row r="494" spans="1:15" s="296" customFormat="1" ht="19.95" customHeight="1" x14ac:dyDescent="0.3">
      <c r="A494" s="276" t="s">
        <v>3378</v>
      </c>
      <c r="B494" s="276" t="s">
        <v>3379</v>
      </c>
      <c r="C494" s="280" t="s">
        <v>109</v>
      </c>
      <c r="D494" s="311"/>
      <c r="E494" s="277">
        <v>45379</v>
      </c>
      <c r="F494" s="277">
        <v>45380</v>
      </c>
      <c r="G494" s="301">
        <f t="shared" ca="1" si="7"/>
        <v>690</v>
      </c>
      <c r="H494" s="256" t="s">
        <v>3304</v>
      </c>
      <c r="I494" s="315"/>
      <c r="J494" s="276" t="s">
        <v>234</v>
      </c>
      <c r="K494" s="276"/>
      <c r="L494" s="276" t="s">
        <v>4051</v>
      </c>
      <c r="M494" s="256" t="s">
        <v>77</v>
      </c>
      <c r="N494" s="281" t="s">
        <v>4093</v>
      </c>
      <c r="O494" s="281" t="s">
        <v>3734</v>
      </c>
    </row>
    <row r="495" spans="1:15" s="296" customFormat="1" ht="19.95" customHeight="1" x14ac:dyDescent="0.3">
      <c r="A495" s="276" t="s">
        <v>3380</v>
      </c>
      <c r="B495" s="276" t="s">
        <v>3381</v>
      </c>
      <c r="C495" s="280" t="s">
        <v>109</v>
      </c>
      <c r="D495" s="311"/>
      <c r="E495" s="277">
        <v>45399</v>
      </c>
      <c r="F495" s="277">
        <v>45400</v>
      </c>
      <c r="G495" s="301">
        <f t="shared" ca="1" si="7"/>
        <v>670</v>
      </c>
      <c r="H495" s="256" t="s">
        <v>3304</v>
      </c>
      <c r="I495" s="315"/>
      <c r="J495" s="276" t="s">
        <v>234</v>
      </c>
      <c r="K495" s="276"/>
      <c r="L495" s="276" t="s">
        <v>4051</v>
      </c>
      <c r="M495" s="256" t="s">
        <v>77</v>
      </c>
      <c r="N495" s="281" t="s">
        <v>4093</v>
      </c>
      <c r="O495" s="281" t="s">
        <v>3734</v>
      </c>
    </row>
    <row r="496" spans="1:15" s="296" customFormat="1" ht="19.95" customHeight="1" x14ac:dyDescent="0.3">
      <c r="A496" s="276" t="s">
        <v>3382</v>
      </c>
      <c r="B496" s="276" t="s">
        <v>3383</v>
      </c>
      <c r="C496" s="280" t="s">
        <v>109</v>
      </c>
      <c r="D496" s="310"/>
      <c r="E496" s="277">
        <v>45393</v>
      </c>
      <c r="F496" s="277">
        <v>45394</v>
      </c>
      <c r="G496" s="301">
        <f t="shared" ca="1" si="7"/>
        <v>676</v>
      </c>
      <c r="H496" s="256" t="s">
        <v>3304</v>
      </c>
      <c r="I496" s="315"/>
      <c r="J496" s="276" t="s">
        <v>234</v>
      </c>
      <c r="K496" s="276"/>
      <c r="L496" s="276" t="s">
        <v>4051</v>
      </c>
      <c r="M496" s="256" t="s">
        <v>77</v>
      </c>
      <c r="N496" s="256" t="s">
        <v>3307</v>
      </c>
      <c r="O496" s="281" t="s">
        <v>3737</v>
      </c>
    </row>
    <row r="497" spans="1:15" s="296" customFormat="1" ht="19.95" customHeight="1" x14ac:dyDescent="0.3">
      <c r="A497" s="276" t="s">
        <v>3384</v>
      </c>
      <c r="B497" s="276" t="s">
        <v>3385</v>
      </c>
      <c r="C497" s="280" t="s">
        <v>109</v>
      </c>
      <c r="D497" s="310"/>
      <c r="E497" s="277">
        <v>45372</v>
      </c>
      <c r="F497" s="277">
        <v>45373</v>
      </c>
      <c r="G497" s="301">
        <f t="shared" ca="1" si="7"/>
        <v>697</v>
      </c>
      <c r="H497" s="256" t="s">
        <v>3304</v>
      </c>
      <c r="I497" s="315"/>
      <c r="J497" s="276" t="s">
        <v>234</v>
      </c>
      <c r="K497" s="276"/>
      <c r="L497" s="276" t="s">
        <v>4051</v>
      </c>
      <c r="M497" s="256" t="s">
        <v>77</v>
      </c>
      <c r="N497" s="256" t="s">
        <v>2631</v>
      </c>
      <c r="O497" s="281" t="s">
        <v>3738</v>
      </c>
    </row>
    <row r="498" spans="1:15" s="296" customFormat="1" ht="19.95" customHeight="1" x14ac:dyDescent="0.3">
      <c r="A498" s="276" t="s">
        <v>3328</v>
      </c>
      <c r="B498" s="276" t="s">
        <v>3329</v>
      </c>
      <c r="C498" s="280" t="s">
        <v>229</v>
      </c>
      <c r="D498" s="281">
        <v>15</v>
      </c>
      <c r="E498" s="277">
        <v>45250</v>
      </c>
      <c r="F498" s="277">
        <v>45251</v>
      </c>
      <c r="G498" s="301">
        <f t="shared" ca="1" si="7"/>
        <v>819</v>
      </c>
      <c r="H498" s="265" t="s">
        <v>41</v>
      </c>
      <c r="I498" s="280"/>
      <c r="J498" s="276" t="s">
        <v>234</v>
      </c>
      <c r="K498" s="280">
        <v>950</v>
      </c>
      <c r="L498" s="276" t="s">
        <v>4051</v>
      </c>
      <c r="M498" s="256" t="s">
        <v>41</v>
      </c>
      <c r="N498" s="265" t="s">
        <v>41</v>
      </c>
      <c r="O498" s="281" t="s">
        <v>3703</v>
      </c>
    </row>
    <row r="499" spans="1:15" s="296" customFormat="1" ht="19.95" customHeight="1" x14ac:dyDescent="0.3">
      <c r="A499" s="276" t="s">
        <v>3344</v>
      </c>
      <c r="B499" s="276" t="s">
        <v>3345</v>
      </c>
      <c r="C499" s="280" t="s">
        <v>229</v>
      </c>
      <c r="D499" s="311">
        <v>9</v>
      </c>
      <c r="E499" s="277">
        <v>45286</v>
      </c>
      <c r="F499" s="277">
        <v>45286</v>
      </c>
      <c r="G499" s="301">
        <f t="shared" ca="1" si="7"/>
        <v>783</v>
      </c>
      <c r="H499" s="256" t="s">
        <v>3304</v>
      </c>
      <c r="I499" s="315"/>
      <c r="J499" s="276" t="s">
        <v>234</v>
      </c>
      <c r="K499" s="280">
        <v>250</v>
      </c>
      <c r="L499" s="276" t="s">
        <v>4051</v>
      </c>
      <c r="M499" s="256" t="s">
        <v>77</v>
      </c>
      <c r="N499" s="281" t="s">
        <v>86</v>
      </c>
      <c r="O499" s="281" t="s">
        <v>3713</v>
      </c>
    </row>
    <row r="500" spans="1:15" s="296" customFormat="1" ht="19.95" customHeight="1" x14ac:dyDescent="0.3">
      <c r="A500" s="276" t="s">
        <v>3346</v>
      </c>
      <c r="B500" s="276" t="s">
        <v>3347</v>
      </c>
      <c r="C500" s="280" t="s">
        <v>229</v>
      </c>
      <c r="D500" s="310">
        <v>2</v>
      </c>
      <c r="E500" s="277">
        <v>45295</v>
      </c>
      <c r="F500" s="277">
        <v>45296</v>
      </c>
      <c r="G500" s="301">
        <f t="shared" ca="1" si="7"/>
        <v>774</v>
      </c>
      <c r="H500" s="256" t="s">
        <v>3304</v>
      </c>
      <c r="I500" s="315"/>
      <c r="J500" s="276" t="s">
        <v>234</v>
      </c>
      <c r="K500" s="280">
        <v>250</v>
      </c>
      <c r="L500" s="276" t="s">
        <v>4051</v>
      </c>
      <c r="M500" s="256" t="s">
        <v>77</v>
      </c>
      <c r="N500" s="281" t="s">
        <v>86</v>
      </c>
      <c r="O500" s="281" t="s">
        <v>3714</v>
      </c>
    </row>
    <row r="501" spans="1:15" s="296" customFormat="1" ht="19.95" customHeight="1" x14ac:dyDescent="0.3">
      <c r="A501" s="276" t="s">
        <v>3348</v>
      </c>
      <c r="B501" s="276" t="s">
        <v>3349</v>
      </c>
      <c r="C501" s="280" t="s">
        <v>229</v>
      </c>
      <c r="D501" s="310">
        <v>2</v>
      </c>
      <c r="E501" s="277">
        <v>45288</v>
      </c>
      <c r="F501" s="277">
        <v>45289</v>
      </c>
      <c r="G501" s="301">
        <f t="shared" ca="1" si="7"/>
        <v>781</v>
      </c>
      <c r="H501" s="256" t="s">
        <v>3304</v>
      </c>
      <c r="I501" s="315"/>
      <c r="J501" s="276" t="s">
        <v>234</v>
      </c>
      <c r="K501" s="280">
        <v>200</v>
      </c>
      <c r="L501" s="276" t="s">
        <v>4051</v>
      </c>
      <c r="M501" s="256" t="s">
        <v>77</v>
      </c>
      <c r="N501" s="281" t="s">
        <v>86</v>
      </c>
      <c r="O501" s="281" t="s">
        <v>3715</v>
      </c>
    </row>
    <row r="502" spans="1:15" s="296" customFormat="1" ht="19.95" customHeight="1" x14ac:dyDescent="0.3">
      <c r="A502" s="276" t="s">
        <v>3352</v>
      </c>
      <c r="B502" s="276" t="s">
        <v>3353</v>
      </c>
      <c r="C502" s="280" t="s">
        <v>229</v>
      </c>
      <c r="D502" s="310">
        <v>3</v>
      </c>
      <c r="E502" s="277">
        <v>45385</v>
      </c>
      <c r="F502" s="277">
        <v>45385</v>
      </c>
      <c r="G502" s="301">
        <f t="shared" ca="1" si="7"/>
        <v>684</v>
      </c>
      <c r="H502" s="256" t="s">
        <v>3304</v>
      </c>
      <c r="I502" s="315"/>
      <c r="J502" s="276" t="s">
        <v>234</v>
      </c>
      <c r="K502" s="276">
        <v>150</v>
      </c>
      <c r="L502" s="276" t="s">
        <v>4051</v>
      </c>
      <c r="M502" s="256" t="s">
        <v>77</v>
      </c>
      <c r="N502" s="281" t="s">
        <v>86</v>
      </c>
      <c r="O502" s="281" t="s">
        <v>3716</v>
      </c>
    </row>
    <row r="503" spans="1:15" s="296" customFormat="1" ht="19.95" customHeight="1" x14ac:dyDescent="0.3">
      <c r="A503" s="276" t="s">
        <v>3354</v>
      </c>
      <c r="B503" s="276" t="s">
        <v>3355</v>
      </c>
      <c r="C503" s="280" t="s">
        <v>229</v>
      </c>
      <c r="D503" s="310">
        <v>2</v>
      </c>
      <c r="E503" s="277">
        <v>45369</v>
      </c>
      <c r="F503" s="277">
        <v>45371</v>
      </c>
      <c r="G503" s="301">
        <f t="shared" ca="1" si="7"/>
        <v>700</v>
      </c>
      <c r="H503" s="256" t="s">
        <v>3304</v>
      </c>
      <c r="I503" s="315"/>
      <c r="J503" s="276" t="s">
        <v>234</v>
      </c>
      <c r="K503" s="280">
        <v>250</v>
      </c>
      <c r="L503" s="276" t="s">
        <v>4051</v>
      </c>
      <c r="M503" s="256" t="s">
        <v>77</v>
      </c>
      <c r="N503" s="281" t="s">
        <v>86</v>
      </c>
      <c r="O503" s="281" t="s">
        <v>3725</v>
      </c>
    </row>
    <row r="504" spans="1:15" s="296" customFormat="1" ht="19.95" customHeight="1" x14ac:dyDescent="0.3">
      <c r="A504" s="276" t="s">
        <v>3358</v>
      </c>
      <c r="B504" s="276" t="s">
        <v>3359</v>
      </c>
      <c r="C504" s="280" t="s">
        <v>229</v>
      </c>
      <c r="D504" s="310">
        <v>18</v>
      </c>
      <c r="E504" s="277">
        <v>45363</v>
      </c>
      <c r="F504" s="277">
        <v>45364</v>
      </c>
      <c r="G504" s="301">
        <f t="shared" ca="1" si="7"/>
        <v>706</v>
      </c>
      <c r="H504" s="256" t="s">
        <v>3304</v>
      </c>
      <c r="I504" s="315"/>
      <c r="J504" s="276" t="s">
        <v>234</v>
      </c>
      <c r="K504" s="280">
        <v>200</v>
      </c>
      <c r="L504" s="276" t="s">
        <v>4051</v>
      </c>
      <c r="M504" s="256" t="s">
        <v>77</v>
      </c>
      <c r="N504" s="281" t="s">
        <v>86</v>
      </c>
      <c r="O504" s="281" t="s">
        <v>3726</v>
      </c>
    </row>
    <row r="505" spans="1:15" s="296" customFormat="1" ht="19.95" customHeight="1" x14ac:dyDescent="0.3">
      <c r="A505" s="276" t="s">
        <v>3360</v>
      </c>
      <c r="B505" s="276" t="s">
        <v>3361</v>
      </c>
      <c r="C505" s="280" t="s">
        <v>229</v>
      </c>
      <c r="D505" s="310">
        <v>16</v>
      </c>
      <c r="E505" s="277">
        <v>45370</v>
      </c>
      <c r="F505" s="277">
        <v>45372</v>
      </c>
      <c r="G505" s="301">
        <f t="shared" ca="1" si="7"/>
        <v>699</v>
      </c>
      <c r="H505" s="281" t="s">
        <v>41</v>
      </c>
      <c r="I505" s="315"/>
      <c r="J505" s="276" t="s">
        <v>234</v>
      </c>
      <c r="K505" s="280">
        <v>450</v>
      </c>
      <c r="L505" s="276" t="s">
        <v>4051</v>
      </c>
      <c r="M505" s="256" t="s">
        <v>41</v>
      </c>
      <c r="N505" s="281" t="s">
        <v>41</v>
      </c>
      <c r="O505" s="281" t="s">
        <v>3704</v>
      </c>
    </row>
    <row r="506" spans="1:15" s="296" customFormat="1" ht="19.95" customHeight="1" x14ac:dyDescent="0.3">
      <c r="A506" s="276" t="s">
        <v>3469</v>
      </c>
      <c r="B506" s="276" t="s">
        <v>3470</v>
      </c>
      <c r="C506" s="280" t="s">
        <v>229</v>
      </c>
      <c r="D506" s="310">
        <v>12</v>
      </c>
      <c r="E506" s="277">
        <v>45405</v>
      </c>
      <c r="F506" s="277">
        <v>45406</v>
      </c>
      <c r="G506" s="301">
        <f t="shared" ca="1" si="7"/>
        <v>664</v>
      </c>
      <c r="H506" s="256" t="s">
        <v>3304</v>
      </c>
      <c r="I506" s="315"/>
      <c r="J506" s="276" t="s">
        <v>234</v>
      </c>
      <c r="K506" s="276">
        <v>250</v>
      </c>
      <c r="L506" s="276" t="s">
        <v>4051</v>
      </c>
      <c r="M506" s="256" t="s">
        <v>77</v>
      </c>
      <c r="N506" s="281" t="s">
        <v>86</v>
      </c>
      <c r="O506" s="281" t="s">
        <v>3727</v>
      </c>
    </row>
    <row r="507" spans="1:15" s="296" customFormat="1" ht="19.95" customHeight="1" x14ac:dyDescent="0.3">
      <c r="A507" s="276" t="s">
        <v>3471</v>
      </c>
      <c r="B507" s="276" t="s">
        <v>3472</v>
      </c>
      <c r="C507" s="280" t="s">
        <v>229</v>
      </c>
      <c r="D507" s="310">
        <v>9</v>
      </c>
      <c r="E507" s="277">
        <v>45356</v>
      </c>
      <c r="F507" s="277">
        <v>45357</v>
      </c>
      <c r="G507" s="301">
        <f t="shared" ca="1" si="7"/>
        <v>713</v>
      </c>
      <c r="H507" s="256" t="s">
        <v>3304</v>
      </c>
      <c r="I507" s="315"/>
      <c r="J507" s="276" t="s">
        <v>234</v>
      </c>
      <c r="K507" s="276">
        <v>300</v>
      </c>
      <c r="L507" s="276" t="s">
        <v>4051</v>
      </c>
      <c r="M507" s="256" t="s">
        <v>77</v>
      </c>
      <c r="N507" s="281" t="s">
        <v>86</v>
      </c>
      <c r="O507" s="281" t="s">
        <v>3728</v>
      </c>
    </row>
    <row r="508" spans="1:15" s="296" customFormat="1" ht="19.95" customHeight="1" x14ac:dyDescent="0.3">
      <c r="A508" s="276" t="s">
        <v>3404</v>
      </c>
      <c r="B508" s="276" t="s">
        <v>3405</v>
      </c>
      <c r="C508" s="280" t="s">
        <v>231</v>
      </c>
      <c r="D508" s="310">
        <v>2</v>
      </c>
      <c r="E508" s="277">
        <v>45391</v>
      </c>
      <c r="F508" s="277">
        <v>45393</v>
      </c>
      <c r="G508" s="301">
        <f t="shared" ca="1" si="7"/>
        <v>678</v>
      </c>
      <c r="H508" s="256" t="s">
        <v>3304</v>
      </c>
      <c r="I508" s="315" t="s">
        <v>3807</v>
      </c>
      <c r="J508" s="276" t="s">
        <v>234</v>
      </c>
      <c r="K508" s="276">
        <v>300</v>
      </c>
      <c r="L508" s="276" t="s">
        <v>4051</v>
      </c>
      <c r="M508" s="256" t="s">
        <v>77</v>
      </c>
      <c r="N508" s="281" t="s">
        <v>86</v>
      </c>
      <c r="O508" s="281" t="s">
        <v>3733</v>
      </c>
    </row>
    <row r="509" spans="1:15" s="296" customFormat="1" ht="19.95" customHeight="1" x14ac:dyDescent="0.3">
      <c r="A509" s="276" t="s">
        <v>3336</v>
      </c>
      <c r="B509" s="276" t="s">
        <v>3337</v>
      </c>
      <c r="C509" s="280" t="s">
        <v>138</v>
      </c>
      <c r="D509" s="310">
        <v>42</v>
      </c>
      <c r="E509" s="277">
        <v>45272</v>
      </c>
      <c r="F509" s="277">
        <v>45275</v>
      </c>
      <c r="G509" s="301">
        <f t="shared" ca="1" si="7"/>
        <v>797</v>
      </c>
      <c r="H509" s="256" t="s">
        <v>3304</v>
      </c>
      <c r="I509" s="315" t="s">
        <v>3807</v>
      </c>
      <c r="J509" s="276" t="s">
        <v>234</v>
      </c>
      <c r="K509" s="280">
        <v>200</v>
      </c>
      <c r="L509" s="276" t="s">
        <v>4051</v>
      </c>
      <c r="M509" s="256" t="s">
        <v>77</v>
      </c>
      <c r="N509" s="256" t="s">
        <v>67</v>
      </c>
      <c r="O509" s="281" t="s">
        <v>3705</v>
      </c>
    </row>
    <row r="510" spans="1:15" s="296" customFormat="1" ht="19.95" customHeight="1" x14ac:dyDescent="0.3">
      <c r="A510" s="276" t="s">
        <v>173</v>
      </c>
      <c r="B510" s="276" t="s">
        <v>174</v>
      </c>
      <c r="C510" s="280" t="s">
        <v>227</v>
      </c>
      <c r="D510" s="311">
        <v>54</v>
      </c>
      <c r="E510" s="277">
        <v>45204</v>
      </c>
      <c r="F510" s="277">
        <v>45204</v>
      </c>
      <c r="G510" s="301">
        <f t="shared" ca="1" si="7"/>
        <v>865</v>
      </c>
      <c r="H510" s="281" t="s">
        <v>41</v>
      </c>
      <c r="I510" s="280"/>
      <c r="J510" s="276" t="s">
        <v>234</v>
      </c>
      <c r="K510" s="280">
        <v>950</v>
      </c>
      <c r="L510" s="276" t="s">
        <v>4051</v>
      </c>
      <c r="M510" s="256" t="s">
        <v>41</v>
      </c>
      <c r="N510" s="281" t="s">
        <v>41</v>
      </c>
      <c r="O510" s="281" t="s">
        <v>3706</v>
      </c>
    </row>
    <row r="511" spans="1:15" s="296" customFormat="1" ht="19.95" customHeight="1" x14ac:dyDescent="0.3">
      <c r="A511" s="276" t="s">
        <v>3330</v>
      </c>
      <c r="B511" s="276" t="s">
        <v>3331</v>
      </c>
      <c r="C511" s="280" t="s">
        <v>227</v>
      </c>
      <c r="D511" s="310">
        <v>82</v>
      </c>
      <c r="E511" s="277">
        <v>45284</v>
      </c>
      <c r="F511" s="277">
        <v>45286</v>
      </c>
      <c r="G511" s="301">
        <f t="shared" ca="1" si="7"/>
        <v>785</v>
      </c>
      <c r="H511" s="265" t="s">
        <v>41</v>
      </c>
      <c r="I511" s="315"/>
      <c r="J511" s="276" t="s">
        <v>234</v>
      </c>
      <c r="K511" s="280">
        <v>600</v>
      </c>
      <c r="L511" s="276" t="s">
        <v>4051</v>
      </c>
      <c r="M511" s="256" t="s">
        <v>41</v>
      </c>
      <c r="N511" s="281" t="s">
        <v>41</v>
      </c>
      <c r="O511" s="281" t="s">
        <v>3707</v>
      </c>
    </row>
    <row r="512" spans="1:15" s="296" customFormat="1" ht="19.95" customHeight="1" x14ac:dyDescent="0.3">
      <c r="A512" s="276" t="s">
        <v>3350</v>
      </c>
      <c r="B512" s="276" t="s">
        <v>3351</v>
      </c>
      <c r="C512" s="280" t="s">
        <v>227</v>
      </c>
      <c r="D512" s="310">
        <v>2</v>
      </c>
      <c r="E512" s="277">
        <v>45337</v>
      </c>
      <c r="F512" s="277">
        <v>45338</v>
      </c>
      <c r="G512" s="301">
        <f t="shared" ca="1" si="7"/>
        <v>732</v>
      </c>
      <c r="H512" s="256" t="s">
        <v>3304</v>
      </c>
      <c r="I512" s="315"/>
      <c r="J512" s="276" t="s">
        <v>234</v>
      </c>
      <c r="K512" s="280">
        <v>200</v>
      </c>
      <c r="L512" s="276" t="s">
        <v>4051</v>
      </c>
      <c r="M512" s="256" t="s">
        <v>77</v>
      </c>
      <c r="N512" s="281" t="s">
        <v>86</v>
      </c>
      <c r="O512" s="281" t="s">
        <v>3741</v>
      </c>
    </row>
    <row r="513" spans="1:15" s="296" customFormat="1" ht="19.95" customHeight="1" x14ac:dyDescent="0.3">
      <c r="A513" s="276" t="s">
        <v>3356</v>
      </c>
      <c r="B513" s="276" t="s">
        <v>3357</v>
      </c>
      <c r="C513" s="280" t="s">
        <v>227</v>
      </c>
      <c r="D513" s="311">
        <v>67</v>
      </c>
      <c r="E513" s="277">
        <v>45273</v>
      </c>
      <c r="F513" s="277">
        <v>45273</v>
      </c>
      <c r="G513" s="301">
        <f t="shared" ca="1" si="7"/>
        <v>796</v>
      </c>
      <c r="H513" s="281" t="s">
        <v>41</v>
      </c>
      <c r="I513" s="280"/>
      <c r="J513" s="276" t="s">
        <v>234</v>
      </c>
      <c r="K513" s="280">
        <v>500</v>
      </c>
      <c r="L513" s="276" t="s">
        <v>4051</v>
      </c>
      <c r="M513" s="256" t="s">
        <v>41</v>
      </c>
      <c r="N513" s="281" t="s">
        <v>41</v>
      </c>
      <c r="O513" s="256" t="s">
        <v>4108</v>
      </c>
    </row>
    <row r="514" spans="1:15" s="296" customFormat="1" ht="19.95" customHeight="1" x14ac:dyDescent="0.3">
      <c r="A514" s="276" t="s">
        <v>3970</v>
      </c>
      <c r="B514" s="276" t="s">
        <v>3971</v>
      </c>
      <c r="C514" s="280" t="s">
        <v>227</v>
      </c>
      <c r="D514" s="310">
        <v>55</v>
      </c>
      <c r="E514" s="277">
        <v>45409</v>
      </c>
      <c r="F514" s="277">
        <v>45411</v>
      </c>
      <c r="G514" s="301">
        <f t="shared" ca="1" si="7"/>
        <v>660</v>
      </c>
      <c r="H514" s="256" t="s">
        <v>3304</v>
      </c>
      <c r="I514" s="315"/>
      <c r="J514" s="276" t="s">
        <v>234</v>
      </c>
      <c r="K514" s="276">
        <v>50</v>
      </c>
      <c r="L514" s="276" t="s">
        <v>4051</v>
      </c>
      <c r="M514" s="256" t="s">
        <v>77</v>
      </c>
      <c r="N514" s="281" t="s">
        <v>86</v>
      </c>
      <c r="O514" s="281" t="s">
        <v>4109</v>
      </c>
    </row>
    <row r="515" spans="1:15" s="296" customFormat="1" ht="19.95" customHeight="1" x14ac:dyDescent="0.3">
      <c r="A515" s="276" t="s">
        <v>3364</v>
      </c>
      <c r="B515" s="276" t="s">
        <v>3365</v>
      </c>
      <c r="C515" s="280" t="s">
        <v>227</v>
      </c>
      <c r="D515" s="310">
        <v>40</v>
      </c>
      <c r="E515" s="277">
        <v>45388</v>
      </c>
      <c r="F515" s="277">
        <v>45391</v>
      </c>
      <c r="G515" s="301">
        <f t="shared" ref="G515:G548" ca="1" si="8">TODAY()-E515</f>
        <v>681</v>
      </c>
      <c r="H515" s="256" t="s">
        <v>3304</v>
      </c>
      <c r="I515" s="315"/>
      <c r="J515" s="276" t="s">
        <v>234</v>
      </c>
      <c r="K515" s="276">
        <v>250</v>
      </c>
      <c r="L515" s="276" t="s">
        <v>4051</v>
      </c>
      <c r="M515" s="256" t="s">
        <v>77</v>
      </c>
      <c r="N515" s="281" t="s">
        <v>86</v>
      </c>
      <c r="O515" s="281" t="s">
        <v>3742</v>
      </c>
    </row>
    <row r="516" spans="1:15" s="296" customFormat="1" ht="19.95" customHeight="1" x14ac:dyDescent="0.3">
      <c r="A516" s="276" t="s">
        <v>3366</v>
      </c>
      <c r="B516" s="276" t="s">
        <v>3367</v>
      </c>
      <c r="C516" s="280" t="s">
        <v>227</v>
      </c>
      <c r="D516" s="310">
        <v>40</v>
      </c>
      <c r="E516" s="277">
        <v>45398</v>
      </c>
      <c r="F516" s="277">
        <v>45399</v>
      </c>
      <c r="G516" s="301">
        <f t="shared" ca="1" si="8"/>
        <v>671</v>
      </c>
      <c r="H516" s="256" t="s">
        <v>3304</v>
      </c>
      <c r="I516" s="315"/>
      <c r="J516" s="276" t="s">
        <v>234</v>
      </c>
      <c r="K516" s="276"/>
      <c r="L516" s="276" t="s">
        <v>4051</v>
      </c>
      <c r="M516" s="256" t="s">
        <v>77</v>
      </c>
      <c r="N516" s="281" t="s">
        <v>86</v>
      </c>
      <c r="O516" s="281" t="s">
        <v>3743</v>
      </c>
    </row>
    <row r="517" spans="1:15" s="296" customFormat="1" ht="19.95" customHeight="1" x14ac:dyDescent="0.3">
      <c r="A517" s="276" t="s">
        <v>3370</v>
      </c>
      <c r="B517" s="276" t="s">
        <v>3371</v>
      </c>
      <c r="C517" s="280" t="s">
        <v>227</v>
      </c>
      <c r="D517" s="310">
        <v>39</v>
      </c>
      <c r="E517" s="277">
        <v>45391</v>
      </c>
      <c r="F517" s="277">
        <v>45393</v>
      </c>
      <c r="G517" s="301">
        <f t="shared" ca="1" si="8"/>
        <v>678</v>
      </c>
      <c r="H517" s="281" t="s">
        <v>41</v>
      </c>
      <c r="I517" s="315"/>
      <c r="J517" s="276" t="s">
        <v>234</v>
      </c>
      <c r="K517" s="276">
        <v>600</v>
      </c>
      <c r="L517" s="276" t="s">
        <v>4051</v>
      </c>
      <c r="M517" s="256" t="s">
        <v>41</v>
      </c>
      <c r="N517" s="281" t="s">
        <v>41</v>
      </c>
      <c r="O517" s="281" t="s">
        <v>3708</v>
      </c>
    </row>
    <row r="518" spans="1:15" s="296" customFormat="1" ht="19.95" customHeight="1" x14ac:dyDescent="0.3">
      <c r="A518" s="276" t="s">
        <v>3372</v>
      </c>
      <c r="B518" s="276" t="s">
        <v>3373</v>
      </c>
      <c r="C518" s="280" t="s">
        <v>227</v>
      </c>
      <c r="D518" s="310">
        <v>38</v>
      </c>
      <c r="E518" s="277">
        <v>45379</v>
      </c>
      <c r="F518" s="277">
        <v>45380</v>
      </c>
      <c r="G518" s="301">
        <f t="shared" ca="1" si="8"/>
        <v>690</v>
      </c>
      <c r="H518" s="281" t="s">
        <v>41</v>
      </c>
      <c r="I518" s="315"/>
      <c r="J518" s="276" t="s">
        <v>234</v>
      </c>
      <c r="K518" s="276">
        <v>650</v>
      </c>
      <c r="L518" s="276" t="s">
        <v>4051</v>
      </c>
      <c r="M518" s="256" t="s">
        <v>41</v>
      </c>
      <c r="N518" s="281" t="s">
        <v>41</v>
      </c>
      <c r="O518" s="281" t="s">
        <v>3709</v>
      </c>
    </row>
    <row r="519" spans="1:15" s="296" customFormat="1" ht="19.95" customHeight="1" x14ac:dyDescent="0.3">
      <c r="A519" s="276" t="s">
        <v>3362</v>
      </c>
      <c r="B519" s="276" t="s">
        <v>3363</v>
      </c>
      <c r="C519" s="280" t="s">
        <v>232</v>
      </c>
      <c r="D519" s="310">
        <v>38</v>
      </c>
      <c r="E519" s="277">
        <v>45370</v>
      </c>
      <c r="F519" s="277">
        <v>45371</v>
      </c>
      <c r="G519" s="301">
        <f t="shared" ca="1" si="8"/>
        <v>699</v>
      </c>
      <c r="H519" s="281" t="s">
        <v>41</v>
      </c>
      <c r="I519" s="315"/>
      <c r="J519" s="276" t="s">
        <v>234</v>
      </c>
      <c r="K519" s="280">
        <v>650</v>
      </c>
      <c r="L519" s="276" t="s">
        <v>4051</v>
      </c>
      <c r="M519" s="256" t="s">
        <v>41</v>
      </c>
      <c r="N519" s="281" t="s">
        <v>41</v>
      </c>
      <c r="O519" s="281" t="s">
        <v>3711</v>
      </c>
    </row>
    <row r="520" spans="1:15" s="296" customFormat="1" ht="19.95" customHeight="1" x14ac:dyDescent="0.3">
      <c r="A520" s="276" t="s">
        <v>3338</v>
      </c>
      <c r="B520" s="276" t="s">
        <v>3339</v>
      </c>
      <c r="C520" s="280" t="s">
        <v>113</v>
      </c>
      <c r="D520" s="311">
        <v>41</v>
      </c>
      <c r="E520" s="277">
        <v>45319</v>
      </c>
      <c r="F520" s="277">
        <v>45320</v>
      </c>
      <c r="G520" s="301">
        <f t="shared" ca="1" si="8"/>
        <v>750</v>
      </c>
      <c r="H520" s="256" t="s">
        <v>3304</v>
      </c>
      <c r="I520" s="315" t="s">
        <v>3807</v>
      </c>
      <c r="J520" s="276" t="s">
        <v>234</v>
      </c>
      <c r="K520" s="280">
        <v>200</v>
      </c>
      <c r="L520" s="276" t="s">
        <v>4051</v>
      </c>
      <c r="M520" s="256" t="s">
        <v>77</v>
      </c>
      <c r="N520" s="256" t="s">
        <v>67</v>
      </c>
      <c r="O520" s="281" t="s">
        <v>3712</v>
      </c>
    </row>
    <row r="521" spans="1:15" s="296" customFormat="1" ht="19.95" customHeight="1" x14ac:dyDescent="0.3">
      <c r="A521" s="276" t="s">
        <v>3340</v>
      </c>
      <c r="B521" s="276" t="s">
        <v>3341</v>
      </c>
      <c r="C521" s="280" t="s">
        <v>113</v>
      </c>
      <c r="D521" s="311">
        <v>41</v>
      </c>
      <c r="E521" s="277">
        <v>45319</v>
      </c>
      <c r="F521" s="277">
        <v>45320</v>
      </c>
      <c r="G521" s="301">
        <f t="shared" ca="1" si="8"/>
        <v>750</v>
      </c>
      <c r="H521" s="256" t="s">
        <v>3304</v>
      </c>
      <c r="I521" s="315" t="s">
        <v>3807</v>
      </c>
      <c r="J521" s="276" t="s">
        <v>234</v>
      </c>
      <c r="K521" s="280">
        <v>210</v>
      </c>
      <c r="L521" s="276" t="s">
        <v>4051</v>
      </c>
      <c r="M521" s="256" t="s">
        <v>77</v>
      </c>
      <c r="N521" s="256" t="s">
        <v>67</v>
      </c>
      <c r="O521" s="281" t="s">
        <v>3717</v>
      </c>
    </row>
    <row r="522" spans="1:15" s="296" customFormat="1" ht="19.95" customHeight="1" x14ac:dyDescent="0.3">
      <c r="A522" s="276" t="s">
        <v>3368</v>
      </c>
      <c r="B522" s="276" t="s">
        <v>3369</v>
      </c>
      <c r="C522" s="280" t="s">
        <v>113</v>
      </c>
      <c r="D522" s="310">
        <v>22</v>
      </c>
      <c r="E522" s="277">
        <v>45366</v>
      </c>
      <c r="F522" s="277">
        <v>45367</v>
      </c>
      <c r="G522" s="301">
        <f t="shared" ca="1" si="8"/>
        <v>703</v>
      </c>
      <c r="H522" s="281" t="s">
        <v>41</v>
      </c>
      <c r="I522" s="315"/>
      <c r="J522" s="276" t="s">
        <v>234</v>
      </c>
      <c r="K522" s="280">
        <v>1500</v>
      </c>
      <c r="L522" s="276" t="s">
        <v>4051</v>
      </c>
      <c r="M522" s="256" t="s">
        <v>41</v>
      </c>
      <c r="N522" s="281" t="s">
        <v>41</v>
      </c>
      <c r="O522" s="281" t="s">
        <v>3718</v>
      </c>
    </row>
    <row r="523" spans="1:15" s="296" customFormat="1" ht="19.95" customHeight="1" x14ac:dyDescent="0.3">
      <c r="A523" s="276" t="s">
        <v>3376</v>
      </c>
      <c r="B523" s="276" t="s">
        <v>3377</v>
      </c>
      <c r="C523" s="280" t="s">
        <v>113</v>
      </c>
      <c r="D523" s="310">
        <v>82</v>
      </c>
      <c r="E523" s="277">
        <v>45356</v>
      </c>
      <c r="F523" s="277">
        <v>45360</v>
      </c>
      <c r="G523" s="301">
        <f t="shared" ca="1" si="8"/>
        <v>713</v>
      </c>
      <c r="H523" s="256" t="s">
        <v>3304</v>
      </c>
      <c r="I523" s="315" t="s">
        <v>3807</v>
      </c>
      <c r="J523" s="276" t="s">
        <v>234</v>
      </c>
      <c r="K523" s="280">
        <v>200</v>
      </c>
      <c r="L523" s="276" t="s">
        <v>4051</v>
      </c>
      <c r="M523" s="256" t="s">
        <v>77</v>
      </c>
      <c r="N523" s="256" t="s">
        <v>2631</v>
      </c>
      <c r="O523" s="281" t="s">
        <v>3719</v>
      </c>
    </row>
    <row r="524" spans="1:15" s="296" customFormat="1" ht="19.95" customHeight="1" x14ac:dyDescent="0.3">
      <c r="A524" s="276" t="s">
        <v>3334</v>
      </c>
      <c r="B524" s="276" t="s">
        <v>3335</v>
      </c>
      <c r="C524" s="280" t="s">
        <v>230</v>
      </c>
      <c r="D524" s="310">
        <v>10</v>
      </c>
      <c r="E524" s="277">
        <v>45210</v>
      </c>
      <c r="F524" s="277">
        <v>45211</v>
      </c>
      <c r="G524" s="301">
        <f t="shared" ca="1" si="8"/>
        <v>859</v>
      </c>
      <c r="H524" s="256" t="s">
        <v>3304</v>
      </c>
      <c r="I524" s="315" t="s">
        <v>3807</v>
      </c>
      <c r="J524" s="276" t="s">
        <v>234</v>
      </c>
      <c r="K524" s="280">
        <v>200</v>
      </c>
      <c r="L524" s="276" t="s">
        <v>4051</v>
      </c>
      <c r="M524" s="256" t="s">
        <v>77</v>
      </c>
      <c r="N524" s="256" t="s">
        <v>67</v>
      </c>
      <c r="O524" s="281" t="s">
        <v>3720</v>
      </c>
    </row>
    <row r="525" spans="1:15" s="296" customFormat="1" ht="19.95" customHeight="1" x14ac:dyDescent="0.3">
      <c r="A525" s="268" t="s">
        <v>3972</v>
      </c>
      <c r="B525" s="268" t="s">
        <v>3973</v>
      </c>
      <c r="C525" s="268" t="s">
        <v>109</v>
      </c>
      <c r="D525" s="281"/>
      <c r="E525" s="269">
        <v>45415</v>
      </c>
      <c r="F525" s="269">
        <v>45416</v>
      </c>
      <c r="G525" s="301">
        <f t="shared" ca="1" si="8"/>
        <v>654</v>
      </c>
      <c r="H525" s="277" t="s">
        <v>63</v>
      </c>
      <c r="I525" s="281"/>
      <c r="J525" s="276" t="s">
        <v>234</v>
      </c>
      <c r="K525" s="281"/>
      <c r="L525" s="276" t="s">
        <v>4051</v>
      </c>
      <c r="M525" s="277" t="s">
        <v>63</v>
      </c>
      <c r="N525" s="277" t="s">
        <v>63</v>
      </c>
      <c r="O525" s="281"/>
    </row>
    <row r="526" spans="1:15" s="296" customFormat="1" ht="19.95" customHeight="1" x14ac:dyDescent="0.3">
      <c r="A526" s="268" t="s">
        <v>3974</v>
      </c>
      <c r="B526" s="268" t="s">
        <v>3975</v>
      </c>
      <c r="C526" s="268" t="s">
        <v>109</v>
      </c>
      <c r="D526" s="281"/>
      <c r="E526" s="269">
        <v>45415</v>
      </c>
      <c r="F526" s="269">
        <v>45416</v>
      </c>
      <c r="G526" s="301">
        <f t="shared" ca="1" si="8"/>
        <v>654</v>
      </c>
      <c r="H526" s="277" t="s">
        <v>63</v>
      </c>
      <c r="I526" s="281"/>
      <c r="J526" s="276" t="s">
        <v>234</v>
      </c>
      <c r="K526" s="281"/>
      <c r="L526" s="276" t="s">
        <v>4051</v>
      </c>
      <c r="M526" s="277" t="s">
        <v>63</v>
      </c>
      <c r="N526" s="277" t="s">
        <v>63</v>
      </c>
      <c r="O526" s="281"/>
    </row>
    <row r="527" spans="1:15" s="296" customFormat="1" ht="19.95" customHeight="1" x14ac:dyDescent="0.3">
      <c r="A527" s="268" t="s">
        <v>3976</v>
      </c>
      <c r="B527" s="268" t="s">
        <v>3977</v>
      </c>
      <c r="C527" s="268" t="s">
        <v>109</v>
      </c>
      <c r="D527" s="281"/>
      <c r="E527" s="269">
        <v>45415</v>
      </c>
      <c r="F527" s="269">
        <v>45416</v>
      </c>
      <c r="G527" s="301">
        <f t="shared" ca="1" si="8"/>
        <v>654</v>
      </c>
      <c r="H527" s="277" t="s">
        <v>63</v>
      </c>
      <c r="I527" s="281"/>
      <c r="J527" s="276" t="s">
        <v>234</v>
      </c>
      <c r="K527" s="281"/>
      <c r="L527" s="276" t="s">
        <v>4051</v>
      </c>
      <c r="M527" s="277" t="s">
        <v>63</v>
      </c>
      <c r="N527" s="277" t="s">
        <v>63</v>
      </c>
      <c r="O527" s="281"/>
    </row>
    <row r="528" spans="1:15" s="296" customFormat="1" ht="19.95" customHeight="1" x14ac:dyDescent="0.3">
      <c r="A528" s="268" t="s">
        <v>3978</v>
      </c>
      <c r="B528" s="268" t="s">
        <v>3979</v>
      </c>
      <c r="C528" s="268" t="s">
        <v>109</v>
      </c>
      <c r="D528" s="281"/>
      <c r="E528" s="269">
        <v>45415</v>
      </c>
      <c r="F528" s="269">
        <v>45416</v>
      </c>
      <c r="G528" s="301">
        <f t="shared" ca="1" si="8"/>
        <v>654</v>
      </c>
      <c r="H528" s="277" t="s">
        <v>63</v>
      </c>
      <c r="I528" s="281"/>
      <c r="J528" s="276" t="s">
        <v>234</v>
      </c>
      <c r="K528" s="281"/>
      <c r="L528" s="276" t="s">
        <v>4051</v>
      </c>
      <c r="M528" s="277" t="s">
        <v>63</v>
      </c>
      <c r="N528" s="277" t="s">
        <v>63</v>
      </c>
      <c r="O528" s="281"/>
    </row>
    <row r="529" spans="1:15" s="296" customFormat="1" ht="19.95" customHeight="1" x14ac:dyDescent="0.3">
      <c r="A529" s="268" t="s">
        <v>3980</v>
      </c>
      <c r="B529" s="268" t="s">
        <v>3981</v>
      </c>
      <c r="C529" s="268" t="s">
        <v>109</v>
      </c>
      <c r="D529" s="281"/>
      <c r="E529" s="269">
        <v>45416</v>
      </c>
      <c r="F529" s="269">
        <v>45416</v>
      </c>
      <c r="G529" s="301">
        <f t="shared" ca="1" si="8"/>
        <v>653</v>
      </c>
      <c r="H529" s="277" t="s">
        <v>63</v>
      </c>
      <c r="I529" s="281"/>
      <c r="J529" s="276" t="s">
        <v>234</v>
      </c>
      <c r="K529" s="281"/>
      <c r="L529" s="276" t="s">
        <v>4051</v>
      </c>
      <c r="M529" s="277" t="s">
        <v>63</v>
      </c>
      <c r="N529" s="277" t="s">
        <v>63</v>
      </c>
      <c r="O529" s="281"/>
    </row>
    <row r="530" spans="1:15" s="296" customFormat="1" ht="19.95" customHeight="1" x14ac:dyDescent="0.3">
      <c r="A530" s="268" t="s">
        <v>3982</v>
      </c>
      <c r="B530" s="268" t="s">
        <v>3983</v>
      </c>
      <c r="C530" s="268" t="s">
        <v>109</v>
      </c>
      <c r="D530" s="281"/>
      <c r="E530" s="269">
        <v>45416</v>
      </c>
      <c r="F530" s="269">
        <v>45416</v>
      </c>
      <c r="G530" s="301">
        <f t="shared" ca="1" si="8"/>
        <v>653</v>
      </c>
      <c r="H530" s="277" t="s">
        <v>63</v>
      </c>
      <c r="I530" s="281"/>
      <c r="J530" s="276" t="s">
        <v>234</v>
      </c>
      <c r="K530" s="281"/>
      <c r="L530" s="276" t="s">
        <v>4051</v>
      </c>
      <c r="M530" s="277" t="s">
        <v>63</v>
      </c>
      <c r="N530" s="277" t="s">
        <v>63</v>
      </c>
      <c r="O530" s="281"/>
    </row>
    <row r="531" spans="1:15" s="296" customFormat="1" ht="19.95" customHeight="1" x14ac:dyDescent="0.3">
      <c r="A531" s="276" t="s">
        <v>3984</v>
      </c>
      <c r="B531" s="276" t="s">
        <v>3985</v>
      </c>
      <c r="C531" s="280" t="s">
        <v>2480</v>
      </c>
      <c r="D531" s="310">
        <v>56</v>
      </c>
      <c r="E531" s="277">
        <v>45414</v>
      </c>
      <c r="F531" s="277">
        <v>45415</v>
      </c>
      <c r="G531" s="301">
        <f t="shared" ca="1" si="8"/>
        <v>655</v>
      </c>
      <c r="H531" s="281" t="s">
        <v>65</v>
      </c>
      <c r="I531" s="315">
        <v>45418</v>
      </c>
      <c r="J531" s="276" t="s">
        <v>234</v>
      </c>
      <c r="K531" s="276">
        <v>100</v>
      </c>
      <c r="L531" s="276" t="s">
        <v>4051</v>
      </c>
      <c r="M531" s="281" t="s">
        <v>66</v>
      </c>
      <c r="N531" s="281" t="s">
        <v>66</v>
      </c>
      <c r="O531" s="281" t="s">
        <v>4110</v>
      </c>
    </row>
    <row r="532" spans="1:15" s="296" customFormat="1" ht="19.95" customHeight="1" x14ac:dyDescent="0.3">
      <c r="A532" s="276" t="s">
        <v>3406</v>
      </c>
      <c r="B532" s="276" t="s">
        <v>3407</v>
      </c>
      <c r="C532" s="280" t="s">
        <v>229</v>
      </c>
      <c r="D532" s="310">
        <v>13</v>
      </c>
      <c r="E532" s="277">
        <v>45391</v>
      </c>
      <c r="F532" s="277">
        <v>45393</v>
      </c>
      <c r="G532" s="301">
        <f t="shared" ca="1" si="8"/>
        <v>678</v>
      </c>
      <c r="H532" s="281" t="s">
        <v>65</v>
      </c>
      <c r="I532" s="315">
        <v>45419</v>
      </c>
      <c r="J532" s="276" t="s">
        <v>234</v>
      </c>
      <c r="K532" s="276">
        <v>500</v>
      </c>
      <c r="L532" s="276" t="s">
        <v>4051</v>
      </c>
      <c r="M532" s="281" t="s">
        <v>66</v>
      </c>
      <c r="N532" s="281" t="s">
        <v>66</v>
      </c>
      <c r="O532" s="281" t="s">
        <v>3730</v>
      </c>
    </row>
    <row r="533" spans="1:15" s="296" customFormat="1" ht="19.95" customHeight="1" x14ac:dyDescent="0.3">
      <c r="A533" s="276" t="s">
        <v>3986</v>
      </c>
      <c r="B533" s="276" t="s">
        <v>3987</v>
      </c>
      <c r="C533" s="280" t="s">
        <v>231</v>
      </c>
      <c r="D533" s="310">
        <v>5</v>
      </c>
      <c r="E533" s="277">
        <v>45414</v>
      </c>
      <c r="F533" s="277">
        <v>45415</v>
      </c>
      <c r="G533" s="301">
        <f t="shared" ca="1" si="8"/>
        <v>655</v>
      </c>
      <c r="H533" s="281" t="s">
        <v>65</v>
      </c>
      <c r="I533" s="315">
        <v>45418</v>
      </c>
      <c r="J533" s="276" t="s">
        <v>234</v>
      </c>
      <c r="K533" s="276">
        <v>200</v>
      </c>
      <c r="L533" s="276" t="s">
        <v>4051</v>
      </c>
      <c r="M533" s="281" t="s">
        <v>66</v>
      </c>
      <c r="N533" s="281" t="s">
        <v>66</v>
      </c>
      <c r="O533" s="281" t="s">
        <v>4111</v>
      </c>
    </row>
    <row r="534" spans="1:15" s="296" customFormat="1" ht="19.95" customHeight="1" x14ac:dyDescent="0.3">
      <c r="A534" s="276" t="s">
        <v>3988</v>
      </c>
      <c r="B534" s="276" t="s">
        <v>3989</v>
      </c>
      <c r="C534" s="280" t="s">
        <v>231</v>
      </c>
      <c r="D534" s="310">
        <v>24</v>
      </c>
      <c r="E534" s="277">
        <v>45414</v>
      </c>
      <c r="F534" s="277">
        <v>45415</v>
      </c>
      <c r="G534" s="301">
        <f t="shared" ca="1" si="8"/>
        <v>655</v>
      </c>
      <c r="H534" s="281" t="s">
        <v>65</v>
      </c>
      <c r="I534" s="315">
        <v>45418</v>
      </c>
      <c r="J534" s="276" t="s">
        <v>234</v>
      </c>
      <c r="K534" s="276">
        <v>350</v>
      </c>
      <c r="L534" s="276" t="s">
        <v>4051</v>
      </c>
      <c r="M534" s="281" t="s">
        <v>66</v>
      </c>
      <c r="N534" s="281" t="s">
        <v>66</v>
      </c>
      <c r="O534" s="281" t="s">
        <v>4112</v>
      </c>
    </row>
    <row r="535" spans="1:15" s="296" customFormat="1" ht="19.95" customHeight="1" x14ac:dyDescent="0.3">
      <c r="A535" s="276" t="s">
        <v>3990</v>
      </c>
      <c r="B535" s="276" t="s">
        <v>3991</v>
      </c>
      <c r="C535" s="280" t="s">
        <v>231</v>
      </c>
      <c r="D535" s="310">
        <v>30</v>
      </c>
      <c r="E535" s="277">
        <v>45414</v>
      </c>
      <c r="F535" s="277">
        <v>45415</v>
      </c>
      <c r="G535" s="301">
        <f t="shared" ca="1" si="8"/>
        <v>655</v>
      </c>
      <c r="H535" s="281" t="s">
        <v>65</v>
      </c>
      <c r="I535" s="315">
        <v>45418</v>
      </c>
      <c r="J535" s="276" t="s">
        <v>234</v>
      </c>
      <c r="K535" s="276">
        <v>350</v>
      </c>
      <c r="L535" s="276" t="s">
        <v>4051</v>
      </c>
      <c r="M535" s="281" t="s">
        <v>66</v>
      </c>
      <c r="N535" s="281" t="s">
        <v>66</v>
      </c>
      <c r="O535" s="281" t="s">
        <v>4113</v>
      </c>
    </row>
    <row r="536" spans="1:15" s="296" customFormat="1" ht="19.95" customHeight="1" x14ac:dyDescent="0.3">
      <c r="A536" s="276" t="s">
        <v>3992</v>
      </c>
      <c r="B536" s="276" t="s">
        <v>3993</v>
      </c>
      <c r="C536" s="280" t="s">
        <v>231</v>
      </c>
      <c r="D536" s="310">
        <v>32</v>
      </c>
      <c r="E536" s="277">
        <v>45414</v>
      </c>
      <c r="F536" s="277">
        <v>45415</v>
      </c>
      <c r="G536" s="301">
        <f t="shared" ca="1" si="8"/>
        <v>655</v>
      </c>
      <c r="H536" s="281" t="s">
        <v>65</v>
      </c>
      <c r="I536" s="315">
        <v>45420</v>
      </c>
      <c r="J536" s="276" t="s">
        <v>234</v>
      </c>
      <c r="K536" s="276">
        <v>350</v>
      </c>
      <c r="L536" s="276" t="s">
        <v>4051</v>
      </c>
      <c r="M536" s="281" t="s">
        <v>66</v>
      </c>
      <c r="N536" s="281" t="s">
        <v>66</v>
      </c>
      <c r="O536" s="281" t="s">
        <v>4114</v>
      </c>
    </row>
    <row r="537" spans="1:15" s="296" customFormat="1" ht="19.95" customHeight="1" x14ac:dyDescent="0.3">
      <c r="A537" s="276" t="s">
        <v>3794</v>
      </c>
      <c r="B537" s="276" t="s">
        <v>3795</v>
      </c>
      <c r="C537" s="280" t="s">
        <v>231</v>
      </c>
      <c r="D537" s="310">
        <v>3</v>
      </c>
      <c r="E537" s="277">
        <v>45409</v>
      </c>
      <c r="F537" s="277">
        <v>45411</v>
      </c>
      <c r="G537" s="301">
        <f t="shared" ca="1" si="8"/>
        <v>660</v>
      </c>
      <c r="H537" s="281" t="s">
        <v>65</v>
      </c>
      <c r="I537" s="315">
        <v>45418</v>
      </c>
      <c r="J537" s="276" t="s">
        <v>234</v>
      </c>
      <c r="K537" s="276">
        <v>250</v>
      </c>
      <c r="L537" s="276" t="s">
        <v>4051</v>
      </c>
      <c r="M537" s="281" t="s">
        <v>66</v>
      </c>
      <c r="N537" s="281" t="s">
        <v>66</v>
      </c>
      <c r="O537" s="281" t="s">
        <v>4115</v>
      </c>
    </row>
    <row r="538" spans="1:15" s="296" customFormat="1" ht="19.95" customHeight="1" x14ac:dyDescent="0.3">
      <c r="A538" s="276" t="s">
        <v>3802</v>
      </c>
      <c r="B538" s="276" t="s">
        <v>3803</v>
      </c>
      <c r="C538" s="280" t="s">
        <v>231</v>
      </c>
      <c r="D538" s="310">
        <v>8</v>
      </c>
      <c r="E538" s="277">
        <v>45409</v>
      </c>
      <c r="F538" s="277">
        <v>45411</v>
      </c>
      <c r="G538" s="301">
        <f t="shared" ca="1" si="8"/>
        <v>660</v>
      </c>
      <c r="H538" s="281" t="s">
        <v>65</v>
      </c>
      <c r="I538" s="315">
        <v>45418</v>
      </c>
      <c r="J538" s="276" t="s">
        <v>234</v>
      </c>
      <c r="K538" s="276">
        <v>300</v>
      </c>
      <c r="L538" s="276" t="s">
        <v>4051</v>
      </c>
      <c r="M538" s="281" t="s">
        <v>66</v>
      </c>
      <c r="N538" s="281" t="s">
        <v>66</v>
      </c>
      <c r="O538" s="281" t="s">
        <v>4116</v>
      </c>
    </row>
    <row r="539" spans="1:15" s="296" customFormat="1" ht="19.95" customHeight="1" x14ac:dyDescent="0.3">
      <c r="A539" s="276" t="s">
        <v>3388</v>
      </c>
      <c r="B539" s="276" t="s">
        <v>3389</v>
      </c>
      <c r="C539" s="280" t="s">
        <v>227</v>
      </c>
      <c r="D539" s="310">
        <v>64</v>
      </c>
      <c r="E539" s="277">
        <v>45376</v>
      </c>
      <c r="F539" s="277">
        <v>45377</v>
      </c>
      <c r="G539" s="301">
        <f t="shared" ca="1" si="8"/>
        <v>693</v>
      </c>
      <c r="H539" s="281" t="s">
        <v>65</v>
      </c>
      <c r="I539" s="315">
        <v>45419</v>
      </c>
      <c r="J539" s="276" t="s">
        <v>234</v>
      </c>
      <c r="K539" s="276">
        <v>200</v>
      </c>
      <c r="L539" s="276" t="s">
        <v>4051</v>
      </c>
      <c r="M539" s="281" t="s">
        <v>66</v>
      </c>
      <c r="N539" s="281" t="s">
        <v>66</v>
      </c>
      <c r="O539" s="281" t="s">
        <v>3744</v>
      </c>
    </row>
    <row r="540" spans="1:15" s="296" customFormat="1" ht="19.95" customHeight="1" x14ac:dyDescent="0.3">
      <c r="A540" s="276" t="s">
        <v>3994</v>
      </c>
      <c r="B540" s="276" t="s">
        <v>3995</v>
      </c>
      <c r="C540" s="280" t="s">
        <v>232</v>
      </c>
      <c r="D540" s="310">
        <v>28</v>
      </c>
      <c r="E540" s="277">
        <v>45414</v>
      </c>
      <c r="F540" s="277">
        <v>45415</v>
      </c>
      <c r="G540" s="301">
        <f t="shared" ca="1" si="8"/>
        <v>655</v>
      </c>
      <c r="H540" s="281" t="s">
        <v>65</v>
      </c>
      <c r="I540" s="315">
        <v>45418</v>
      </c>
      <c r="J540" s="276" t="s">
        <v>234</v>
      </c>
      <c r="K540" s="276">
        <v>250</v>
      </c>
      <c r="L540" s="276" t="s">
        <v>4051</v>
      </c>
      <c r="M540" s="281" t="s">
        <v>66</v>
      </c>
      <c r="N540" s="281" t="s">
        <v>66</v>
      </c>
      <c r="O540" s="281" t="s">
        <v>4117</v>
      </c>
    </row>
    <row r="541" spans="1:15" s="296" customFormat="1" ht="19.95" customHeight="1" x14ac:dyDescent="0.3">
      <c r="A541" s="276" t="s">
        <v>3996</v>
      </c>
      <c r="B541" s="276" t="s">
        <v>3997</v>
      </c>
      <c r="C541" s="280" t="s">
        <v>228</v>
      </c>
      <c r="D541" s="310">
        <v>26</v>
      </c>
      <c r="E541" s="277">
        <v>45414</v>
      </c>
      <c r="F541" s="277">
        <v>45415</v>
      </c>
      <c r="G541" s="301">
        <f t="shared" ca="1" si="8"/>
        <v>655</v>
      </c>
      <c r="H541" s="281" t="s">
        <v>65</v>
      </c>
      <c r="I541" s="315">
        <v>45418</v>
      </c>
      <c r="J541" s="276" t="s">
        <v>234</v>
      </c>
      <c r="K541" s="276">
        <v>350</v>
      </c>
      <c r="L541" s="276" t="s">
        <v>4051</v>
      </c>
      <c r="M541" s="281" t="s">
        <v>66</v>
      </c>
      <c r="N541" s="281" t="s">
        <v>66</v>
      </c>
      <c r="O541" s="281" t="s">
        <v>4118</v>
      </c>
    </row>
    <row r="542" spans="1:15" s="296" customFormat="1" ht="19.95" customHeight="1" x14ac:dyDescent="0.3">
      <c r="A542" s="276" t="s">
        <v>3473</v>
      </c>
      <c r="B542" s="276" t="s">
        <v>3474</v>
      </c>
      <c r="C542" s="280" t="s">
        <v>228</v>
      </c>
      <c r="D542" s="310">
        <v>24</v>
      </c>
      <c r="E542" s="277">
        <v>45405</v>
      </c>
      <c r="F542" s="277">
        <v>45406</v>
      </c>
      <c r="G542" s="301">
        <f t="shared" ca="1" si="8"/>
        <v>664</v>
      </c>
      <c r="H542" s="281" t="s">
        <v>65</v>
      </c>
      <c r="I542" s="315">
        <v>45419</v>
      </c>
      <c r="J542" s="276" t="s">
        <v>234</v>
      </c>
      <c r="K542" s="276">
        <v>100</v>
      </c>
      <c r="L542" s="276" t="s">
        <v>4051</v>
      </c>
      <c r="M542" s="281" t="s">
        <v>66</v>
      </c>
      <c r="N542" s="281" t="s">
        <v>66</v>
      </c>
      <c r="O542" s="281" t="s">
        <v>4119</v>
      </c>
    </row>
    <row r="543" spans="1:15" s="296" customFormat="1" ht="19.95" customHeight="1" x14ac:dyDescent="0.3">
      <c r="A543" s="276" t="s">
        <v>3998</v>
      </c>
      <c r="B543" s="276" t="s">
        <v>3999</v>
      </c>
      <c r="C543" s="280" t="s">
        <v>227</v>
      </c>
      <c r="D543" s="310">
        <v>53</v>
      </c>
      <c r="E543" s="277">
        <v>45414</v>
      </c>
      <c r="F543" s="277">
        <v>45415</v>
      </c>
      <c r="G543" s="301">
        <f t="shared" ca="1" si="8"/>
        <v>655</v>
      </c>
      <c r="H543" s="281" t="s">
        <v>65</v>
      </c>
      <c r="I543" s="315">
        <v>45418</v>
      </c>
      <c r="J543" s="276" t="s">
        <v>234</v>
      </c>
      <c r="K543" s="276">
        <v>350</v>
      </c>
      <c r="L543" s="276" t="s">
        <v>4051</v>
      </c>
      <c r="M543" s="281" t="s">
        <v>66</v>
      </c>
      <c r="N543" s="281" t="s">
        <v>66</v>
      </c>
      <c r="O543" s="281" t="s">
        <v>4120</v>
      </c>
    </row>
    <row r="544" spans="1:15" s="296" customFormat="1" ht="19.95" customHeight="1" x14ac:dyDescent="0.3">
      <c r="A544" s="276" t="s">
        <v>3398</v>
      </c>
      <c r="B544" s="276" t="s">
        <v>3399</v>
      </c>
      <c r="C544" s="280" t="s">
        <v>231</v>
      </c>
      <c r="D544" s="310">
        <v>12</v>
      </c>
      <c r="E544" s="277">
        <v>45372</v>
      </c>
      <c r="F544" s="277">
        <v>45374</v>
      </c>
      <c r="G544" s="301">
        <f t="shared" ca="1" si="8"/>
        <v>697</v>
      </c>
      <c r="H544" s="281" t="s">
        <v>65</v>
      </c>
      <c r="I544" s="315">
        <v>45419</v>
      </c>
      <c r="J544" s="276" t="s">
        <v>234</v>
      </c>
      <c r="K544" s="280">
        <v>550</v>
      </c>
      <c r="L544" s="276" t="s">
        <v>4051</v>
      </c>
      <c r="M544" s="281" t="s">
        <v>66</v>
      </c>
      <c r="N544" s="281" t="s">
        <v>66</v>
      </c>
      <c r="O544" s="281" t="s">
        <v>3740</v>
      </c>
    </row>
    <row r="545" spans="1:15" s="296" customFormat="1" ht="19.95" customHeight="1" x14ac:dyDescent="0.3">
      <c r="A545" s="276" t="s">
        <v>3800</v>
      </c>
      <c r="B545" s="276" t="s">
        <v>3801</v>
      </c>
      <c r="C545" s="280" t="s">
        <v>227</v>
      </c>
      <c r="D545" s="310">
        <v>85</v>
      </c>
      <c r="E545" s="277">
        <v>45409</v>
      </c>
      <c r="F545" s="277">
        <v>45411</v>
      </c>
      <c r="G545" s="301">
        <f t="shared" ca="1" si="8"/>
        <v>660</v>
      </c>
      <c r="H545" s="281" t="s">
        <v>65</v>
      </c>
      <c r="I545" s="315">
        <v>45418</v>
      </c>
      <c r="J545" s="276" t="s">
        <v>234</v>
      </c>
      <c r="K545" s="276">
        <v>350</v>
      </c>
      <c r="L545" s="276" t="s">
        <v>4051</v>
      </c>
      <c r="M545" s="281" t="s">
        <v>66</v>
      </c>
      <c r="N545" s="281" t="s">
        <v>66</v>
      </c>
      <c r="O545" s="281" t="s">
        <v>4121</v>
      </c>
    </row>
    <row r="546" spans="1:15" s="296" customFormat="1" ht="19.95" customHeight="1" x14ac:dyDescent="0.3">
      <c r="A546" s="276" t="s">
        <v>3804</v>
      </c>
      <c r="B546" s="276" t="s">
        <v>3805</v>
      </c>
      <c r="C546" s="280" t="s">
        <v>232</v>
      </c>
      <c r="D546" s="310">
        <v>13</v>
      </c>
      <c r="E546" s="277">
        <v>45409</v>
      </c>
      <c r="F546" s="277">
        <v>45411</v>
      </c>
      <c r="G546" s="301">
        <f t="shared" ca="1" si="8"/>
        <v>660</v>
      </c>
      <c r="H546" s="281" t="s">
        <v>65</v>
      </c>
      <c r="I546" s="315">
        <v>45419</v>
      </c>
      <c r="J546" s="276" t="s">
        <v>234</v>
      </c>
      <c r="K546" s="276">
        <v>200</v>
      </c>
      <c r="L546" s="276" t="s">
        <v>4051</v>
      </c>
      <c r="M546" s="281" t="s">
        <v>66</v>
      </c>
      <c r="N546" s="281" t="s">
        <v>66</v>
      </c>
      <c r="O546" s="281" t="s">
        <v>4122</v>
      </c>
    </row>
    <row r="547" spans="1:15" s="296" customFormat="1" ht="19.95" customHeight="1" x14ac:dyDescent="0.3">
      <c r="A547" s="276" t="s">
        <v>3402</v>
      </c>
      <c r="B547" s="276" t="s">
        <v>3403</v>
      </c>
      <c r="C547" s="280" t="s">
        <v>227</v>
      </c>
      <c r="D547" s="310">
        <v>81</v>
      </c>
      <c r="E547" s="277">
        <v>45387</v>
      </c>
      <c r="F547" s="277">
        <v>45387</v>
      </c>
      <c r="G547" s="301">
        <f t="shared" ca="1" si="8"/>
        <v>682</v>
      </c>
      <c r="H547" s="281" t="s">
        <v>65</v>
      </c>
      <c r="I547" s="315">
        <v>45420</v>
      </c>
      <c r="J547" s="276" t="s">
        <v>234</v>
      </c>
      <c r="K547" s="276">
        <v>350</v>
      </c>
      <c r="L547" s="276" t="s">
        <v>4051</v>
      </c>
      <c r="M547" s="281" t="s">
        <v>66</v>
      </c>
      <c r="N547" s="281" t="s">
        <v>66</v>
      </c>
      <c r="O547" s="281" t="s">
        <v>3746</v>
      </c>
    </row>
    <row r="548" spans="1:15" s="296" customFormat="1" ht="19.95" customHeight="1" x14ac:dyDescent="0.3">
      <c r="A548" s="276" t="s">
        <v>3796</v>
      </c>
      <c r="B548" s="276" t="s">
        <v>3797</v>
      </c>
      <c r="C548" s="280" t="s">
        <v>227</v>
      </c>
      <c r="D548" s="310">
        <v>86</v>
      </c>
      <c r="E548" s="277">
        <v>45409</v>
      </c>
      <c r="F548" s="277">
        <v>45411</v>
      </c>
      <c r="G548" s="301">
        <f t="shared" ca="1" si="8"/>
        <v>660</v>
      </c>
      <c r="H548" s="281" t="s">
        <v>65</v>
      </c>
      <c r="I548" s="315">
        <v>45420</v>
      </c>
      <c r="J548" s="276" t="s">
        <v>234</v>
      </c>
      <c r="K548" s="276">
        <v>350</v>
      </c>
      <c r="L548" s="276" t="s">
        <v>4051</v>
      </c>
      <c r="M548" s="281" t="s">
        <v>66</v>
      </c>
      <c r="N548" s="281" t="s">
        <v>66</v>
      </c>
      <c r="O548" s="281" t="s">
        <v>4123</v>
      </c>
    </row>
    <row r="549" spans="1:15" ht="11.55" customHeight="1" x14ac:dyDescent="0.3">
      <c r="A549" s="276" t="s">
        <v>3386</v>
      </c>
      <c r="B549" s="276" t="s">
        <v>3387</v>
      </c>
      <c r="C549" s="280" t="s">
        <v>232</v>
      </c>
      <c r="D549" s="310">
        <v>63</v>
      </c>
      <c r="E549" s="277">
        <v>45402</v>
      </c>
      <c r="F549" s="277">
        <v>45403</v>
      </c>
      <c r="G549" s="258">
        <f t="shared" ref="G549:G612" ca="1" si="9">TODAY()-E549</f>
        <v>667</v>
      </c>
      <c r="H549" s="281" t="s">
        <v>65</v>
      </c>
      <c r="I549" s="315">
        <v>45419</v>
      </c>
      <c r="J549" s="276" t="s">
        <v>234</v>
      </c>
      <c r="K549" s="276">
        <v>350</v>
      </c>
      <c r="L549" s="276" t="s">
        <v>4051</v>
      </c>
      <c r="M549" s="281" t="s">
        <v>66</v>
      </c>
      <c r="N549" s="281" t="s">
        <v>66</v>
      </c>
      <c r="O549" s="281" t="s">
        <v>3747</v>
      </c>
    </row>
    <row r="550" spans="1:15" ht="11.55" customHeight="1" x14ac:dyDescent="0.3">
      <c r="A550" s="276" t="s">
        <v>3392</v>
      </c>
      <c r="B550" s="276" t="s">
        <v>3393</v>
      </c>
      <c r="C550" s="280" t="s">
        <v>231</v>
      </c>
      <c r="D550" s="310">
        <v>6</v>
      </c>
      <c r="E550" s="277">
        <v>45350</v>
      </c>
      <c r="F550" s="277">
        <v>45351</v>
      </c>
      <c r="G550" s="258">
        <f t="shared" ca="1" si="9"/>
        <v>719</v>
      </c>
      <c r="H550" s="281" t="s">
        <v>65</v>
      </c>
      <c r="I550" s="315">
        <v>45419</v>
      </c>
      <c r="J550" s="276" t="s">
        <v>234</v>
      </c>
      <c r="K550" s="280">
        <v>450</v>
      </c>
      <c r="L550" s="276" t="s">
        <v>4051</v>
      </c>
      <c r="M550" s="281" t="s">
        <v>66</v>
      </c>
      <c r="N550" s="281" t="s">
        <v>66</v>
      </c>
      <c r="O550" s="281" t="s">
        <v>3739</v>
      </c>
    </row>
    <row r="551" spans="1:15" ht="11.55" customHeight="1" x14ac:dyDescent="0.3">
      <c r="A551" s="276" t="s">
        <v>3396</v>
      </c>
      <c r="B551" s="276" t="s">
        <v>3397</v>
      </c>
      <c r="C551" s="280" t="s">
        <v>227</v>
      </c>
      <c r="D551" s="310">
        <v>86</v>
      </c>
      <c r="E551" s="277">
        <v>45377</v>
      </c>
      <c r="F551" s="277">
        <v>45378</v>
      </c>
      <c r="G551" s="258">
        <f t="shared" ca="1" si="9"/>
        <v>692</v>
      </c>
      <c r="H551" s="281" t="s">
        <v>65</v>
      </c>
      <c r="I551" s="315">
        <v>45418</v>
      </c>
      <c r="J551" s="276" t="s">
        <v>234</v>
      </c>
      <c r="K551" s="276">
        <v>550</v>
      </c>
      <c r="L551" s="276" t="s">
        <v>4051</v>
      </c>
      <c r="M551" s="281" t="s">
        <v>66</v>
      </c>
      <c r="N551" s="281" t="s">
        <v>66</v>
      </c>
      <c r="O551" s="281" t="s">
        <v>3745</v>
      </c>
    </row>
    <row r="552" spans="1:15" ht="11.55" customHeight="1" x14ac:dyDescent="0.3">
      <c r="A552" s="276" t="s">
        <v>3390</v>
      </c>
      <c r="B552" s="276" t="s">
        <v>3391</v>
      </c>
      <c r="C552" s="280" t="s">
        <v>232</v>
      </c>
      <c r="D552" s="310">
        <v>30</v>
      </c>
      <c r="E552" s="277">
        <v>45301</v>
      </c>
      <c r="F552" s="277">
        <v>45303</v>
      </c>
      <c r="G552" s="258">
        <f t="shared" ca="1" si="9"/>
        <v>768</v>
      </c>
      <c r="H552" s="281" t="s">
        <v>65</v>
      </c>
      <c r="I552" s="315">
        <v>45419</v>
      </c>
      <c r="J552" s="276" t="s">
        <v>234</v>
      </c>
      <c r="K552" s="280">
        <v>400</v>
      </c>
      <c r="L552" s="276" t="s">
        <v>4051</v>
      </c>
      <c r="M552" s="281" t="s">
        <v>66</v>
      </c>
      <c r="N552" s="281" t="s">
        <v>66</v>
      </c>
      <c r="O552" s="281" t="s">
        <v>3748</v>
      </c>
    </row>
    <row r="553" spans="1:15" ht="11.55" customHeight="1" x14ac:dyDescent="0.3">
      <c r="A553" s="276" t="s">
        <v>4000</v>
      </c>
      <c r="B553" s="276" t="s">
        <v>4001</v>
      </c>
      <c r="C553" s="280" t="s">
        <v>113</v>
      </c>
      <c r="D553" s="310">
        <v>123</v>
      </c>
      <c r="E553" s="277">
        <v>45411</v>
      </c>
      <c r="F553" s="277">
        <v>45412</v>
      </c>
      <c r="G553" s="258">
        <f t="shared" ca="1" si="9"/>
        <v>658</v>
      </c>
      <c r="H553" s="281" t="s">
        <v>65</v>
      </c>
      <c r="I553" s="315">
        <v>45418</v>
      </c>
      <c r="J553" s="276" t="s">
        <v>234</v>
      </c>
      <c r="K553" s="276">
        <v>150</v>
      </c>
      <c r="L553" s="276" t="s">
        <v>4051</v>
      </c>
      <c r="M553" s="281" t="s">
        <v>66</v>
      </c>
      <c r="N553" s="281" t="s">
        <v>66</v>
      </c>
      <c r="O553" s="281" t="s">
        <v>4124</v>
      </c>
    </row>
    <row r="554" spans="1:15" ht="11.55" customHeight="1" x14ac:dyDescent="0.3">
      <c r="A554" s="276" t="s">
        <v>4002</v>
      </c>
      <c r="B554" s="276" t="s">
        <v>4003</v>
      </c>
      <c r="C554" s="280" t="s">
        <v>113</v>
      </c>
      <c r="D554" s="310">
        <v>8</v>
      </c>
      <c r="E554" s="277">
        <v>45414</v>
      </c>
      <c r="F554" s="277">
        <v>45416</v>
      </c>
      <c r="G554" s="258">
        <f t="shared" ca="1" si="9"/>
        <v>655</v>
      </c>
      <c r="H554" s="281" t="s">
        <v>65</v>
      </c>
      <c r="I554" s="315">
        <v>45418</v>
      </c>
      <c r="J554" s="276" t="s">
        <v>234</v>
      </c>
      <c r="K554" s="276">
        <v>200</v>
      </c>
      <c r="L554" s="276" t="s">
        <v>4051</v>
      </c>
      <c r="M554" s="281" t="s">
        <v>66</v>
      </c>
      <c r="N554" s="281" t="s">
        <v>66</v>
      </c>
      <c r="O554" s="281" t="s">
        <v>4125</v>
      </c>
    </row>
    <row r="555" spans="1:15" ht="11.55" customHeight="1" x14ac:dyDescent="0.3">
      <c r="A555" s="276" t="s">
        <v>4004</v>
      </c>
      <c r="B555" s="276" t="s">
        <v>4005</v>
      </c>
      <c r="C555" s="280" t="s">
        <v>113</v>
      </c>
      <c r="D555" s="310">
        <v>23</v>
      </c>
      <c r="E555" s="277">
        <v>45415</v>
      </c>
      <c r="F555" s="277">
        <v>45416</v>
      </c>
      <c r="G555" s="258">
        <f t="shared" ca="1" si="9"/>
        <v>654</v>
      </c>
      <c r="H555" s="281" t="s">
        <v>65</v>
      </c>
      <c r="I555" s="315">
        <v>45418</v>
      </c>
      <c r="J555" s="276" t="s">
        <v>234</v>
      </c>
      <c r="K555" s="276">
        <v>15</v>
      </c>
      <c r="L555" s="276" t="s">
        <v>4051</v>
      </c>
      <c r="M555" s="281" t="s">
        <v>66</v>
      </c>
      <c r="N555" s="281" t="s">
        <v>66</v>
      </c>
      <c r="O555" s="281" t="s">
        <v>4126</v>
      </c>
    </row>
    <row r="556" spans="1:15" ht="11.55" customHeight="1" x14ac:dyDescent="0.3">
      <c r="A556" s="276" t="s">
        <v>3798</v>
      </c>
      <c r="B556" s="276" t="s">
        <v>3799</v>
      </c>
      <c r="C556" s="280" t="s">
        <v>235</v>
      </c>
      <c r="D556" s="310"/>
      <c r="E556" s="277">
        <v>45407</v>
      </c>
      <c r="F556" s="277">
        <v>45411</v>
      </c>
      <c r="G556" s="258">
        <f t="shared" ca="1" si="9"/>
        <v>662</v>
      </c>
      <c r="H556" s="277" t="s">
        <v>63</v>
      </c>
      <c r="I556" s="315"/>
      <c r="J556" s="276" t="s">
        <v>234</v>
      </c>
      <c r="K556" s="276"/>
      <c r="L556" s="276" t="s">
        <v>4051</v>
      </c>
      <c r="M556" s="277" t="s">
        <v>63</v>
      </c>
      <c r="N556" s="277" t="s">
        <v>63</v>
      </c>
      <c r="O556" s="281"/>
    </row>
    <row r="557" spans="1:15" ht="11.55" customHeight="1" x14ac:dyDescent="0.3">
      <c r="A557" s="276" t="s">
        <v>4006</v>
      </c>
      <c r="B557" s="276" t="s">
        <v>4007</v>
      </c>
      <c r="C557" s="280" t="s">
        <v>113</v>
      </c>
      <c r="D557" s="310">
        <v>44</v>
      </c>
      <c r="E557" s="277">
        <v>45414</v>
      </c>
      <c r="F557" s="277">
        <v>45415</v>
      </c>
      <c r="G557" s="258">
        <f t="shared" ca="1" si="9"/>
        <v>655</v>
      </c>
      <c r="H557" s="281" t="s">
        <v>65</v>
      </c>
      <c r="I557" s="315">
        <v>45418</v>
      </c>
      <c r="J557" s="276" t="s">
        <v>234</v>
      </c>
      <c r="K557" s="276">
        <v>250</v>
      </c>
      <c r="L557" s="276" t="s">
        <v>4051</v>
      </c>
      <c r="M557" s="281" t="s">
        <v>66</v>
      </c>
      <c r="N557" s="281" t="s">
        <v>66</v>
      </c>
      <c r="O557" s="281" t="s">
        <v>4127</v>
      </c>
    </row>
    <row r="558" spans="1:15" ht="11.55" customHeight="1" x14ac:dyDescent="0.3">
      <c r="A558" s="276" t="s">
        <v>4008</v>
      </c>
      <c r="B558" s="276" t="s">
        <v>4009</v>
      </c>
      <c r="C558" s="280" t="s">
        <v>230</v>
      </c>
      <c r="D558" s="310">
        <v>9</v>
      </c>
      <c r="E558" s="277">
        <v>45356</v>
      </c>
      <c r="F558" s="277">
        <v>45357</v>
      </c>
      <c r="G558" s="258">
        <f t="shared" ca="1" si="9"/>
        <v>713</v>
      </c>
      <c r="H558" s="281" t="s">
        <v>65</v>
      </c>
      <c r="I558" s="315">
        <v>45419</v>
      </c>
      <c r="J558" s="276" t="s">
        <v>234</v>
      </c>
      <c r="K558" s="280">
        <v>400</v>
      </c>
      <c r="L558" s="276" t="s">
        <v>4051</v>
      </c>
      <c r="M558" s="281" t="s">
        <v>66</v>
      </c>
      <c r="N558" s="281" t="s">
        <v>66</v>
      </c>
      <c r="O558" s="281" t="s">
        <v>4128</v>
      </c>
    </row>
    <row r="559" spans="1:15" ht="11.55" customHeight="1" x14ac:dyDescent="0.3">
      <c r="A559" s="276" t="s">
        <v>3394</v>
      </c>
      <c r="B559" s="276" t="s">
        <v>3395</v>
      </c>
      <c r="C559" s="280" t="s">
        <v>230</v>
      </c>
      <c r="D559" s="310">
        <v>6</v>
      </c>
      <c r="E559" s="277">
        <v>45364</v>
      </c>
      <c r="F559" s="277">
        <v>45365</v>
      </c>
      <c r="G559" s="258">
        <f t="shared" ca="1" si="9"/>
        <v>705</v>
      </c>
      <c r="H559" s="281" t="s">
        <v>65</v>
      </c>
      <c r="I559" s="315">
        <v>45419</v>
      </c>
      <c r="J559" s="276" t="s">
        <v>234</v>
      </c>
      <c r="K559" s="280">
        <v>500</v>
      </c>
      <c r="L559" s="276" t="s">
        <v>4051</v>
      </c>
      <c r="M559" s="281" t="s">
        <v>66</v>
      </c>
      <c r="N559" s="281" t="s">
        <v>66</v>
      </c>
      <c r="O559" s="281" t="s">
        <v>3749</v>
      </c>
    </row>
    <row r="560" spans="1:15" ht="11.55" customHeight="1" x14ac:dyDescent="0.3">
      <c r="A560" s="276" t="s">
        <v>3400</v>
      </c>
      <c r="B560" s="276" t="s">
        <v>3401</v>
      </c>
      <c r="C560" s="280" t="s">
        <v>230</v>
      </c>
      <c r="D560" s="310">
        <v>8</v>
      </c>
      <c r="E560" s="277">
        <v>45367</v>
      </c>
      <c r="F560" s="277">
        <v>45369</v>
      </c>
      <c r="G560" s="258">
        <f t="shared" ca="1" si="9"/>
        <v>702</v>
      </c>
      <c r="H560" s="281" t="s">
        <v>65</v>
      </c>
      <c r="I560" s="315">
        <v>45420</v>
      </c>
      <c r="J560" s="276" t="s">
        <v>234</v>
      </c>
      <c r="K560" s="280">
        <v>400</v>
      </c>
      <c r="L560" s="276" t="s">
        <v>4051</v>
      </c>
      <c r="M560" s="281" t="s">
        <v>66</v>
      </c>
      <c r="N560" s="281" t="s">
        <v>66</v>
      </c>
      <c r="O560" s="281" t="s">
        <v>3750</v>
      </c>
    </row>
    <row r="561" spans="1:15" ht="11.55" customHeight="1" x14ac:dyDescent="0.3">
      <c r="A561" s="276" t="s">
        <v>3477</v>
      </c>
      <c r="B561" s="276" t="s">
        <v>3478</v>
      </c>
      <c r="C561" s="280" t="s">
        <v>109</v>
      </c>
      <c r="D561" s="310"/>
      <c r="E561" s="277">
        <v>45408</v>
      </c>
      <c r="F561" s="277">
        <v>45409</v>
      </c>
      <c r="G561" s="258">
        <f t="shared" ca="1" si="9"/>
        <v>661</v>
      </c>
      <c r="H561" s="277" t="s">
        <v>63</v>
      </c>
      <c r="I561" s="315"/>
      <c r="J561" s="276" t="s">
        <v>234</v>
      </c>
      <c r="K561" s="276"/>
      <c r="L561" s="276" t="s">
        <v>4051</v>
      </c>
      <c r="M561" s="277" t="s">
        <v>63</v>
      </c>
      <c r="N561" s="277" t="s">
        <v>63</v>
      </c>
      <c r="O561" s="281"/>
    </row>
    <row r="562" spans="1:15" ht="11.55" customHeight="1" x14ac:dyDescent="0.3">
      <c r="A562" s="276" t="s">
        <v>3479</v>
      </c>
      <c r="B562" s="276" t="s">
        <v>3480</v>
      </c>
      <c r="C562" s="280" t="s">
        <v>109</v>
      </c>
      <c r="D562" s="310"/>
      <c r="E562" s="277">
        <v>45408</v>
      </c>
      <c r="F562" s="277">
        <v>45409</v>
      </c>
      <c r="G562" s="258">
        <f t="shared" ca="1" si="9"/>
        <v>661</v>
      </c>
      <c r="H562" s="277" t="s">
        <v>63</v>
      </c>
      <c r="I562" s="315"/>
      <c r="J562" s="276" t="s">
        <v>234</v>
      </c>
      <c r="K562" s="276"/>
      <c r="L562" s="276" t="s">
        <v>4051</v>
      </c>
      <c r="M562" s="277" t="s">
        <v>63</v>
      </c>
      <c r="N562" s="277" t="s">
        <v>63</v>
      </c>
      <c r="O562" s="281"/>
    </row>
    <row r="563" spans="1:15" ht="11.55" customHeight="1" x14ac:dyDescent="0.3">
      <c r="A563" s="276" t="s">
        <v>4010</v>
      </c>
      <c r="B563" s="276" t="s">
        <v>4011</v>
      </c>
      <c r="C563" s="280" t="s">
        <v>109</v>
      </c>
      <c r="D563" s="310"/>
      <c r="E563" s="277">
        <v>45412</v>
      </c>
      <c r="F563" s="277">
        <v>45414</v>
      </c>
      <c r="G563" s="258">
        <f t="shared" ca="1" si="9"/>
        <v>657</v>
      </c>
      <c r="H563" s="277" t="s">
        <v>63</v>
      </c>
      <c r="I563" s="315"/>
      <c r="J563" s="276" t="s">
        <v>234</v>
      </c>
      <c r="K563" s="276"/>
      <c r="L563" s="276" t="s">
        <v>4051</v>
      </c>
      <c r="M563" s="277" t="s">
        <v>63</v>
      </c>
      <c r="N563" s="277" t="s">
        <v>63</v>
      </c>
      <c r="O563" s="281"/>
    </row>
    <row r="564" spans="1:15" ht="11.55" customHeight="1" x14ac:dyDescent="0.3">
      <c r="A564" s="276" t="s">
        <v>4012</v>
      </c>
      <c r="B564" s="276" t="s">
        <v>4013</v>
      </c>
      <c r="C564" s="280" t="s">
        <v>109</v>
      </c>
      <c r="D564" s="310"/>
      <c r="E564" s="277">
        <v>45414</v>
      </c>
      <c r="F564" s="277">
        <v>45415</v>
      </c>
      <c r="G564" s="258">
        <f t="shared" ca="1" si="9"/>
        <v>655</v>
      </c>
      <c r="H564" s="277" t="s">
        <v>63</v>
      </c>
      <c r="I564" s="315"/>
      <c r="J564" s="276" t="s">
        <v>234</v>
      </c>
      <c r="K564" s="276"/>
      <c r="L564" s="276" t="s">
        <v>4051</v>
      </c>
      <c r="M564" s="277" t="s">
        <v>63</v>
      </c>
      <c r="N564" s="277" t="s">
        <v>63</v>
      </c>
      <c r="O564" s="281"/>
    </row>
    <row r="565" spans="1:15" ht="11.55" customHeight="1" x14ac:dyDescent="0.3">
      <c r="A565" s="276" t="s">
        <v>4014</v>
      </c>
      <c r="B565" s="276" t="s">
        <v>4015</v>
      </c>
      <c r="C565" s="280" t="s">
        <v>109</v>
      </c>
      <c r="D565" s="310"/>
      <c r="E565" s="277">
        <v>45414</v>
      </c>
      <c r="F565" s="277">
        <v>45415</v>
      </c>
      <c r="G565" s="258">
        <f t="shared" ca="1" si="9"/>
        <v>655</v>
      </c>
      <c r="H565" s="277" t="s">
        <v>63</v>
      </c>
      <c r="I565" s="315"/>
      <c r="J565" s="276" t="s">
        <v>234</v>
      </c>
      <c r="K565" s="276"/>
      <c r="L565" s="276" t="s">
        <v>4051</v>
      </c>
      <c r="M565" s="277" t="s">
        <v>63</v>
      </c>
      <c r="N565" s="277" t="s">
        <v>63</v>
      </c>
      <c r="O565" s="281"/>
    </row>
    <row r="566" spans="1:15" ht="11.55" customHeight="1" x14ac:dyDescent="0.3">
      <c r="A566" s="276" t="s">
        <v>4016</v>
      </c>
      <c r="B566" s="276" t="s">
        <v>4017</v>
      </c>
      <c r="C566" s="280" t="s">
        <v>109</v>
      </c>
      <c r="D566" s="310"/>
      <c r="E566" s="277">
        <v>45414</v>
      </c>
      <c r="F566" s="277">
        <v>45415</v>
      </c>
      <c r="G566" s="258">
        <f t="shared" ca="1" si="9"/>
        <v>655</v>
      </c>
      <c r="H566" s="277" t="s">
        <v>63</v>
      </c>
      <c r="I566" s="315"/>
      <c r="J566" s="276" t="s">
        <v>234</v>
      </c>
      <c r="K566" s="276"/>
      <c r="L566" s="276" t="s">
        <v>4051</v>
      </c>
      <c r="M566" s="277" t="s">
        <v>63</v>
      </c>
      <c r="N566" s="277" t="s">
        <v>63</v>
      </c>
      <c r="O566" s="281"/>
    </row>
    <row r="567" spans="1:15" ht="11.55" customHeight="1" x14ac:dyDescent="0.3">
      <c r="A567" s="281" t="s">
        <v>4018</v>
      </c>
      <c r="B567" s="281" t="s">
        <v>4019</v>
      </c>
      <c r="C567" s="281" t="s">
        <v>2507</v>
      </c>
      <c r="D567" s="308">
        <v>17</v>
      </c>
      <c r="E567" s="273">
        <v>45415</v>
      </c>
      <c r="F567" s="273">
        <v>45415</v>
      </c>
      <c r="G567" s="258">
        <f t="shared" ca="1" si="9"/>
        <v>654</v>
      </c>
      <c r="H567" s="281" t="s">
        <v>65</v>
      </c>
      <c r="I567" s="273">
        <v>45418</v>
      </c>
      <c r="J567" s="281" t="s">
        <v>234</v>
      </c>
      <c r="K567" s="281">
        <v>50</v>
      </c>
      <c r="L567" s="281" t="s">
        <v>4051</v>
      </c>
      <c r="M567" s="281" t="s">
        <v>66</v>
      </c>
      <c r="N567" s="281" t="s">
        <v>66</v>
      </c>
      <c r="O567" s="281" t="s">
        <v>4129</v>
      </c>
    </row>
    <row r="568" spans="1:15" ht="11.55" customHeight="1" x14ac:dyDescent="0.3">
      <c r="A568" s="281" t="s">
        <v>4020</v>
      </c>
      <c r="B568" s="281" t="s">
        <v>4021</v>
      </c>
      <c r="C568" s="281" t="s">
        <v>4049</v>
      </c>
      <c r="D568" s="308">
        <v>5</v>
      </c>
      <c r="E568" s="273">
        <v>45409</v>
      </c>
      <c r="F568" s="273">
        <v>45411</v>
      </c>
      <c r="G568" s="258">
        <f t="shared" ca="1" si="9"/>
        <v>660</v>
      </c>
      <c r="H568" s="281" t="s">
        <v>65</v>
      </c>
      <c r="I568" s="273">
        <v>45418</v>
      </c>
      <c r="J568" s="281" t="s">
        <v>234</v>
      </c>
      <c r="K568" s="281">
        <v>300</v>
      </c>
      <c r="L568" s="281" t="s">
        <v>4051</v>
      </c>
      <c r="M568" s="281" t="s">
        <v>66</v>
      </c>
      <c r="N568" s="281" t="s">
        <v>66</v>
      </c>
      <c r="O568" s="281" t="s">
        <v>4130</v>
      </c>
    </row>
    <row r="569" spans="1:15" ht="11.55" customHeight="1" x14ac:dyDescent="0.3">
      <c r="A569" s="281" t="s">
        <v>4022</v>
      </c>
      <c r="B569" s="281" t="s">
        <v>4023</v>
      </c>
      <c r="C569" s="281" t="s">
        <v>220</v>
      </c>
      <c r="D569" s="308">
        <v>58</v>
      </c>
      <c r="E569" s="273">
        <v>45412</v>
      </c>
      <c r="F569" s="273">
        <v>45412</v>
      </c>
      <c r="G569" s="258">
        <f t="shared" ca="1" si="9"/>
        <v>657</v>
      </c>
      <c r="H569" s="281" t="s">
        <v>65</v>
      </c>
      <c r="I569" s="273">
        <v>45418</v>
      </c>
      <c r="J569" s="281" t="s">
        <v>234</v>
      </c>
      <c r="K569" s="281">
        <v>200</v>
      </c>
      <c r="L569" s="281" t="s">
        <v>4051</v>
      </c>
      <c r="M569" s="281" t="s">
        <v>66</v>
      </c>
      <c r="N569" s="281" t="s">
        <v>66</v>
      </c>
      <c r="O569" s="281" t="s">
        <v>4131</v>
      </c>
    </row>
    <row r="570" spans="1:15" ht="11.55" customHeight="1" x14ac:dyDescent="0.3">
      <c r="A570" s="281" t="s">
        <v>4024</v>
      </c>
      <c r="B570" s="281" t="s">
        <v>4025</v>
      </c>
      <c r="C570" s="281" t="s">
        <v>220</v>
      </c>
      <c r="D570" s="308">
        <v>93</v>
      </c>
      <c r="E570" s="273">
        <v>45415</v>
      </c>
      <c r="F570" s="273">
        <v>45416</v>
      </c>
      <c r="G570" s="258">
        <f t="shared" ca="1" si="9"/>
        <v>654</v>
      </c>
      <c r="H570" s="281" t="s">
        <v>65</v>
      </c>
      <c r="I570" s="273">
        <v>45418</v>
      </c>
      <c r="J570" s="281" t="s">
        <v>234</v>
      </c>
      <c r="K570" s="281">
        <v>100</v>
      </c>
      <c r="L570" s="281" t="s">
        <v>4051</v>
      </c>
      <c r="M570" s="281" t="s">
        <v>66</v>
      </c>
      <c r="N570" s="281" t="s">
        <v>66</v>
      </c>
      <c r="O570" s="281" t="s">
        <v>4132</v>
      </c>
    </row>
    <row r="571" spans="1:15" ht="11.55" customHeight="1" x14ac:dyDescent="0.3">
      <c r="A571" s="281" t="s">
        <v>4026</v>
      </c>
      <c r="B571" s="281" t="s">
        <v>4027</v>
      </c>
      <c r="C571" s="281" t="s">
        <v>220</v>
      </c>
      <c r="D571" s="308">
        <v>62</v>
      </c>
      <c r="E571" s="273">
        <v>45414</v>
      </c>
      <c r="F571" s="273">
        <v>45415</v>
      </c>
      <c r="G571" s="258">
        <f t="shared" ca="1" si="9"/>
        <v>655</v>
      </c>
      <c r="H571" s="281" t="s">
        <v>65</v>
      </c>
      <c r="I571" s="273">
        <v>45418</v>
      </c>
      <c r="J571" s="281" t="s">
        <v>234</v>
      </c>
      <c r="K571" s="281">
        <v>500</v>
      </c>
      <c r="L571" s="281" t="s">
        <v>4051</v>
      </c>
      <c r="M571" s="281" t="s">
        <v>66</v>
      </c>
      <c r="N571" s="281" t="s">
        <v>66</v>
      </c>
      <c r="O571" s="281" t="s">
        <v>4133</v>
      </c>
    </row>
    <row r="572" spans="1:15" ht="11.55" customHeight="1" x14ac:dyDescent="0.3">
      <c r="A572" s="281" t="s">
        <v>4028</v>
      </c>
      <c r="B572" s="281" t="s">
        <v>4029</v>
      </c>
      <c r="C572" s="281" t="s">
        <v>225</v>
      </c>
      <c r="D572" s="308">
        <v>9</v>
      </c>
      <c r="E572" s="273">
        <v>45415</v>
      </c>
      <c r="F572" s="273">
        <v>45415</v>
      </c>
      <c r="G572" s="258">
        <f t="shared" ca="1" si="9"/>
        <v>654</v>
      </c>
      <c r="H572" s="281" t="s">
        <v>65</v>
      </c>
      <c r="I572" s="273">
        <v>45418</v>
      </c>
      <c r="J572" s="281" t="s">
        <v>234</v>
      </c>
      <c r="K572" s="281">
        <v>350</v>
      </c>
      <c r="L572" s="281" t="s">
        <v>4051</v>
      </c>
      <c r="M572" s="281" t="s">
        <v>66</v>
      </c>
      <c r="N572" s="281" t="s">
        <v>66</v>
      </c>
      <c r="O572" s="281" t="s">
        <v>4134</v>
      </c>
    </row>
    <row r="573" spans="1:15" ht="11.55" customHeight="1" x14ac:dyDescent="0.3">
      <c r="A573" s="281" t="s">
        <v>2608</v>
      </c>
      <c r="B573" s="281" t="s">
        <v>4030</v>
      </c>
      <c r="C573" s="281" t="s">
        <v>218</v>
      </c>
      <c r="D573" s="308">
        <v>15</v>
      </c>
      <c r="E573" s="273">
        <v>45406</v>
      </c>
      <c r="F573" s="273">
        <v>45414</v>
      </c>
      <c r="G573" s="258">
        <f t="shared" ca="1" si="9"/>
        <v>663</v>
      </c>
      <c r="H573" s="281" t="s">
        <v>65</v>
      </c>
      <c r="I573" s="273">
        <v>45418</v>
      </c>
      <c r="J573" s="281" t="s">
        <v>234</v>
      </c>
      <c r="K573" s="281">
        <v>100</v>
      </c>
      <c r="L573" s="281" t="s">
        <v>4051</v>
      </c>
      <c r="M573" s="281" t="s">
        <v>66</v>
      </c>
      <c r="N573" s="281" t="s">
        <v>66</v>
      </c>
      <c r="O573" s="281" t="s">
        <v>4135</v>
      </c>
    </row>
    <row r="574" spans="1:15" ht="11.55" customHeight="1" x14ac:dyDescent="0.3">
      <c r="A574" s="281" t="s">
        <v>4031</v>
      </c>
      <c r="B574" s="281" t="s">
        <v>4032</v>
      </c>
      <c r="C574" s="281" t="s">
        <v>226</v>
      </c>
      <c r="D574" s="308">
        <v>29</v>
      </c>
      <c r="E574" s="273">
        <v>45412</v>
      </c>
      <c r="F574" s="273">
        <v>45412</v>
      </c>
      <c r="G574" s="258">
        <f t="shared" ca="1" si="9"/>
        <v>657</v>
      </c>
      <c r="H574" s="281" t="s">
        <v>65</v>
      </c>
      <c r="I574" s="273">
        <v>45418</v>
      </c>
      <c r="J574" s="281" t="s">
        <v>234</v>
      </c>
      <c r="K574" s="281">
        <v>100</v>
      </c>
      <c r="L574" s="281" t="s">
        <v>4051</v>
      </c>
      <c r="M574" s="281" t="s">
        <v>66</v>
      </c>
      <c r="N574" s="281" t="s">
        <v>66</v>
      </c>
      <c r="O574" s="281" t="s">
        <v>4136</v>
      </c>
    </row>
    <row r="575" spans="1:15" ht="11.55" customHeight="1" x14ac:dyDescent="0.3">
      <c r="A575" s="276" t="s">
        <v>4033</v>
      </c>
      <c r="B575" s="276" t="s">
        <v>4034</v>
      </c>
      <c r="C575" s="280" t="s">
        <v>109</v>
      </c>
      <c r="D575" s="310"/>
      <c r="E575" s="277">
        <v>45415</v>
      </c>
      <c r="F575" s="277">
        <v>45416</v>
      </c>
      <c r="G575" s="258">
        <f t="shared" ca="1" si="9"/>
        <v>654</v>
      </c>
      <c r="H575" s="277" t="s">
        <v>63</v>
      </c>
      <c r="I575" s="315"/>
      <c r="J575" s="276" t="s">
        <v>234</v>
      </c>
      <c r="K575" s="276"/>
      <c r="L575" s="276" t="s">
        <v>4051</v>
      </c>
      <c r="M575" s="277" t="s">
        <v>63</v>
      </c>
      <c r="N575" s="277" t="s">
        <v>63</v>
      </c>
      <c r="O575" s="281"/>
    </row>
    <row r="576" spans="1:15" ht="11.55" customHeight="1" x14ac:dyDescent="0.3">
      <c r="A576" s="281" t="s">
        <v>4035</v>
      </c>
      <c r="B576" s="281" t="s">
        <v>4036</v>
      </c>
      <c r="C576" s="281" t="s">
        <v>226</v>
      </c>
      <c r="D576" s="308">
        <v>19</v>
      </c>
      <c r="E576" s="273">
        <v>45415</v>
      </c>
      <c r="F576" s="273">
        <v>45416</v>
      </c>
      <c r="G576" s="258">
        <f t="shared" ca="1" si="9"/>
        <v>654</v>
      </c>
      <c r="H576" s="281" t="s">
        <v>65</v>
      </c>
      <c r="I576" s="273">
        <v>45418</v>
      </c>
      <c r="J576" s="281" t="s">
        <v>234</v>
      </c>
      <c r="K576" s="281">
        <v>200</v>
      </c>
      <c r="L576" s="281" t="s">
        <v>4051</v>
      </c>
      <c r="M576" s="281" t="s">
        <v>66</v>
      </c>
      <c r="N576" s="281" t="s">
        <v>66</v>
      </c>
      <c r="O576" s="281" t="s">
        <v>4137</v>
      </c>
    </row>
    <row r="577" spans="1:15" ht="11.55" customHeight="1" x14ac:dyDescent="0.3">
      <c r="A577" s="281" t="s">
        <v>4037</v>
      </c>
      <c r="B577" s="281" t="s">
        <v>4038</v>
      </c>
      <c r="C577" s="281" t="s">
        <v>4050</v>
      </c>
      <c r="D577" s="308">
        <v>3</v>
      </c>
      <c r="E577" s="273">
        <v>45414</v>
      </c>
      <c r="F577" s="273">
        <v>45415</v>
      </c>
      <c r="G577" s="258">
        <f t="shared" ca="1" si="9"/>
        <v>655</v>
      </c>
      <c r="H577" s="281" t="s">
        <v>65</v>
      </c>
      <c r="I577" s="273">
        <v>45418</v>
      </c>
      <c r="J577" s="281" t="s">
        <v>234</v>
      </c>
      <c r="K577" s="281">
        <v>350</v>
      </c>
      <c r="L577" s="281" t="s">
        <v>4051</v>
      </c>
      <c r="M577" s="281" t="s">
        <v>66</v>
      </c>
      <c r="N577" s="281" t="s">
        <v>66</v>
      </c>
      <c r="O577" s="281" t="s">
        <v>4138</v>
      </c>
    </row>
    <row r="578" spans="1:15" ht="11.55" customHeight="1" x14ac:dyDescent="0.3">
      <c r="A578" s="276" t="s">
        <v>4033</v>
      </c>
      <c r="B578" s="276" t="s">
        <v>4034</v>
      </c>
      <c r="C578" s="256"/>
      <c r="D578" s="256"/>
      <c r="E578" s="257"/>
      <c r="F578" s="257"/>
      <c r="G578" s="258">
        <f t="shared" ca="1" si="9"/>
        <v>46069</v>
      </c>
      <c r="H578" s="256"/>
      <c r="I578" s="256"/>
      <c r="K578" s="256"/>
      <c r="L578" s="256"/>
      <c r="M578" s="256"/>
    </row>
    <row r="579" spans="1:15" ht="11.55" customHeight="1" x14ac:dyDescent="0.3">
      <c r="A579" s="281" t="s">
        <v>4035</v>
      </c>
      <c r="B579" s="281" t="s">
        <v>4036</v>
      </c>
      <c r="C579" s="268"/>
      <c r="D579" s="263"/>
      <c r="E579" s="269"/>
      <c r="F579" s="269"/>
      <c r="G579" s="258">
        <f t="shared" ca="1" si="9"/>
        <v>46069</v>
      </c>
      <c r="H579" s="263"/>
      <c r="I579" s="257"/>
      <c r="K579" s="263"/>
      <c r="L579" s="256"/>
      <c r="M579" s="256"/>
    </row>
    <row r="580" spans="1:15" ht="11.55" customHeight="1" x14ac:dyDescent="0.3">
      <c r="A580" s="281" t="s">
        <v>4037</v>
      </c>
      <c r="B580" s="281" t="s">
        <v>4038</v>
      </c>
      <c r="C580" s="256"/>
      <c r="D580" s="256"/>
      <c r="E580" s="257"/>
      <c r="F580" s="257"/>
      <c r="G580" s="258">
        <f t="shared" ca="1" si="9"/>
        <v>46069</v>
      </c>
      <c r="H580" s="256"/>
      <c r="I580" s="257"/>
      <c r="K580" s="256"/>
      <c r="L580" s="256"/>
      <c r="M580" s="256"/>
    </row>
    <row r="581" spans="1:15" ht="11.55" customHeight="1" x14ac:dyDescent="0.3">
      <c r="A581" s="259"/>
      <c r="B581" s="259"/>
      <c r="C581" s="259"/>
      <c r="D581" s="256"/>
      <c r="E581" s="260"/>
      <c r="F581" s="260"/>
      <c r="G581" s="258">
        <f t="shared" ca="1" si="9"/>
        <v>46069</v>
      </c>
      <c r="H581" s="256"/>
      <c r="I581" s="257"/>
      <c r="K581" s="256"/>
      <c r="L581" s="256"/>
      <c r="M581" s="256"/>
    </row>
    <row r="582" spans="1:15" ht="11.55" customHeight="1" x14ac:dyDescent="0.3">
      <c r="A582" s="272"/>
      <c r="B582" s="272"/>
      <c r="C582" s="259"/>
      <c r="D582" s="256"/>
      <c r="E582" s="273"/>
      <c r="F582" s="273"/>
      <c r="G582" s="258">
        <f t="shared" ca="1" si="9"/>
        <v>46069</v>
      </c>
      <c r="H582" s="256"/>
      <c r="I582" s="267"/>
      <c r="K582" s="256"/>
      <c r="L582" s="263"/>
      <c r="M582" s="263"/>
    </row>
    <row r="583" spans="1:15" ht="11.55" customHeight="1" x14ac:dyDescent="0.3">
      <c r="A583" s="256"/>
      <c r="B583" s="256"/>
      <c r="C583" s="259"/>
      <c r="D583" s="256"/>
      <c r="E583" s="257"/>
      <c r="F583" s="257"/>
      <c r="G583" s="258">
        <f t="shared" ca="1" si="9"/>
        <v>46069</v>
      </c>
      <c r="H583" s="256"/>
      <c r="I583" s="267"/>
      <c r="K583" s="256"/>
      <c r="L583" s="263"/>
      <c r="M583" s="256"/>
    </row>
    <row r="584" spans="1:15" ht="11.55" customHeight="1" x14ac:dyDescent="0.3">
      <c r="A584" s="268"/>
      <c r="B584" s="268"/>
      <c r="C584" s="268"/>
      <c r="D584" s="263"/>
      <c r="E584" s="269"/>
      <c r="F584" s="269"/>
      <c r="G584" s="258">
        <f t="shared" ca="1" si="9"/>
        <v>46069</v>
      </c>
      <c r="H584" s="263"/>
      <c r="I584" s="267"/>
      <c r="K584" s="263"/>
      <c r="L584" s="263"/>
      <c r="M584" s="263"/>
    </row>
    <row r="585" spans="1:15" ht="11.55" customHeight="1" x14ac:dyDescent="0.3">
      <c r="A585" s="256"/>
      <c r="B585" s="256"/>
      <c r="C585" s="259"/>
      <c r="D585" s="256"/>
      <c r="E585" s="257"/>
      <c r="F585" s="257"/>
      <c r="G585" s="258">
        <f t="shared" ca="1" si="9"/>
        <v>46069</v>
      </c>
      <c r="H585" s="256"/>
      <c r="I585" s="256"/>
      <c r="K585" s="256"/>
      <c r="L585" s="256"/>
      <c r="M585" s="256"/>
    </row>
    <row r="586" spans="1:15" ht="11.55" customHeight="1" x14ac:dyDescent="0.3">
      <c r="A586" s="256"/>
      <c r="B586" s="256"/>
      <c r="C586" s="256"/>
      <c r="D586" s="256"/>
      <c r="E586" s="256"/>
      <c r="F586" s="256"/>
      <c r="G586" s="258">
        <f t="shared" ca="1" si="9"/>
        <v>46069</v>
      </c>
      <c r="H586" s="256"/>
      <c r="I586" s="256"/>
      <c r="K586" s="256"/>
      <c r="L586" s="256"/>
      <c r="M586" s="256"/>
    </row>
    <row r="587" spans="1:15" ht="11.55" customHeight="1" x14ac:dyDescent="0.3">
      <c r="A587" s="259"/>
      <c r="B587" s="259"/>
      <c r="C587" s="259"/>
      <c r="D587" s="256"/>
      <c r="E587" s="260"/>
      <c r="F587" s="260"/>
      <c r="G587" s="258">
        <f t="shared" ca="1" si="9"/>
        <v>46069</v>
      </c>
      <c r="H587" s="256"/>
      <c r="I587" s="257"/>
      <c r="K587" s="256"/>
      <c r="L587" s="256"/>
      <c r="M587" s="256"/>
    </row>
    <row r="588" spans="1:15" ht="11.55" customHeight="1" x14ac:dyDescent="0.3">
      <c r="A588" s="259"/>
      <c r="B588" s="259"/>
      <c r="C588" s="259"/>
      <c r="D588" s="256"/>
      <c r="E588" s="260"/>
      <c r="F588" s="260"/>
      <c r="G588" s="258">
        <f t="shared" ca="1" si="9"/>
        <v>46069</v>
      </c>
      <c r="H588" s="256"/>
      <c r="I588" s="257"/>
      <c r="K588" s="256"/>
      <c r="L588" s="256"/>
      <c r="M588" s="256"/>
    </row>
    <row r="589" spans="1:15" ht="11.55" customHeight="1" x14ac:dyDescent="0.3">
      <c r="A589" s="256"/>
      <c r="B589" s="256"/>
      <c r="C589" s="256"/>
      <c r="D589" s="256"/>
      <c r="E589" s="257"/>
      <c r="F589" s="257"/>
      <c r="G589" s="258">
        <f t="shared" ca="1" si="9"/>
        <v>46069</v>
      </c>
      <c r="H589" s="256"/>
      <c r="I589" s="256"/>
      <c r="K589" s="256"/>
      <c r="L589" s="256"/>
      <c r="M589" s="256"/>
    </row>
    <row r="590" spans="1:15" ht="11.55" customHeight="1" x14ac:dyDescent="0.3">
      <c r="A590" s="256"/>
      <c r="B590" s="256"/>
      <c r="C590" s="256"/>
      <c r="D590" s="256"/>
      <c r="E590" s="257"/>
      <c r="F590" s="257"/>
      <c r="G590" s="258">
        <f t="shared" ca="1" si="9"/>
        <v>46069</v>
      </c>
      <c r="H590" s="256"/>
      <c r="I590" s="256"/>
      <c r="K590" s="256"/>
      <c r="L590" s="256"/>
      <c r="M590" s="256"/>
    </row>
    <row r="591" spans="1:15" ht="11.55" customHeight="1" x14ac:dyDescent="0.3">
      <c r="A591" s="259"/>
      <c r="B591" s="259"/>
      <c r="C591" s="256"/>
      <c r="D591" s="256"/>
      <c r="E591" s="260"/>
      <c r="F591" s="260"/>
      <c r="G591" s="258">
        <f t="shared" ca="1" si="9"/>
        <v>46069</v>
      </c>
      <c r="H591" s="256"/>
      <c r="I591" s="257"/>
      <c r="K591" s="256"/>
      <c r="L591" s="256"/>
      <c r="M591" s="256"/>
    </row>
    <row r="592" spans="1:15" ht="11.55" customHeight="1" x14ac:dyDescent="0.3">
      <c r="A592" s="262"/>
      <c r="B592" s="262"/>
      <c r="C592" s="262"/>
      <c r="D592" s="263"/>
      <c r="E592" s="264"/>
      <c r="F592" s="264"/>
      <c r="G592" s="258">
        <f t="shared" ca="1" si="9"/>
        <v>46069</v>
      </c>
      <c r="H592" s="263"/>
      <c r="I592" s="256"/>
      <c r="K592" s="263"/>
      <c r="L592" s="263"/>
      <c r="M592" s="263"/>
    </row>
    <row r="593" spans="1:13" ht="11.55" customHeight="1" x14ac:dyDescent="0.3">
      <c r="A593" s="256"/>
      <c r="B593" s="256"/>
      <c r="C593" s="256"/>
      <c r="D593" s="256"/>
      <c r="E593" s="257"/>
      <c r="F593" s="257"/>
      <c r="G593" s="258">
        <f t="shared" ca="1" si="9"/>
        <v>46069</v>
      </c>
      <c r="H593" s="256"/>
      <c r="I593" s="256"/>
      <c r="K593" s="256"/>
      <c r="L593" s="256"/>
      <c r="M593" s="256"/>
    </row>
    <row r="594" spans="1:13" ht="11.55" customHeight="1" x14ac:dyDescent="0.3">
      <c r="A594" s="268"/>
      <c r="B594" s="268"/>
      <c r="C594" s="256"/>
      <c r="D594" s="263"/>
      <c r="E594" s="269"/>
      <c r="F594" s="269"/>
      <c r="G594" s="258">
        <f t="shared" ca="1" si="9"/>
        <v>46069</v>
      </c>
      <c r="H594" s="263"/>
      <c r="I594" s="267"/>
      <c r="K594" s="263"/>
      <c r="L594" s="256"/>
      <c r="M594" s="256"/>
    </row>
    <row r="595" spans="1:13" ht="11.55" customHeight="1" x14ac:dyDescent="0.3">
      <c r="A595" s="256"/>
      <c r="B595" s="256"/>
      <c r="C595" s="256"/>
      <c r="D595" s="256"/>
      <c r="E595" s="257"/>
      <c r="F595" s="257"/>
      <c r="G595" s="258">
        <f t="shared" ca="1" si="9"/>
        <v>46069</v>
      </c>
      <c r="H595" s="256"/>
      <c r="I595" s="256"/>
      <c r="K595" s="256"/>
      <c r="L595" s="256"/>
      <c r="M595" s="256"/>
    </row>
    <row r="596" spans="1:13" ht="11.55" customHeight="1" x14ac:dyDescent="0.3">
      <c r="A596" s="259"/>
      <c r="B596" s="259"/>
      <c r="C596" s="256"/>
      <c r="D596" s="256"/>
      <c r="E596" s="260"/>
      <c r="F596" s="260"/>
      <c r="G596" s="258">
        <f t="shared" ca="1" si="9"/>
        <v>46069</v>
      </c>
      <c r="H596" s="256"/>
      <c r="I596" s="257"/>
      <c r="K596" s="256"/>
      <c r="L596" s="256"/>
      <c r="M596" s="256"/>
    </row>
    <row r="597" spans="1:13" ht="11.55" customHeight="1" x14ac:dyDescent="0.3">
      <c r="A597" s="256"/>
      <c r="B597" s="256"/>
      <c r="C597" s="256"/>
      <c r="D597" s="256"/>
      <c r="E597" s="257"/>
      <c r="F597" s="257"/>
      <c r="G597" s="258">
        <f t="shared" ca="1" si="9"/>
        <v>46069</v>
      </c>
      <c r="H597" s="256"/>
      <c r="I597" s="256"/>
      <c r="K597" s="256"/>
      <c r="L597" s="256"/>
      <c r="M597" s="256"/>
    </row>
    <row r="598" spans="1:13" ht="11.55" customHeight="1" x14ac:dyDescent="0.3">
      <c r="A598" s="256"/>
      <c r="B598" s="256"/>
      <c r="C598" s="256"/>
      <c r="D598" s="256"/>
      <c r="E598" s="257"/>
      <c r="F598" s="257"/>
      <c r="G598" s="258">
        <f t="shared" ca="1" si="9"/>
        <v>46069</v>
      </c>
      <c r="H598" s="256"/>
      <c r="I598" s="257"/>
      <c r="K598" s="256"/>
      <c r="L598" s="256"/>
      <c r="M598" s="256"/>
    </row>
    <row r="599" spans="1:13" ht="11.55" customHeight="1" x14ac:dyDescent="0.3">
      <c r="A599" s="259"/>
      <c r="B599" s="259"/>
      <c r="C599" s="256"/>
      <c r="D599" s="256"/>
      <c r="E599" s="260"/>
      <c r="F599" s="260"/>
      <c r="G599" s="258">
        <f t="shared" ca="1" si="9"/>
        <v>46069</v>
      </c>
      <c r="H599" s="256"/>
      <c r="I599" s="257"/>
      <c r="K599" s="256"/>
      <c r="L599" s="256"/>
      <c r="M599" s="256"/>
    </row>
    <row r="600" spans="1:13" ht="11.55" customHeight="1" x14ac:dyDescent="0.3">
      <c r="A600" s="262"/>
      <c r="B600" s="262"/>
      <c r="C600" s="256"/>
      <c r="D600" s="263"/>
      <c r="E600" s="264"/>
      <c r="F600" s="264"/>
      <c r="G600" s="258">
        <f t="shared" ca="1" si="9"/>
        <v>46069</v>
      </c>
      <c r="H600" s="263"/>
      <c r="I600" s="267"/>
      <c r="K600" s="263"/>
      <c r="L600" s="263"/>
      <c r="M600" s="263"/>
    </row>
    <row r="601" spans="1:13" ht="11.55" customHeight="1" x14ac:dyDescent="0.3">
      <c r="A601" s="256"/>
      <c r="B601" s="256"/>
      <c r="C601" s="256"/>
      <c r="D601" s="256"/>
      <c r="E601" s="257"/>
      <c r="F601" s="257"/>
      <c r="G601" s="258">
        <f t="shared" ca="1" si="9"/>
        <v>46069</v>
      </c>
      <c r="H601" s="256"/>
      <c r="I601" s="257"/>
      <c r="K601" s="256"/>
      <c r="L601" s="256"/>
      <c r="M601" s="256"/>
    </row>
    <row r="602" spans="1:13" ht="11.55" customHeight="1" x14ac:dyDescent="0.3">
      <c r="A602" s="256"/>
      <c r="B602" s="256"/>
      <c r="C602" s="256"/>
      <c r="D602" s="256"/>
      <c r="E602" s="257"/>
      <c r="F602" s="257"/>
      <c r="G602" s="258">
        <f t="shared" ca="1" si="9"/>
        <v>46069</v>
      </c>
      <c r="H602" s="256"/>
      <c r="I602" s="257"/>
      <c r="K602" s="256"/>
      <c r="L602" s="256"/>
      <c r="M602" s="256"/>
    </row>
    <row r="603" spans="1:13" ht="11.55" customHeight="1" x14ac:dyDescent="0.3">
      <c r="A603" s="256"/>
      <c r="B603" s="256"/>
      <c r="C603" s="256"/>
      <c r="D603" s="256"/>
      <c r="E603" s="257"/>
      <c r="F603" s="257"/>
      <c r="G603" s="258">
        <f t="shared" ca="1" si="9"/>
        <v>46069</v>
      </c>
      <c r="H603" s="256"/>
      <c r="I603" s="256"/>
      <c r="K603" s="256"/>
      <c r="L603" s="256"/>
      <c r="M603" s="256"/>
    </row>
    <row r="604" spans="1:13" ht="11.55" customHeight="1" x14ac:dyDescent="0.3">
      <c r="A604" s="268"/>
      <c r="B604" s="268"/>
      <c r="C604" s="268"/>
      <c r="D604" s="263"/>
      <c r="E604" s="269"/>
      <c r="F604" s="269"/>
      <c r="G604" s="258">
        <f t="shared" ca="1" si="9"/>
        <v>46069</v>
      </c>
      <c r="H604" s="263"/>
      <c r="I604" s="256"/>
      <c r="K604" s="263"/>
      <c r="L604" s="263"/>
      <c r="M604" s="263"/>
    </row>
    <row r="605" spans="1:13" ht="11.55" customHeight="1" x14ac:dyDescent="0.3">
      <c r="A605" s="256"/>
      <c r="B605" s="256"/>
      <c r="C605" s="256"/>
      <c r="D605" s="256"/>
      <c r="E605" s="257"/>
      <c r="F605" s="257"/>
      <c r="G605" s="258">
        <f t="shared" ca="1" si="9"/>
        <v>46069</v>
      </c>
      <c r="H605" s="256"/>
      <c r="I605" s="256"/>
      <c r="K605" s="256"/>
      <c r="L605" s="256"/>
      <c r="M605" s="256"/>
    </row>
    <row r="606" spans="1:13" ht="11.55" customHeight="1" x14ac:dyDescent="0.3">
      <c r="A606" s="256"/>
      <c r="B606" s="256"/>
      <c r="C606" s="256"/>
      <c r="D606" s="256"/>
      <c r="E606" s="257"/>
      <c r="F606" s="257"/>
      <c r="G606" s="258">
        <f t="shared" ca="1" si="9"/>
        <v>46069</v>
      </c>
      <c r="H606" s="256"/>
      <c r="I606" s="256"/>
      <c r="K606" s="256"/>
      <c r="L606" s="256"/>
      <c r="M606" s="256"/>
    </row>
    <row r="607" spans="1:13" ht="11.55" customHeight="1" x14ac:dyDescent="0.3">
      <c r="A607" s="259"/>
      <c r="B607" s="259"/>
      <c r="C607" s="256"/>
      <c r="D607" s="256"/>
      <c r="E607" s="260"/>
      <c r="F607" s="260"/>
      <c r="G607" s="258">
        <f t="shared" ca="1" si="9"/>
        <v>46069</v>
      </c>
      <c r="H607" s="256"/>
      <c r="I607" s="257"/>
      <c r="K607" s="256"/>
      <c r="L607" s="256"/>
      <c r="M607" s="256"/>
    </row>
    <row r="608" spans="1:13" ht="11.55" customHeight="1" x14ac:dyDescent="0.3">
      <c r="A608" s="256"/>
      <c r="B608" s="256"/>
      <c r="C608" s="256"/>
      <c r="D608" s="256"/>
      <c r="E608" s="257"/>
      <c r="F608" s="257"/>
      <c r="G608" s="258">
        <f t="shared" ca="1" si="9"/>
        <v>46069</v>
      </c>
      <c r="H608" s="256"/>
      <c r="I608" s="256"/>
      <c r="K608" s="256"/>
      <c r="L608" s="256"/>
      <c r="M608" s="256"/>
    </row>
    <row r="609" spans="1:13" ht="11.55" customHeight="1" x14ac:dyDescent="0.3">
      <c r="A609" s="256"/>
      <c r="B609" s="256"/>
      <c r="C609" s="256"/>
      <c r="D609" s="256"/>
      <c r="E609" s="257"/>
      <c r="F609" s="257"/>
      <c r="G609" s="258">
        <f t="shared" ca="1" si="9"/>
        <v>46069</v>
      </c>
      <c r="H609" s="256"/>
      <c r="I609" s="256"/>
      <c r="K609" s="256"/>
      <c r="L609" s="256"/>
      <c r="M609" s="256"/>
    </row>
    <row r="610" spans="1:13" ht="11.55" customHeight="1" x14ac:dyDescent="0.3">
      <c r="A610" s="256"/>
      <c r="B610" s="256"/>
      <c r="C610" s="256"/>
      <c r="D610" s="256"/>
      <c r="E610" s="257"/>
      <c r="F610" s="257"/>
      <c r="G610" s="258">
        <f t="shared" ca="1" si="9"/>
        <v>46069</v>
      </c>
      <c r="H610" s="256"/>
      <c r="I610" s="256"/>
      <c r="K610" s="256"/>
      <c r="L610" s="256"/>
      <c r="M610" s="256"/>
    </row>
    <row r="611" spans="1:13" ht="11.55" customHeight="1" x14ac:dyDescent="0.3">
      <c r="A611" s="268"/>
      <c r="B611" s="268"/>
      <c r="C611" s="268"/>
      <c r="D611" s="263"/>
      <c r="E611" s="269"/>
      <c r="F611" s="269"/>
      <c r="G611" s="258">
        <f t="shared" ca="1" si="9"/>
        <v>46069</v>
      </c>
      <c r="H611" s="263"/>
      <c r="I611" s="257"/>
      <c r="K611" s="263"/>
      <c r="L611" s="263"/>
      <c r="M611" s="263"/>
    </row>
    <row r="612" spans="1:13" ht="11.55" customHeight="1" x14ac:dyDescent="0.3">
      <c r="A612" s="256"/>
      <c r="B612" s="256"/>
      <c r="C612" s="256"/>
      <c r="D612" s="256"/>
      <c r="E612" s="257"/>
      <c r="F612" s="257"/>
      <c r="G612" s="258">
        <f t="shared" ca="1" si="9"/>
        <v>46069</v>
      </c>
      <c r="H612" s="256"/>
      <c r="I612" s="256"/>
      <c r="K612" s="256"/>
      <c r="L612" s="256"/>
      <c r="M612" s="256"/>
    </row>
    <row r="613" spans="1:13" ht="11.55" customHeight="1" x14ac:dyDescent="0.3">
      <c r="A613" s="256"/>
      <c r="B613" s="256"/>
      <c r="C613" s="256"/>
      <c r="D613" s="256"/>
      <c r="E613" s="257"/>
      <c r="F613" s="257"/>
      <c r="G613" s="258">
        <f t="shared" ref="G613:G676" ca="1" si="10">TODAY()-E613</f>
        <v>46069</v>
      </c>
      <c r="H613" s="256"/>
      <c r="I613" s="256"/>
      <c r="K613" s="256"/>
      <c r="L613" s="256"/>
      <c r="M613" s="256"/>
    </row>
    <row r="614" spans="1:13" ht="11.55" customHeight="1" x14ac:dyDescent="0.3">
      <c r="A614" s="256"/>
      <c r="B614" s="256"/>
      <c r="C614" s="256"/>
      <c r="D614" s="256"/>
      <c r="E614" s="257"/>
      <c r="F614" s="257"/>
      <c r="G614" s="258">
        <f t="shared" ca="1" si="10"/>
        <v>46069</v>
      </c>
      <c r="H614" s="256"/>
      <c r="I614" s="256"/>
      <c r="K614" s="256"/>
      <c r="L614" s="256"/>
      <c r="M614" s="256"/>
    </row>
    <row r="615" spans="1:13" ht="11.55" customHeight="1" x14ac:dyDescent="0.3">
      <c r="A615" s="268"/>
      <c r="B615" s="268"/>
      <c r="C615" s="256"/>
      <c r="D615" s="263"/>
      <c r="E615" s="269"/>
      <c r="F615" s="269"/>
      <c r="G615" s="258">
        <f t="shared" ca="1" si="10"/>
        <v>46069</v>
      </c>
      <c r="H615" s="263"/>
      <c r="I615" s="257"/>
      <c r="K615" s="263"/>
      <c r="L615" s="256"/>
      <c r="M615" s="256"/>
    </row>
    <row r="616" spans="1:13" ht="11.55" customHeight="1" x14ac:dyDescent="0.3">
      <c r="A616" s="256"/>
      <c r="B616" s="256"/>
      <c r="C616" s="256"/>
      <c r="D616" s="256"/>
      <c r="E616" s="257"/>
      <c r="F616" s="257"/>
      <c r="G616" s="258">
        <f t="shared" ca="1" si="10"/>
        <v>46069</v>
      </c>
      <c r="H616" s="256"/>
      <c r="I616" s="256"/>
      <c r="K616" s="256"/>
      <c r="L616" s="256"/>
      <c r="M616" s="256"/>
    </row>
    <row r="617" spans="1:13" ht="11.55" customHeight="1" x14ac:dyDescent="0.3">
      <c r="A617" s="256"/>
      <c r="B617" s="256"/>
      <c r="C617" s="256"/>
      <c r="D617" s="256"/>
      <c r="E617" s="257"/>
      <c r="F617" s="257"/>
      <c r="G617" s="258">
        <f t="shared" ca="1" si="10"/>
        <v>46069</v>
      </c>
      <c r="H617" s="256"/>
      <c r="I617" s="257"/>
      <c r="K617" s="256"/>
      <c r="L617" s="256"/>
      <c r="M617" s="256"/>
    </row>
    <row r="618" spans="1:13" ht="11.55" customHeight="1" x14ac:dyDescent="0.3">
      <c r="A618" s="256"/>
      <c r="B618" s="256"/>
      <c r="C618" s="256"/>
      <c r="D618" s="256"/>
      <c r="E618" s="257"/>
      <c r="F618" s="257"/>
      <c r="G618" s="258">
        <f t="shared" ca="1" si="10"/>
        <v>46069</v>
      </c>
      <c r="H618" s="256"/>
      <c r="I618" s="256"/>
      <c r="K618" s="256"/>
      <c r="L618" s="256"/>
      <c r="M618" s="256"/>
    </row>
    <row r="619" spans="1:13" ht="11.55" customHeight="1" x14ac:dyDescent="0.3">
      <c r="A619" s="256"/>
      <c r="B619" s="256"/>
      <c r="C619" s="256"/>
      <c r="D619" s="256"/>
      <c r="E619" s="257"/>
      <c r="F619" s="257"/>
      <c r="G619" s="258">
        <f t="shared" ca="1" si="10"/>
        <v>46069</v>
      </c>
      <c r="H619" s="256"/>
      <c r="I619" s="256"/>
      <c r="K619" s="256"/>
      <c r="L619" s="256"/>
      <c r="M619" s="256"/>
    </row>
    <row r="620" spans="1:13" ht="11.55" customHeight="1" x14ac:dyDescent="0.3">
      <c r="A620" s="256"/>
      <c r="B620" s="256"/>
      <c r="C620" s="256"/>
      <c r="D620" s="256"/>
      <c r="E620" s="257"/>
      <c r="F620" s="257"/>
      <c r="G620" s="258">
        <f t="shared" ca="1" si="10"/>
        <v>46069</v>
      </c>
      <c r="H620" s="256"/>
      <c r="I620" s="256"/>
      <c r="K620" s="256"/>
      <c r="L620" s="256"/>
      <c r="M620" s="256"/>
    </row>
    <row r="621" spans="1:13" ht="11.55" customHeight="1" x14ac:dyDescent="0.3">
      <c r="A621" s="268"/>
      <c r="B621" s="268"/>
      <c r="C621" s="268"/>
      <c r="D621" s="263"/>
      <c r="E621" s="269"/>
      <c r="F621" s="269"/>
      <c r="G621" s="258">
        <f t="shared" ca="1" si="10"/>
        <v>46069</v>
      </c>
      <c r="H621" s="263"/>
      <c r="I621" s="257"/>
      <c r="K621" s="263"/>
      <c r="L621" s="263"/>
      <c r="M621" s="263"/>
    </row>
    <row r="622" spans="1:13" ht="11.55" customHeight="1" x14ac:dyDescent="0.3">
      <c r="A622" s="256"/>
      <c r="B622" s="256"/>
      <c r="C622" s="256"/>
      <c r="D622" s="256"/>
      <c r="E622" s="257"/>
      <c r="F622" s="257"/>
      <c r="G622" s="258">
        <f t="shared" ca="1" si="10"/>
        <v>46069</v>
      </c>
      <c r="H622" s="256"/>
      <c r="I622" s="256"/>
      <c r="K622" s="256"/>
      <c r="L622" s="256"/>
      <c r="M622" s="256"/>
    </row>
    <row r="623" spans="1:13" ht="11.55" customHeight="1" x14ac:dyDescent="0.3">
      <c r="A623" s="259"/>
      <c r="B623" s="259"/>
      <c r="C623" s="256"/>
      <c r="D623" s="256"/>
      <c r="E623" s="260"/>
      <c r="F623" s="260"/>
      <c r="G623" s="258">
        <f t="shared" ca="1" si="10"/>
        <v>46069</v>
      </c>
      <c r="H623" s="256"/>
      <c r="I623" s="257"/>
      <c r="K623" s="256"/>
      <c r="L623" s="256"/>
      <c r="M623" s="256"/>
    </row>
    <row r="624" spans="1:13" ht="11.55" customHeight="1" x14ac:dyDescent="0.3">
      <c r="A624" s="256"/>
      <c r="B624" s="256"/>
      <c r="C624" s="259"/>
      <c r="D624" s="256"/>
      <c r="E624" s="256"/>
      <c r="F624" s="256"/>
      <c r="G624" s="258">
        <f t="shared" ca="1" si="10"/>
        <v>46069</v>
      </c>
      <c r="H624" s="256"/>
      <c r="I624" s="256"/>
      <c r="K624" s="256"/>
      <c r="L624" s="256"/>
      <c r="M624" s="256"/>
    </row>
    <row r="625" spans="1:13" ht="11.55" customHeight="1" x14ac:dyDescent="0.3">
      <c r="A625" s="256"/>
      <c r="B625" s="256"/>
      <c r="C625" s="259"/>
      <c r="D625" s="256"/>
      <c r="E625" s="257"/>
      <c r="F625" s="257"/>
      <c r="G625" s="258">
        <f t="shared" ca="1" si="10"/>
        <v>46069</v>
      </c>
      <c r="H625" s="256"/>
      <c r="I625" s="257"/>
      <c r="K625" s="256"/>
      <c r="L625" s="256"/>
      <c r="M625" s="256"/>
    </row>
    <row r="626" spans="1:13" ht="11.55" customHeight="1" x14ac:dyDescent="0.3">
      <c r="A626" s="256"/>
      <c r="B626" s="256"/>
      <c r="C626" s="256"/>
      <c r="D626" s="256"/>
      <c r="E626" s="257"/>
      <c r="F626" s="257"/>
      <c r="G626" s="258">
        <f t="shared" ca="1" si="10"/>
        <v>46069</v>
      </c>
      <c r="H626" s="256"/>
      <c r="I626" s="256"/>
      <c r="K626" s="256"/>
      <c r="L626" s="256"/>
      <c r="M626" s="256"/>
    </row>
    <row r="627" spans="1:13" ht="11.55" customHeight="1" x14ac:dyDescent="0.3">
      <c r="A627" s="256"/>
      <c r="B627" s="256"/>
      <c r="C627" s="256"/>
      <c r="D627" s="256"/>
      <c r="E627" s="257"/>
      <c r="F627" s="257"/>
      <c r="G627" s="258">
        <f t="shared" ca="1" si="10"/>
        <v>46069</v>
      </c>
      <c r="H627" s="256"/>
      <c r="I627" s="256"/>
      <c r="K627" s="256"/>
      <c r="L627" s="256"/>
      <c r="M627" s="256"/>
    </row>
    <row r="628" spans="1:13" ht="11.55" customHeight="1" x14ac:dyDescent="0.3">
      <c r="A628" s="259"/>
      <c r="B628" s="259"/>
      <c r="C628" s="256"/>
      <c r="D628" s="256"/>
      <c r="E628" s="260"/>
      <c r="F628" s="260"/>
      <c r="G628" s="258">
        <f t="shared" ca="1" si="10"/>
        <v>46069</v>
      </c>
      <c r="H628" s="256"/>
      <c r="I628" s="256"/>
      <c r="K628" s="256"/>
      <c r="L628" s="256"/>
      <c r="M628" s="256"/>
    </row>
    <row r="629" spans="1:13" ht="11.55" customHeight="1" x14ac:dyDescent="0.3">
      <c r="A629" s="256"/>
      <c r="B629" s="256"/>
      <c r="C629" s="256"/>
      <c r="D629" s="256"/>
      <c r="E629" s="257"/>
      <c r="F629" s="257"/>
      <c r="G629" s="258">
        <f t="shared" ca="1" si="10"/>
        <v>46069</v>
      </c>
      <c r="H629" s="256"/>
      <c r="I629" s="256"/>
      <c r="K629" s="256"/>
      <c r="L629" s="256"/>
      <c r="M629" s="256"/>
    </row>
    <row r="630" spans="1:13" ht="11.55" customHeight="1" x14ac:dyDescent="0.3">
      <c r="A630" s="256"/>
      <c r="B630" s="256"/>
      <c r="C630" s="256"/>
      <c r="D630" s="256"/>
      <c r="E630" s="257"/>
      <c r="F630" s="257"/>
      <c r="G630" s="258">
        <f t="shared" ca="1" si="10"/>
        <v>46069</v>
      </c>
      <c r="H630" s="256"/>
      <c r="I630" s="257"/>
      <c r="K630" s="256"/>
      <c r="L630" s="256"/>
      <c r="M630" s="256"/>
    </row>
    <row r="631" spans="1:13" ht="11.55" customHeight="1" x14ac:dyDescent="0.3">
      <c r="A631" s="256"/>
      <c r="B631" s="256"/>
      <c r="C631" s="256"/>
      <c r="D631" s="256"/>
      <c r="E631" s="257"/>
      <c r="F631" s="257"/>
      <c r="G631" s="258">
        <f t="shared" ca="1" si="10"/>
        <v>46069</v>
      </c>
      <c r="H631" s="256"/>
      <c r="I631" s="257"/>
      <c r="K631" s="256"/>
      <c r="L631" s="256"/>
      <c r="M631" s="256"/>
    </row>
    <row r="632" spans="1:13" ht="11.55" customHeight="1" x14ac:dyDescent="0.3">
      <c r="A632" s="256"/>
      <c r="B632" s="256"/>
      <c r="C632" s="256"/>
      <c r="D632" s="256"/>
      <c r="E632" s="257"/>
      <c r="F632" s="257"/>
      <c r="G632" s="258">
        <f t="shared" ca="1" si="10"/>
        <v>46069</v>
      </c>
      <c r="H632" s="256"/>
      <c r="I632" s="257"/>
      <c r="K632" s="256"/>
      <c r="L632" s="256"/>
      <c r="M632" s="256"/>
    </row>
    <row r="633" spans="1:13" ht="11.55" customHeight="1" x14ac:dyDescent="0.3">
      <c r="A633" s="256"/>
      <c r="B633" s="256"/>
      <c r="C633" s="256"/>
      <c r="D633" s="256"/>
      <c r="E633" s="257"/>
      <c r="F633" s="257"/>
      <c r="G633" s="258">
        <f t="shared" ca="1" si="10"/>
        <v>46069</v>
      </c>
      <c r="H633" s="256"/>
      <c r="I633" s="256"/>
      <c r="K633" s="256"/>
      <c r="L633" s="256"/>
      <c r="M633" s="256"/>
    </row>
    <row r="634" spans="1:13" ht="11.55" customHeight="1" x14ac:dyDescent="0.3">
      <c r="A634" s="256"/>
      <c r="B634" s="256"/>
      <c r="C634" s="256"/>
      <c r="D634" s="256"/>
      <c r="E634" s="257"/>
      <c r="F634" s="257"/>
      <c r="G634" s="258">
        <f t="shared" ca="1" si="10"/>
        <v>46069</v>
      </c>
      <c r="H634" s="256"/>
      <c r="I634" s="256"/>
      <c r="K634" s="256"/>
      <c r="L634" s="256"/>
      <c r="M634" s="256"/>
    </row>
    <row r="635" spans="1:13" ht="11.55" customHeight="1" x14ac:dyDescent="0.3">
      <c r="A635" s="256"/>
      <c r="B635" s="256"/>
      <c r="C635" s="256"/>
      <c r="D635" s="256"/>
      <c r="E635" s="257"/>
      <c r="F635" s="257"/>
      <c r="G635" s="258">
        <f t="shared" ca="1" si="10"/>
        <v>46069</v>
      </c>
      <c r="H635" s="256"/>
      <c r="I635" s="256"/>
      <c r="K635" s="256"/>
      <c r="L635" s="256"/>
      <c r="M635" s="256"/>
    </row>
    <row r="636" spans="1:13" ht="11.55" customHeight="1" x14ac:dyDescent="0.3">
      <c r="A636" s="256"/>
      <c r="B636" s="256"/>
      <c r="C636" s="256"/>
      <c r="D636" s="256"/>
      <c r="E636" s="257"/>
      <c r="F636" s="257"/>
      <c r="G636" s="258">
        <f t="shared" ca="1" si="10"/>
        <v>46069</v>
      </c>
      <c r="H636" s="256"/>
      <c r="I636" s="256"/>
      <c r="K636" s="256"/>
      <c r="L636" s="256"/>
      <c r="M636" s="256"/>
    </row>
    <row r="637" spans="1:13" ht="11.55" customHeight="1" x14ac:dyDescent="0.3">
      <c r="A637" s="256"/>
      <c r="B637" s="256"/>
      <c r="C637" s="256"/>
      <c r="D637" s="256"/>
      <c r="E637" s="257"/>
      <c r="F637" s="257"/>
      <c r="G637" s="258">
        <f t="shared" ca="1" si="10"/>
        <v>46069</v>
      </c>
      <c r="H637" s="256"/>
      <c r="I637" s="257"/>
      <c r="K637" s="256"/>
      <c r="L637" s="256"/>
      <c r="M637" s="256"/>
    </row>
    <row r="638" spans="1:13" ht="11.55" customHeight="1" x14ac:dyDescent="0.3">
      <c r="A638" s="256"/>
      <c r="B638" s="256"/>
      <c r="C638" s="256"/>
      <c r="D638" s="256"/>
      <c r="E638" s="257"/>
      <c r="F638" s="257"/>
      <c r="G638" s="258">
        <f t="shared" ca="1" si="10"/>
        <v>46069</v>
      </c>
      <c r="H638" s="256"/>
      <c r="I638" s="256"/>
      <c r="K638" s="256"/>
      <c r="L638" s="256"/>
      <c r="M638" s="256"/>
    </row>
    <row r="639" spans="1:13" ht="11.55" customHeight="1" x14ac:dyDescent="0.3">
      <c r="A639" s="259"/>
      <c r="B639" s="259"/>
      <c r="C639" s="256"/>
      <c r="D639" s="256"/>
      <c r="E639" s="260"/>
      <c r="F639" s="260"/>
      <c r="G639" s="258">
        <f t="shared" ca="1" si="10"/>
        <v>46069</v>
      </c>
      <c r="H639" s="256"/>
      <c r="I639" s="267"/>
      <c r="K639" s="256"/>
      <c r="L639" s="256"/>
      <c r="M639" s="256"/>
    </row>
    <row r="640" spans="1:13" ht="11.55" customHeight="1" x14ac:dyDescent="0.3">
      <c r="A640" s="259"/>
      <c r="B640" s="259"/>
      <c r="C640" s="256"/>
      <c r="D640" s="256"/>
      <c r="E640" s="260"/>
      <c r="F640" s="260"/>
      <c r="G640" s="258">
        <f t="shared" ca="1" si="10"/>
        <v>46069</v>
      </c>
      <c r="H640" s="256"/>
      <c r="I640" s="267"/>
      <c r="K640" s="256"/>
      <c r="L640" s="256"/>
      <c r="M640" s="256"/>
    </row>
    <row r="641" spans="1:13" ht="11.55" customHeight="1" x14ac:dyDescent="0.3">
      <c r="A641" s="256"/>
      <c r="B641" s="256"/>
      <c r="C641" s="256"/>
      <c r="D641" s="256"/>
      <c r="E641" s="257"/>
      <c r="F641" s="257"/>
      <c r="G641" s="258">
        <f t="shared" ca="1" si="10"/>
        <v>46069</v>
      </c>
      <c r="H641" s="256"/>
      <c r="I641" s="256"/>
      <c r="K641" s="256"/>
      <c r="L641" s="256"/>
      <c r="M641" s="256"/>
    </row>
    <row r="642" spans="1:13" ht="11.55" customHeight="1" x14ac:dyDescent="0.3">
      <c r="A642" s="256"/>
      <c r="B642" s="256"/>
      <c r="C642" s="256"/>
      <c r="D642" s="256"/>
      <c r="E642" s="257"/>
      <c r="F642" s="257"/>
      <c r="G642" s="258">
        <f t="shared" ca="1" si="10"/>
        <v>46069</v>
      </c>
      <c r="H642" s="256"/>
      <c r="I642" s="256"/>
      <c r="K642" s="256"/>
      <c r="L642" s="256"/>
      <c r="M642" s="256"/>
    </row>
    <row r="643" spans="1:13" ht="11.55" customHeight="1" x14ac:dyDescent="0.3">
      <c r="A643" s="274"/>
      <c r="B643" s="274"/>
      <c r="C643" s="256"/>
      <c r="D643" s="263"/>
      <c r="E643" s="275"/>
      <c r="F643" s="275"/>
      <c r="G643" s="258">
        <f t="shared" ca="1" si="10"/>
        <v>46069</v>
      </c>
      <c r="H643" s="263"/>
      <c r="I643" s="257"/>
      <c r="K643" s="263"/>
      <c r="L643" s="256"/>
      <c r="M643" s="256"/>
    </row>
    <row r="644" spans="1:13" ht="11.55" customHeight="1" x14ac:dyDescent="0.3">
      <c r="A644" s="259"/>
      <c r="B644" s="259"/>
      <c r="C644" s="259"/>
      <c r="D644" s="256"/>
      <c r="E644" s="260"/>
      <c r="F644" s="260"/>
      <c r="G644" s="258">
        <f t="shared" ca="1" si="10"/>
        <v>46069</v>
      </c>
      <c r="H644" s="256"/>
      <c r="I644" s="257"/>
      <c r="K644" s="256"/>
      <c r="L644" s="256"/>
      <c r="M644" s="256"/>
    </row>
    <row r="645" spans="1:13" ht="11.55" customHeight="1" x14ac:dyDescent="0.3">
      <c r="A645" s="256"/>
      <c r="B645" s="256"/>
      <c r="C645" s="256"/>
      <c r="D645" s="256"/>
      <c r="E645" s="257"/>
      <c r="F645" s="257"/>
      <c r="G645" s="258">
        <f t="shared" ca="1" si="10"/>
        <v>46069</v>
      </c>
      <c r="H645" s="256"/>
      <c r="I645" s="256"/>
      <c r="K645" s="256"/>
      <c r="L645" s="256"/>
      <c r="M645" s="256"/>
    </row>
    <row r="646" spans="1:13" ht="11.55" customHeight="1" x14ac:dyDescent="0.3">
      <c r="A646" s="256"/>
      <c r="B646" s="256"/>
      <c r="C646" s="256"/>
      <c r="D646" s="256"/>
      <c r="E646" s="257"/>
      <c r="F646" s="257"/>
      <c r="G646" s="258">
        <f t="shared" ca="1" si="10"/>
        <v>46069</v>
      </c>
      <c r="H646" s="256"/>
      <c r="I646" s="256"/>
      <c r="K646" s="256"/>
      <c r="L646" s="256"/>
      <c r="M646" s="256"/>
    </row>
    <row r="647" spans="1:13" ht="11.55" customHeight="1" x14ac:dyDescent="0.3">
      <c r="A647" s="256"/>
      <c r="B647" s="256"/>
      <c r="C647" s="256"/>
      <c r="D647" s="256"/>
      <c r="E647" s="257"/>
      <c r="F647" s="257"/>
      <c r="G647" s="258">
        <f t="shared" ca="1" si="10"/>
        <v>46069</v>
      </c>
      <c r="H647" s="256"/>
      <c r="I647" s="256"/>
      <c r="K647" s="256"/>
      <c r="L647" s="256"/>
      <c r="M647" s="256"/>
    </row>
    <row r="648" spans="1:13" ht="11.55" customHeight="1" x14ac:dyDescent="0.3">
      <c r="A648" s="256"/>
      <c r="B648" s="256"/>
      <c r="C648" s="256"/>
      <c r="D648" s="256"/>
      <c r="E648" s="257"/>
      <c r="F648" s="257"/>
      <c r="G648" s="258">
        <f t="shared" ca="1" si="10"/>
        <v>46069</v>
      </c>
      <c r="H648" s="256"/>
      <c r="I648" s="256"/>
      <c r="K648" s="256"/>
      <c r="L648" s="256"/>
      <c r="M648" s="256"/>
    </row>
    <row r="649" spans="1:13" ht="11.55" customHeight="1" x14ac:dyDescent="0.3">
      <c r="A649" s="256"/>
      <c r="B649" s="256"/>
      <c r="C649" s="256"/>
      <c r="D649" s="256"/>
      <c r="E649" s="257"/>
      <c r="F649" s="257"/>
      <c r="G649" s="258">
        <f t="shared" ca="1" si="10"/>
        <v>46069</v>
      </c>
      <c r="H649" s="256"/>
      <c r="I649" s="257"/>
      <c r="K649" s="256"/>
      <c r="L649" s="256"/>
      <c r="M649" s="256"/>
    </row>
    <row r="650" spans="1:13" ht="11.55" customHeight="1" x14ac:dyDescent="0.3">
      <c r="A650" s="259"/>
      <c r="B650" s="259"/>
      <c r="C650" s="256"/>
      <c r="D650" s="256"/>
      <c r="E650" s="260"/>
      <c r="F650" s="260"/>
      <c r="G650" s="258">
        <f t="shared" ca="1" si="10"/>
        <v>46069</v>
      </c>
      <c r="H650" s="256"/>
      <c r="I650" s="267"/>
      <c r="K650" s="256"/>
      <c r="L650" s="256"/>
      <c r="M650" s="256"/>
    </row>
    <row r="651" spans="1:13" ht="11.55" customHeight="1" x14ac:dyDescent="0.3">
      <c r="A651" s="256"/>
      <c r="B651" s="256"/>
      <c r="C651" s="256"/>
      <c r="D651" s="256"/>
      <c r="E651" s="257"/>
      <c r="F651" s="257"/>
      <c r="G651" s="258">
        <f t="shared" ca="1" si="10"/>
        <v>46069</v>
      </c>
      <c r="H651" s="256"/>
      <c r="I651" s="257"/>
      <c r="K651" s="256"/>
      <c r="L651" s="256"/>
      <c r="M651" s="256"/>
    </row>
    <row r="652" spans="1:13" ht="11.55" customHeight="1" x14ac:dyDescent="0.3">
      <c r="A652" s="256"/>
      <c r="B652" s="256"/>
      <c r="C652" s="268"/>
      <c r="D652" s="256"/>
      <c r="E652" s="257"/>
      <c r="F652" s="257"/>
      <c r="G652" s="258">
        <f t="shared" ca="1" si="10"/>
        <v>46069</v>
      </c>
      <c r="H652" s="256"/>
      <c r="I652" s="257"/>
      <c r="K652" s="256"/>
      <c r="L652" s="256"/>
      <c r="M652" s="256"/>
    </row>
    <row r="653" spans="1:13" ht="11.55" customHeight="1" x14ac:dyDescent="0.3">
      <c r="A653" s="256"/>
      <c r="B653" s="256"/>
      <c r="C653" s="256"/>
      <c r="D653" s="256"/>
      <c r="E653" s="257"/>
      <c r="F653" s="257"/>
      <c r="G653" s="258">
        <f t="shared" ca="1" si="10"/>
        <v>46069</v>
      </c>
      <c r="H653" s="256"/>
      <c r="I653" s="257"/>
      <c r="K653" s="256"/>
      <c r="L653" s="256"/>
      <c r="M653" s="256"/>
    </row>
    <row r="654" spans="1:13" ht="11.55" customHeight="1" x14ac:dyDescent="0.3">
      <c r="A654" s="256"/>
      <c r="B654" s="256"/>
      <c r="C654" s="256"/>
      <c r="D654" s="256"/>
      <c r="E654" s="256"/>
      <c r="F654" s="256"/>
      <c r="G654" s="258">
        <f t="shared" ca="1" si="10"/>
        <v>46069</v>
      </c>
      <c r="H654" s="256"/>
      <c r="I654" s="256"/>
      <c r="K654" s="256"/>
      <c r="L654" s="256"/>
      <c r="M654" s="256"/>
    </row>
    <row r="655" spans="1:13" ht="11.55" customHeight="1" x14ac:dyDescent="0.3">
      <c r="A655" s="256"/>
      <c r="B655" s="256"/>
      <c r="C655" s="256"/>
      <c r="D655" s="256"/>
      <c r="E655" s="257"/>
      <c r="F655" s="257"/>
      <c r="G655" s="258">
        <f t="shared" ca="1" si="10"/>
        <v>46069</v>
      </c>
      <c r="H655" s="256"/>
      <c r="I655" s="257"/>
      <c r="K655" s="256"/>
      <c r="L655" s="256"/>
      <c r="M655" s="256"/>
    </row>
    <row r="656" spans="1:13" ht="11.55" customHeight="1" x14ac:dyDescent="0.3">
      <c r="A656" s="256"/>
      <c r="B656" s="256"/>
      <c r="C656" s="256"/>
      <c r="D656" s="256"/>
      <c r="E656" s="257"/>
      <c r="F656" s="257"/>
      <c r="G656" s="258">
        <f t="shared" ca="1" si="10"/>
        <v>46069</v>
      </c>
      <c r="H656" s="256"/>
      <c r="I656" s="256"/>
      <c r="K656" s="256"/>
      <c r="L656" s="256"/>
      <c r="M656" s="256"/>
    </row>
    <row r="657" spans="1:13" ht="11.55" customHeight="1" x14ac:dyDescent="0.3">
      <c r="A657" s="268"/>
      <c r="B657" s="268"/>
      <c r="C657" s="268"/>
      <c r="D657" s="263"/>
      <c r="E657" s="269"/>
      <c r="F657" s="269"/>
      <c r="G657" s="258">
        <f t="shared" ca="1" si="10"/>
        <v>46069</v>
      </c>
      <c r="H657" s="263"/>
      <c r="I657" s="257"/>
      <c r="K657" s="263"/>
      <c r="L657" s="263"/>
      <c r="M657" s="263"/>
    </row>
    <row r="658" spans="1:13" ht="11.55" customHeight="1" x14ac:dyDescent="0.3">
      <c r="A658" s="256"/>
      <c r="B658" s="256"/>
      <c r="C658" s="256"/>
      <c r="D658" s="256"/>
      <c r="E658" s="257"/>
      <c r="F658" s="257"/>
      <c r="G658" s="258">
        <f t="shared" ca="1" si="10"/>
        <v>46069</v>
      </c>
      <c r="H658" s="256"/>
      <c r="I658" s="256"/>
      <c r="K658" s="256"/>
      <c r="L658" s="256"/>
      <c r="M658" s="256"/>
    </row>
    <row r="659" spans="1:13" ht="11.55" customHeight="1" x14ac:dyDescent="0.3">
      <c r="A659" s="256"/>
      <c r="B659" s="256"/>
      <c r="C659" s="256"/>
      <c r="D659" s="256"/>
      <c r="E659" s="257"/>
      <c r="F659" s="257"/>
      <c r="G659" s="258">
        <f t="shared" ca="1" si="10"/>
        <v>46069</v>
      </c>
      <c r="H659" s="256"/>
      <c r="I659" s="256"/>
      <c r="K659" s="256"/>
      <c r="L659" s="256"/>
      <c r="M659" s="256"/>
    </row>
    <row r="660" spans="1:13" ht="11.55" customHeight="1" x14ac:dyDescent="0.3">
      <c r="A660" s="262"/>
      <c r="B660" s="262"/>
      <c r="C660" s="262"/>
      <c r="D660" s="263"/>
      <c r="E660" s="264"/>
      <c r="F660" s="264"/>
      <c r="G660" s="258">
        <f t="shared" ca="1" si="10"/>
        <v>46069</v>
      </c>
      <c r="H660" s="263"/>
      <c r="I660" s="267"/>
      <c r="K660" s="263"/>
      <c r="L660" s="263"/>
      <c r="M660" s="263"/>
    </row>
    <row r="661" spans="1:13" ht="11.55" customHeight="1" x14ac:dyDescent="0.3">
      <c r="A661" s="256"/>
      <c r="B661" s="256"/>
      <c r="C661" s="259"/>
      <c r="D661" s="256"/>
      <c r="E661" s="257"/>
      <c r="F661" s="257"/>
      <c r="G661" s="258">
        <f t="shared" ca="1" si="10"/>
        <v>46069</v>
      </c>
      <c r="H661" s="256"/>
      <c r="I661" s="256"/>
      <c r="K661" s="256"/>
      <c r="L661" s="256"/>
      <c r="M661" s="256"/>
    </row>
    <row r="662" spans="1:13" ht="11.55" customHeight="1" x14ac:dyDescent="0.3">
      <c r="A662" s="256"/>
      <c r="B662" s="256"/>
      <c r="C662" s="268"/>
      <c r="D662" s="256"/>
      <c r="E662" s="257"/>
      <c r="F662" s="257"/>
      <c r="G662" s="258">
        <f t="shared" ca="1" si="10"/>
        <v>46069</v>
      </c>
      <c r="H662" s="256"/>
      <c r="I662" s="257"/>
      <c r="K662" s="256"/>
      <c r="L662" s="256"/>
      <c r="M662" s="256"/>
    </row>
    <row r="663" spans="1:13" ht="11.55" customHeight="1" x14ac:dyDescent="0.3">
      <c r="A663" s="268"/>
      <c r="B663" s="268"/>
      <c r="C663" s="256"/>
      <c r="D663" s="263"/>
      <c r="E663" s="269"/>
      <c r="F663" s="269"/>
      <c r="G663" s="258">
        <f t="shared" ca="1" si="10"/>
        <v>46069</v>
      </c>
      <c r="H663" s="263"/>
      <c r="I663" s="257"/>
      <c r="K663" s="263"/>
      <c r="L663" s="256"/>
      <c r="M663" s="263"/>
    </row>
    <row r="664" spans="1:13" ht="11.55" customHeight="1" x14ac:dyDescent="0.3">
      <c r="A664" s="256"/>
      <c r="B664" s="256"/>
      <c r="C664" s="256"/>
      <c r="D664" s="256"/>
      <c r="E664" s="257"/>
      <c r="F664" s="257"/>
      <c r="G664" s="258">
        <f t="shared" ca="1" si="10"/>
        <v>46069</v>
      </c>
      <c r="H664" s="256"/>
      <c r="I664" s="256"/>
      <c r="K664" s="256"/>
      <c r="L664" s="256"/>
      <c r="M664" s="256"/>
    </row>
    <row r="665" spans="1:13" ht="11.55" customHeight="1" x14ac:dyDescent="0.3">
      <c r="A665" s="256"/>
      <c r="B665" s="256"/>
      <c r="C665" s="256"/>
      <c r="D665" s="256"/>
      <c r="E665" s="257"/>
      <c r="F665" s="257"/>
      <c r="G665" s="258">
        <f t="shared" ca="1" si="10"/>
        <v>46069</v>
      </c>
      <c r="H665" s="256"/>
      <c r="I665" s="256"/>
      <c r="K665" s="256"/>
      <c r="L665" s="256"/>
      <c r="M665" s="256"/>
    </row>
    <row r="666" spans="1:13" ht="11.55" customHeight="1" x14ac:dyDescent="0.3">
      <c r="A666" s="272"/>
      <c r="B666" s="272"/>
      <c r="C666" s="272"/>
      <c r="D666" s="256"/>
      <c r="E666" s="273"/>
      <c r="F666" s="273"/>
      <c r="G666" s="258">
        <f t="shared" ca="1" si="10"/>
        <v>46069</v>
      </c>
      <c r="H666" s="256"/>
      <c r="I666" s="257"/>
      <c r="K666" s="256"/>
      <c r="L666" s="256"/>
      <c r="M666" s="256"/>
    </row>
    <row r="667" spans="1:13" ht="11.55" customHeight="1" x14ac:dyDescent="0.3">
      <c r="A667" s="256"/>
      <c r="B667" s="256"/>
      <c r="C667" s="259"/>
      <c r="D667" s="256"/>
      <c r="E667" s="257"/>
      <c r="F667" s="257"/>
      <c r="G667" s="258">
        <f t="shared" ca="1" si="10"/>
        <v>46069</v>
      </c>
      <c r="H667" s="256"/>
      <c r="I667" s="257"/>
      <c r="K667" s="256"/>
      <c r="L667" s="256"/>
      <c r="M667" s="256"/>
    </row>
    <row r="668" spans="1:13" ht="11.55" customHeight="1" x14ac:dyDescent="0.3">
      <c r="A668" s="256"/>
      <c r="B668" s="256"/>
      <c r="C668" s="256"/>
      <c r="D668" s="256"/>
      <c r="E668" s="257"/>
      <c r="F668" s="257"/>
      <c r="G668" s="258">
        <f t="shared" ca="1" si="10"/>
        <v>46069</v>
      </c>
      <c r="H668" s="256"/>
      <c r="I668" s="256"/>
      <c r="K668" s="256"/>
      <c r="L668" s="256"/>
      <c r="M668" s="256"/>
    </row>
    <row r="669" spans="1:13" ht="11.55" customHeight="1" x14ac:dyDescent="0.3">
      <c r="A669" s="256"/>
      <c r="B669" s="256"/>
      <c r="C669" s="256"/>
      <c r="D669" s="256"/>
      <c r="E669" s="257"/>
      <c r="F669" s="257"/>
      <c r="G669" s="258">
        <f t="shared" ca="1" si="10"/>
        <v>46069</v>
      </c>
      <c r="H669" s="256"/>
      <c r="I669" s="256"/>
      <c r="K669" s="256"/>
      <c r="L669" s="256"/>
      <c r="M669" s="256"/>
    </row>
    <row r="670" spans="1:13" ht="11.55" customHeight="1" x14ac:dyDescent="0.3">
      <c r="A670" s="256"/>
      <c r="B670" s="256"/>
      <c r="C670" s="256"/>
      <c r="D670" s="256"/>
      <c r="E670" s="257"/>
      <c r="F670" s="257"/>
      <c r="G670" s="258">
        <f t="shared" ca="1" si="10"/>
        <v>46069</v>
      </c>
      <c r="H670" s="256"/>
      <c r="I670" s="256"/>
      <c r="K670" s="256"/>
      <c r="L670" s="256"/>
      <c r="M670" s="256"/>
    </row>
    <row r="671" spans="1:13" ht="11.55" customHeight="1" x14ac:dyDescent="0.3">
      <c r="A671" s="256"/>
      <c r="B671" s="256"/>
      <c r="C671" s="259"/>
      <c r="D671" s="256"/>
      <c r="E671" s="257"/>
      <c r="F671" s="257"/>
      <c r="G671" s="258">
        <f t="shared" ca="1" si="10"/>
        <v>46069</v>
      </c>
      <c r="H671" s="256"/>
      <c r="I671" s="256"/>
      <c r="K671" s="256"/>
      <c r="L671" s="256"/>
      <c r="M671" s="256"/>
    </row>
    <row r="672" spans="1:13" ht="11.55" customHeight="1" x14ac:dyDescent="0.3">
      <c r="A672" s="256"/>
      <c r="B672" s="256"/>
      <c r="C672" s="259"/>
      <c r="D672" s="256"/>
      <c r="E672" s="257"/>
      <c r="F672" s="257"/>
      <c r="G672" s="258">
        <f t="shared" ca="1" si="10"/>
        <v>46069</v>
      </c>
      <c r="H672" s="256"/>
      <c r="I672" s="267"/>
      <c r="K672" s="256"/>
      <c r="L672" s="263"/>
      <c r="M672" s="263"/>
    </row>
    <row r="673" spans="1:13" ht="11.55" customHeight="1" x14ac:dyDescent="0.3">
      <c r="A673" s="256"/>
      <c r="B673" s="256"/>
      <c r="C673" s="256"/>
      <c r="D673" s="256"/>
      <c r="E673" s="257"/>
      <c r="F673" s="257"/>
      <c r="G673" s="258">
        <f t="shared" ca="1" si="10"/>
        <v>46069</v>
      </c>
      <c r="H673" s="256"/>
      <c r="I673" s="256"/>
      <c r="K673" s="256"/>
      <c r="L673" s="256"/>
      <c r="M673" s="256"/>
    </row>
    <row r="674" spans="1:13" ht="11.55" customHeight="1" x14ac:dyDescent="0.3">
      <c r="A674" s="256"/>
      <c r="B674" s="256"/>
      <c r="C674" s="259"/>
      <c r="D674" s="256"/>
      <c r="E674" s="257"/>
      <c r="F674" s="257"/>
      <c r="G674" s="258">
        <f t="shared" ca="1" si="10"/>
        <v>46069</v>
      </c>
      <c r="H674" s="256"/>
      <c r="I674" s="257"/>
      <c r="K674" s="256"/>
      <c r="L674" s="256"/>
      <c r="M674" s="256"/>
    </row>
    <row r="675" spans="1:13" ht="11.55" customHeight="1" x14ac:dyDescent="0.3">
      <c r="A675" s="259"/>
      <c r="B675" s="259"/>
      <c r="C675" s="256"/>
      <c r="D675" s="256"/>
      <c r="E675" s="260"/>
      <c r="F675" s="260"/>
      <c r="G675" s="258">
        <f t="shared" ca="1" si="10"/>
        <v>46069</v>
      </c>
      <c r="H675" s="256"/>
      <c r="I675" s="257"/>
      <c r="K675" s="256"/>
      <c r="L675" s="256"/>
      <c r="M675" s="256"/>
    </row>
    <row r="676" spans="1:13" ht="11.55" customHeight="1" x14ac:dyDescent="0.3">
      <c r="A676" s="272"/>
      <c r="B676" s="272"/>
      <c r="C676" s="272"/>
      <c r="D676" s="256"/>
      <c r="E676" s="273"/>
      <c r="F676" s="273"/>
      <c r="G676" s="258">
        <f t="shared" ca="1" si="10"/>
        <v>46069</v>
      </c>
      <c r="H676" s="256"/>
      <c r="I676" s="257"/>
      <c r="K676" s="256"/>
      <c r="L676" s="256"/>
      <c r="M676" s="256"/>
    </row>
    <row r="677" spans="1:13" ht="11.55" customHeight="1" x14ac:dyDescent="0.3">
      <c r="A677" s="256"/>
      <c r="B677" s="256"/>
      <c r="C677" s="256"/>
      <c r="D677" s="256"/>
      <c r="E677" s="257"/>
      <c r="F677" s="257"/>
      <c r="G677" s="258">
        <f t="shared" ref="G677:G740" ca="1" si="11">TODAY()-E677</f>
        <v>46069</v>
      </c>
      <c r="H677" s="256"/>
      <c r="I677" s="257"/>
      <c r="K677" s="256"/>
      <c r="L677" s="256"/>
      <c r="M677" s="256"/>
    </row>
    <row r="678" spans="1:13" ht="11.55" customHeight="1" x14ac:dyDescent="0.3">
      <c r="A678" s="256"/>
      <c r="B678" s="256"/>
      <c r="C678" s="259"/>
      <c r="D678" s="256"/>
      <c r="E678" s="257"/>
      <c r="F678" s="257"/>
      <c r="G678" s="258">
        <f t="shared" ca="1" si="11"/>
        <v>46069</v>
      </c>
      <c r="H678" s="256"/>
      <c r="I678" s="256"/>
      <c r="K678" s="256"/>
      <c r="L678" s="256"/>
      <c r="M678" s="256"/>
    </row>
    <row r="679" spans="1:13" ht="11.55" customHeight="1" x14ac:dyDescent="0.3">
      <c r="A679" s="268"/>
      <c r="B679" s="268"/>
      <c r="C679" s="268"/>
      <c r="D679" s="263"/>
      <c r="E679" s="269"/>
      <c r="F679" s="269"/>
      <c r="G679" s="258">
        <f t="shared" ca="1" si="11"/>
        <v>46069</v>
      </c>
      <c r="H679" s="263"/>
      <c r="I679" s="267"/>
      <c r="K679" s="263"/>
      <c r="L679" s="263"/>
      <c r="M679" s="263"/>
    </row>
    <row r="680" spans="1:13" ht="11.55" customHeight="1" x14ac:dyDescent="0.3">
      <c r="A680" s="256"/>
      <c r="B680" s="256"/>
      <c r="C680" s="256"/>
      <c r="D680" s="256"/>
      <c r="E680" s="257"/>
      <c r="F680" s="257"/>
      <c r="G680" s="258">
        <f t="shared" ca="1" si="11"/>
        <v>46069</v>
      </c>
      <c r="H680" s="256"/>
      <c r="I680" s="256"/>
      <c r="K680" s="256"/>
      <c r="L680" s="256"/>
      <c r="M680" s="256"/>
    </row>
    <row r="681" spans="1:13" ht="11.55" customHeight="1" x14ac:dyDescent="0.3">
      <c r="A681" s="256"/>
      <c r="B681" s="256"/>
      <c r="C681" s="256"/>
      <c r="D681" s="256"/>
      <c r="E681" s="257"/>
      <c r="F681" s="257"/>
      <c r="G681" s="258">
        <f t="shared" ca="1" si="11"/>
        <v>46069</v>
      </c>
      <c r="H681" s="256"/>
      <c r="I681" s="256"/>
      <c r="K681" s="256"/>
      <c r="L681" s="256"/>
      <c r="M681" s="256"/>
    </row>
    <row r="682" spans="1:13" ht="11.55" customHeight="1" x14ac:dyDescent="0.3">
      <c r="A682" s="256"/>
      <c r="B682" s="256"/>
      <c r="C682" s="256"/>
      <c r="D682" s="256"/>
      <c r="E682" s="257"/>
      <c r="F682" s="257"/>
      <c r="G682" s="258">
        <f t="shared" ca="1" si="11"/>
        <v>46069</v>
      </c>
      <c r="H682" s="256"/>
      <c r="I682" s="256"/>
      <c r="K682" s="256"/>
      <c r="L682" s="256"/>
      <c r="M682" s="256"/>
    </row>
    <row r="683" spans="1:13" ht="11.55" customHeight="1" x14ac:dyDescent="0.3">
      <c r="A683" s="259"/>
      <c r="B683" s="259"/>
      <c r="C683" s="259"/>
      <c r="D683" s="256"/>
      <c r="E683" s="260"/>
      <c r="F683" s="260"/>
      <c r="G683" s="258">
        <f t="shared" ca="1" si="11"/>
        <v>46069</v>
      </c>
      <c r="H683" s="256"/>
      <c r="I683" s="257"/>
      <c r="K683" s="256"/>
      <c r="L683" s="256"/>
      <c r="M683" s="256"/>
    </row>
    <row r="684" spans="1:13" ht="11.55" customHeight="1" x14ac:dyDescent="0.3">
      <c r="A684" s="256"/>
      <c r="B684" s="256"/>
      <c r="C684" s="256"/>
      <c r="D684" s="256"/>
      <c r="E684" s="257"/>
      <c r="F684" s="257"/>
      <c r="G684" s="258">
        <f t="shared" ca="1" si="11"/>
        <v>46069</v>
      </c>
      <c r="H684" s="256"/>
      <c r="I684" s="257"/>
      <c r="K684" s="256"/>
      <c r="L684" s="256"/>
      <c r="M684" s="256"/>
    </row>
    <row r="685" spans="1:13" ht="11.55" customHeight="1" x14ac:dyDescent="0.3">
      <c r="A685" s="256"/>
      <c r="B685" s="256"/>
      <c r="C685" s="256"/>
      <c r="D685" s="256"/>
      <c r="E685" s="257"/>
      <c r="F685" s="257"/>
      <c r="G685" s="258">
        <f t="shared" ca="1" si="11"/>
        <v>46069</v>
      </c>
      <c r="H685" s="256"/>
      <c r="I685" s="256"/>
      <c r="K685" s="256"/>
      <c r="L685" s="256"/>
      <c r="M685" s="256"/>
    </row>
    <row r="686" spans="1:13" ht="11.55" customHeight="1" x14ac:dyDescent="0.3">
      <c r="A686" s="256"/>
      <c r="B686" s="256"/>
      <c r="C686" s="256"/>
      <c r="D686" s="256"/>
      <c r="E686" s="257"/>
      <c r="F686" s="257"/>
      <c r="G686" s="258">
        <f t="shared" ca="1" si="11"/>
        <v>46069</v>
      </c>
      <c r="H686" s="256"/>
      <c r="I686" s="267"/>
      <c r="K686" s="256"/>
      <c r="L686" s="256"/>
      <c r="M686" s="256"/>
    </row>
    <row r="687" spans="1:13" ht="11.55" customHeight="1" x14ac:dyDescent="0.3">
      <c r="A687" s="256"/>
      <c r="B687" s="256"/>
      <c r="C687" s="256"/>
      <c r="D687" s="256"/>
      <c r="E687" s="257"/>
      <c r="F687" s="257"/>
      <c r="G687" s="258">
        <f t="shared" ca="1" si="11"/>
        <v>46069</v>
      </c>
      <c r="H687" s="256"/>
      <c r="I687" s="257"/>
      <c r="K687" s="256"/>
      <c r="L687" s="256"/>
      <c r="M687" s="256"/>
    </row>
    <row r="688" spans="1:13" ht="11.55" customHeight="1" x14ac:dyDescent="0.3">
      <c r="A688" s="256"/>
      <c r="B688" s="256"/>
      <c r="C688" s="256"/>
      <c r="D688" s="256"/>
      <c r="E688" s="257"/>
      <c r="F688" s="257"/>
      <c r="G688" s="258">
        <f t="shared" ca="1" si="11"/>
        <v>46069</v>
      </c>
      <c r="H688" s="256"/>
      <c r="I688" s="256"/>
      <c r="K688" s="256"/>
      <c r="L688" s="256"/>
      <c r="M688" s="256"/>
    </row>
    <row r="689" spans="1:13" ht="11.55" customHeight="1" x14ac:dyDescent="0.3">
      <c r="A689" s="268"/>
      <c r="B689" s="268"/>
      <c r="C689" s="268"/>
      <c r="D689" s="263"/>
      <c r="E689" s="269"/>
      <c r="F689" s="269"/>
      <c r="G689" s="258">
        <f t="shared" ca="1" si="11"/>
        <v>46069</v>
      </c>
      <c r="H689" s="263"/>
      <c r="I689" s="267"/>
      <c r="K689" s="263"/>
      <c r="L689" s="263"/>
      <c r="M689" s="263"/>
    </row>
    <row r="690" spans="1:13" ht="11.55" customHeight="1" x14ac:dyDescent="0.3">
      <c r="A690" s="256"/>
      <c r="B690" s="256"/>
      <c r="C690" s="256"/>
      <c r="D690" s="256"/>
      <c r="E690" s="257"/>
      <c r="F690" s="257"/>
      <c r="G690" s="258">
        <f t="shared" ca="1" si="11"/>
        <v>46069</v>
      </c>
      <c r="H690" s="256"/>
      <c r="I690" s="256"/>
      <c r="K690" s="256"/>
      <c r="L690" s="256"/>
      <c r="M690" s="256"/>
    </row>
    <row r="691" spans="1:13" ht="11.55" customHeight="1" x14ac:dyDescent="0.3">
      <c r="A691" s="256"/>
      <c r="B691" s="256"/>
      <c r="C691" s="256"/>
      <c r="D691" s="256"/>
      <c r="E691" s="257"/>
      <c r="F691" s="257"/>
      <c r="G691" s="258">
        <f t="shared" ca="1" si="11"/>
        <v>46069</v>
      </c>
      <c r="H691" s="256"/>
      <c r="I691" s="256"/>
      <c r="K691" s="256"/>
      <c r="L691" s="256"/>
      <c r="M691" s="256"/>
    </row>
    <row r="692" spans="1:13" ht="11.55" customHeight="1" x14ac:dyDescent="0.3">
      <c r="A692" s="256"/>
      <c r="B692" s="256"/>
      <c r="C692" s="256"/>
      <c r="D692" s="256"/>
      <c r="E692" s="257"/>
      <c r="F692" s="257"/>
      <c r="G692" s="258">
        <f t="shared" ca="1" si="11"/>
        <v>46069</v>
      </c>
      <c r="H692" s="256"/>
      <c r="I692" s="256"/>
      <c r="K692" s="256"/>
      <c r="L692" s="256"/>
      <c r="M692" s="256"/>
    </row>
    <row r="693" spans="1:13" ht="11.55" customHeight="1" x14ac:dyDescent="0.3">
      <c r="A693" s="256"/>
      <c r="B693" s="256"/>
      <c r="C693" s="256"/>
      <c r="D693" s="256"/>
      <c r="E693" s="257"/>
      <c r="F693" s="257"/>
      <c r="G693" s="258">
        <f t="shared" ca="1" si="11"/>
        <v>46069</v>
      </c>
      <c r="H693" s="256"/>
      <c r="I693" s="256"/>
      <c r="K693" s="256"/>
      <c r="L693" s="256"/>
      <c r="M693" s="256"/>
    </row>
    <row r="694" spans="1:13" ht="11.55" customHeight="1" x14ac:dyDescent="0.3">
      <c r="A694" s="256"/>
      <c r="B694" s="256"/>
      <c r="C694" s="256"/>
      <c r="D694" s="256"/>
      <c r="E694" s="257"/>
      <c r="F694" s="257"/>
      <c r="G694" s="258">
        <f t="shared" ca="1" si="11"/>
        <v>46069</v>
      </c>
      <c r="H694" s="256"/>
      <c r="I694" s="256"/>
      <c r="K694" s="256"/>
      <c r="L694" s="256"/>
      <c r="M694" s="256"/>
    </row>
    <row r="695" spans="1:13" ht="11.55" customHeight="1" x14ac:dyDescent="0.3">
      <c r="A695" s="268"/>
      <c r="B695" s="268"/>
      <c r="C695" s="256"/>
      <c r="D695" s="263"/>
      <c r="E695" s="269"/>
      <c r="F695" s="269"/>
      <c r="G695" s="258">
        <f t="shared" ca="1" si="11"/>
        <v>46069</v>
      </c>
      <c r="H695" s="263"/>
      <c r="I695" s="267"/>
      <c r="K695" s="263"/>
      <c r="L695" s="263"/>
      <c r="M695" s="263"/>
    </row>
    <row r="696" spans="1:13" ht="11.55" customHeight="1" x14ac:dyDescent="0.3">
      <c r="A696" s="256"/>
      <c r="B696" s="256"/>
      <c r="C696" s="268"/>
      <c r="D696" s="256"/>
      <c r="E696" s="257"/>
      <c r="F696" s="257"/>
      <c r="G696" s="258">
        <f t="shared" ca="1" si="11"/>
        <v>46069</v>
      </c>
      <c r="H696" s="256"/>
      <c r="I696" s="257"/>
      <c r="K696" s="256"/>
      <c r="L696" s="256"/>
      <c r="M696" s="256"/>
    </row>
    <row r="697" spans="1:13" ht="11.55" customHeight="1" x14ac:dyDescent="0.3">
      <c r="A697" s="256"/>
      <c r="B697" s="256"/>
      <c r="C697" s="256"/>
      <c r="D697" s="256"/>
      <c r="E697" s="257"/>
      <c r="F697" s="257"/>
      <c r="G697" s="258">
        <f t="shared" ca="1" si="11"/>
        <v>46069</v>
      </c>
      <c r="H697" s="256"/>
      <c r="I697" s="256"/>
      <c r="K697" s="256"/>
      <c r="L697" s="256"/>
      <c r="M697" s="256"/>
    </row>
    <row r="698" spans="1:13" ht="11.55" customHeight="1" x14ac:dyDescent="0.3">
      <c r="A698" s="256"/>
      <c r="B698" s="256"/>
      <c r="C698" s="256"/>
      <c r="D698" s="256"/>
      <c r="E698" s="257"/>
      <c r="F698" s="257"/>
      <c r="G698" s="258">
        <f t="shared" ca="1" si="11"/>
        <v>46069</v>
      </c>
      <c r="H698" s="256"/>
      <c r="I698" s="256"/>
      <c r="K698" s="256"/>
      <c r="L698" s="256"/>
      <c r="M698" s="256"/>
    </row>
    <row r="699" spans="1:13" ht="11.55" customHeight="1" x14ac:dyDescent="0.3">
      <c r="A699" s="268"/>
      <c r="B699" s="268"/>
      <c r="C699" s="256"/>
      <c r="D699" s="263"/>
      <c r="E699" s="269"/>
      <c r="F699" s="269"/>
      <c r="G699" s="258">
        <f t="shared" ca="1" si="11"/>
        <v>46069</v>
      </c>
      <c r="H699" s="256"/>
      <c r="I699" s="256"/>
      <c r="K699" s="263"/>
      <c r="L699" s="256"/>
      <c r="M699" s="256"/>
    </row>
    <row r="700" spans="1:13" ht="11.55" customHeight="1" x14ac:dyDescent="0.3">
      <c r="A700" s="256"/>
      <c r="B700" s="256"/>
      <c r="C700" s="256"/>
      <c r="D700" s="256"/>
      <c r="E700" s="257"/>
      <c r="F700" s="257"/>
      <c r="G700" s="258">
        <f t="shared" ca="1" si="11"/>
        <v>46069</v>
      </c>
      <c r="H700" s="256"/>
      <c r="I700" s="256"/>
      <c r="K700" s="256"/>
      <c r="L700" s="256"/>
      <c r="M700" s="256"/>
    </row>
    <row r="701" spans="1:13" ht="11.55" customHeight="1" x14ac:dyDescent="0.3">
      <c r="A701" s="256"/>
      <c r="B701" s="256"/>
      <c r="C701" s="256"/>
      <c r="D701" s="256"/>
      <c r="E701" s="257"/>
      <c r="F701" s="257"/>
      <c r="G701" s="258">
        <f t="shared" ca="1" si="11"/>
        <v>46069</v>
      </c>
      <c r="H701" s="256"/>
      <c r="I701" s="257"/>
      <c r="K701" s="256"/>
      <c r="L701" s="256"/>
      <c r="M701" s="256"/>
    </row>
    <row r="702" spans="1:13" ht="11.55" customHeight="1" x14ac:dyDescent="0.3">
      <c r="A702" s="256"/>
      <c r="B702" s="256"/>
      <c r="C702" s="256"/>
      <c r="D702" s="256"/>
      <c r="E702" s="257"/>
      <c r="F702" s="257"/>
      <c r="G702" s="258">
        <f t="shared" ca="1" si="11"/>
        <v>46069</v>
      </c>
      <c r="H702" s="256"/>
      <c r="I702" s="256"/>
      <c r="K702" s="256"/>
      <c r="L702" s="256"/>
      <c r="M702" s="256"/>
    </row>
    <row r="703" spans="1:13" ht="11.55" customHeight="1" x14ac:dyDescent="0.3">
      <c r="A703" s="256"/>
      <c r="B703" s="256"/>
      <c r="C703" s="256"/>
      <c r="D703" s="256"/>
      <c r="E703" s="257"/>
      <c r="F703" s="257"/>
      <c r="G703" s="258">
        <f t="shared" ca="1" si="11"/>
        <v>46069</v>
      </c>
      <c r="H703" s="256"/>
      <c r="I703" s="256"/>
      <c r="K703" s="256"/>
      <c r="L703" s="256"/>
      <c r="M703" s="256"/>
    </row>
    <row r="704" spans="1:13" ht="11.55" customHeight="1" x14ac:dyDescent="0.3">
      <c r="A704" s="256"/>
      <c r="B704" s="256"/>
      <c r="C704" s="256"/>
      <c r="D704" s="256"/>
      <c r="E704" s="257"/>
      <c r="F704" s="257"/>
      <c r="G704" s="258">
        <f t="shared" ca="1" si="11"/>
        <v>46069</v>
      </c>
      <c r="H704" s="256"/>
      <c r="I704" s="256"/>
      <c r="K704" s="256"/>
      <c r="L704" s="256"/>
      <c r="M704" s="256"/>
    </row>
    <row r="705" spans="1:13" ht="11.55" customHeight="1" x14ac:dyDescent="0.3">
      <c r="A705" s="256"/>
      <c r="B705" s="256"/>
      <c r="C705" s="259"/>
      <c r="D705" s="256"/>
      <c r="E705" s="257"/>
      <c r="F705" s="257"/>
      <c r="G705" s="258">
        <f t="shared" ca="1" si="11"/>
        <v>46069</v>
      </c>
      <c r="H705" s="256"/>
      <c r="I705" s="256"/>
      <c r="K705" s="256"/>
      <c r="L705" s="256"/>
      <c r="M705" s="256"/>
    </row>
    <row r="706" spans="1:13" ht="11.55" customHeight="1" x14ac:dyDescent="0.3">
      <c r="A706" s="262"/>
      <c r="B706" s="262"/>
      <c r="C706" s="262"/>
      <c r="D706" s="263"/>
      <c r="E706" s="264"/>
      <c r="F706" s="264"/>
      <c r="G706" s="258">
        <f t="shared" ca="1" si="11"/>
        <v>46069</v>
      </c>
      <c r="H706" s="263"/>
      <c r="I706" s="257"/>
      <c r="K706" s="263"/>
      <c r="L706" s="263"/>
      <c r="M706" s="263"/>
    </row>
    <row r="707" spans="1:13" ht="11.55" customHeight="1" x14ac:dyDescent="0.3">
      <c r="A707" s="256"/>
      <c r="B707" s="256"/>
      <c r="C707" s="256"/>
      <c r="D707" s="256"/>
      <c r="E707" s="257"/>
      <c r="F707" s="257"/>
      <c r="G707" s="258">
        <f t="shared" ca="1" si="11"/>
        <v>46069</v>
      </c>
      <c r="H707" s="256"/>
      <c r="I707" s="256"/>
      <c r="K707" s="256"/>
      <c r="L707" s="256"/>
      <c r="M707" s="256"/>
    </row>
    <row r="708" spans="1:13" ht="11.55" customHeight="1" x14ac:dyDescent="0.3">
      <c r="A708" s="256"/>
      <c r="B708" s="256"/>
      <c r="C708" s="256"/>
      <c r="D708" s="256"/>
      <c r="E708" s="257"/>
      <c r="F708" s="257"/>
      <c r="G708" s="258">
        <f t="shared" ca="1" si="11"/>
        <v>46069</v>
      </c>
      <c r="H708" s="256"/>
      <c r="I708" s="256"/>
      <c r="K708" s="256"/>
      <c r="L708" s="256"/>
      <c r="M708" s="256"/>
    </row>
    <row r="709" spans="1:13" ht="11.55" customHeight="1" x14ac:dyDescent="0.3">
      <c r="A709" s="259"/>
      <c r="B709" s="259"/>
      <c r="C709" s="256"/>
      <c r="D709" s="256"/>
      <c r="E709" s="260"/>
      <c r="F709" s="260"/>
      <c r="G709" s="258">
        <f t="shared" ca="1" si="11"/>
        <v>46069</v>
      </c>
      <c r="H709" s="263"/>
      <c r="I709" s="257"/>
      <c r="K709" s="256"/>
      <c r="L709" s="256"/>
      <c r="M709" s="256"/>
    </row>
    <row r="710" spans="1:13" ht="11.55" customHeight="1" x14ac:dyDescent="0.3">
      <c r="A710" s="256"/>
      <c r="B710" s="256"/>
      <c r="C710" s="256"/>
      <c r="D710" s="256"/>
      <c r="E710" s="257"/>
      <c r="F710" s="257"/>
      <c r="G710" s="258">
        <f t="shared" ca="1" si="11"/>
        <v>46069</v>
      </c>
      <c r="H710" s="256"/>
      <c r="I710" s="256"/>
      <c r="K710" s="256"/>
      <c r="L710" s="256"/>
      <c r="M710" s="256"/>
    </row>
    <row r="711" spans="1:13" ht="11.55" customHeight="1" x14ac:dyDescent="0.3">
      <c r="A711" s="256"/>
      <c r="B711" s="256"/>
      <c r="C711" s="256"/>
      <c r="D711" s="256"/>
      <c r="E711" s="257"/>
      <c r="F711" s="257"/>
      <c r="G711" s="258">
        <f t="shared" ca="1" si="11"/>
        <v>46069</v>
      </c>
      <c r="H711" s="256"/>
      <c r="I711" s="256"/>
      <c r="K711" s="256"/>
      <c r="L711" s="256"/>
      <c r="M711" s="256"/>
    </row>
    <row r="712" spans="1:13" ht="11.55" customHeight="1" x14ac:dyDescent="0.3">
      <c r="A712" s="256"/>
      <c r="B712" s="256"/>
      <c r="C712" s="256"/>
      <c r="D712" s="256"/>
      <c r="E712" s="257"/>
      <c r="F712" s="257"/>
      <c r="G712" s="258">
        <f t="shared" ca="1" si="11"/>
        <v>46069</v>
      </c>
      <c r="H712" s="256"/>
      <c r="I712" s="256"/>
      <c r="K712" s="256"/>
      <c r="L712" s="256"/>
      <c r="M712" s="256"/>
    </row>
    <row r="713" spans="1:13" ht="11.55" customHeight="1" x14ac:dyDescent="0.3">
      <c r="A713" s="256"/>
      <c r="B713" s="256"/>
      <c r="C713" s="256"/>
      <c r="D713" s="256"/>
      <c r="E713" s="257"/>
      <c r="F713" s="257"/>
      <c r="G713" s="258">
        <f t="shared" ca="1" si="11"/>
        <v>46069</v>
      </c>
      <c r="H713" s="256"/>
      <c r="I713" s="257"/>
      <c r="K713" s="256"/>
      <c r="L713" s="256"/>
      <c r="M713" s="256"/>
    </row>
    <row r="714" spans="1:13" ht="11.55" customHeight="1" x14ac:dyDescent="0.3">
      <c r="A714" s="256"/>
      <c r="B714" s="256"/>
      <c r="C714" s="256"/>
      <c r="D714" s="256"/>
      <c r="E714" s="257"/>
      <c r="F714" s="257"/>
      <c r="G714" s="258">
        <f t="shared" ca="1" si="11"/>
        <v>46069</v>
      </c>
      <c r="H714" s="256"/>
      <c r="I714" s="257"/>
      <c r="K714" s="256"/>
      <c r="L714" s="256"/>
      <c r="M714" s="256"/>
    </row>
    <row r="715" spans="1:13" ht="11.55" customHeight="1" x14ac:dyDescent="0.3">
      <c r="A715" s="268"/>
      <c r="B715" s="268"/>
      <c r="C715" s="268"/>
      <c r="D715" s="263"/>
      <c r="E715" s="269"/>
      <c r="F715" s="269"/>
      <c r="G715" s="258">
        <f t="shared" ca="1" si="11"/>
        <v>46069</v>
      </c>
      <c r="H715" s="263"/>
      <c r="I715" s="257"/>
      <c r="K715" s="263"/>
      <c r="L715" s="263"/>
      <c r="M715" s="263"/>
    </row>
    <row r="716" spans="1:13" ht="11.55" customHeight="1" x14ac:dyDescent="0.3">
      <c r="A716" s="259"/>
      <c r="B716" s="259"/>
      <c r="C716" s="256"/>
      <c r="D716" s="256"/>
      <c r="E716" s="260"/>
      <c r="F716" s="260"/>
      <c r="G716" s="258">
        <f t="shared" ca="1" si="11"/>
        <v>46069</v>
      </c>
      <c r="H716" s="263"/>
      <c r="I716" s="257"/>
      <c r="K716" s="256"/>
      <c r="L716" s="256"/>
      <c r="M716" s="256"/>
    </row>
    <row r="717" spans="1:13" ht="11.55" customHeight="1" x14ac:dyDescent="0.3">
      <c r="A717" s="256"/>
      <c r="B717" s="256"/>
      <c r="C717" s="268"/>
      <c r="D717" s="256"/>
      <c r="E717" s="257"/>
      <c r="F717" s="257"/>
      <c r="G717" s="258">
        <f t="shared" ca="1" si="11"/>
        <v>46069</v>
      </c>
      <c r="H717" s="256"/>
      <c r="I717" s="257"/>
      <c r="K717" s="256"/>
      <c r="L717" s="256"/>
      <c r="M717" s="256"/>
    </row>
    <row r="718" spans="1:13" ht="11.55" customHeight="1" x14ac:dyDescent="0.3">
      <c r="A718" s="256"/>
      <c r="B718" s="256"/>
      <c r="C718" s="256"/>
      <c r="D718" s="256"/>
      <c r="E718" s="257"/>
      <c r="F718" s="257"/>
      <c r="G718" s="258">
        <f t="shared" ca="1" si="11"/>
        <v>46069</v>
      </c>
      <c r="H718" s="256"/>
      <c r="I718" s="256"/>
      <c r="K718" s="256"/>
      <c r="L718" s="256"/>
      <c r="M718" s="256"/>
    </row>
    <row r="719" spans="1:13" ht="11.55" customHeight="1" x14ac:dyDescent="0.3">
      <c r="A719" s="256"/>
      <c r="B719" s="256"/>
      <c r="C719" s="256"/>
      <c r="D719" s="256"/>
      <c r="E719" s="257"/>
      <c r="F719" s="257"/>
      <c r="G719" s="258">
        <f t="shared" ca="1" si="11"/>
        <v>46069</v>
      </c>
      <c r="H719" s="256"/>
      <c r="I719" s="256"/>
      <c r="K719" s="256"/>
      <c r="L719" s="256"/>
      <c r="M719" s="256"/>
    </row>
    <row r="720" spans="1:13" ht="11.55" customHeight="1" x14ac:dyDescent="0.3">
      <c r="A720" s="272"/>
      <c r="B720" s="272"/>
      <c r="C720" s="256"/>
      <c r="D720" s="256"/>
      <c r="E720" s="273"/>
      <c r="F720" s="273"/>
      <c r="G720" s="258">
        <f t="shared" ca="1" si="11"/>
        <v>46069</v>
      </c>
      <c r="H720" s="256"/>
      <c r="I720" s="257"/>
      <c r="K720" s="256"/>
      <c r="L720" s="256"/>
      <c r="M720" s="256"/>
    </row>
    <row r="721" spans="1:13" ht="11.55" customHeight="1" x14ac:dyDescent="0.3">
      <c r="A721" s="256"/>
      <c r="B721" s="256"/>
      <c r="C721" s="256"/>
      <c r="D721" s="256"/>
      <c r="E721" s="257"/>
      <c r="F721" s="257"/>
      <c r="G721" s="258">
        <f t="shared" ca="1" si="11"/>
        <v>46069</v>
      </c>
      <c r="H721" s="256"/>
      <c r="I721" s="256"/>
      <c r="K721" s="256"/>
      <c r="L721" s="256"/>
      <c r="M721" s="256"/>
    </row>
    <row r="722" spans="1:13" ht="11.55" customHeight="1" x14ac:dyDescent="0.3">
      <c r="A722" s="256"/>
      <c r="B722" s="256"/>
      <c r="C722" s="256"/>
      <c r="D722" s="256"/>
      <c r="E722" s="257"/>
      <c r="F722" s="257"/>
      <c r="G722" s="258">
        <f t="shared" ca="1" si="11"/>
        <v>46069</v>
      </c>
      <c r="H722" s="256"/>
      <c r="I722" s="257"/>
      <c r="K722" s="256"/>
      <c r="L722" s="256"/>
      <c r="M722" s="256"/>
    </row>
    <row r="723" spans="1:13" ht="11.55" customHeight="1" x14ac:dyDescent="0.3">
      <c r="A723" s="256"/>
      <c r="B723" s="256"/>
      <c r="C723" s="256"/>
      <c r="D723" s="256"/>
      <c r="E723" s="257"/>
      <c r="F723" s="257"/>
      <c r="G723" s="258">
        <f t="shared" ca="1" si="11"/>
        <v>46069</v>
      </c>
      <c r="H723" s="256"/>
      <c r="I723" s="256"/>
      <c r="K723" s="256"/>
      <c r="L723" s="256"/>
      <c r="M723" s="256"/>
    </row>
    <row r="724" spans="1:13" ht="11.55" customHeight="1" x14ac:dyDescent="0.3">
      <c r="A724" s="256"/>
      <c r="B724" s="256"/>
      <c r="C724" s="256"/>
      <c r="D724" s="256"/>
      <c r="E724" s="257"/>
      <c r="F724" s="257"/>
      <c r="G724" s="258">
        <f t="shared" ca="1" si="11"/>
        <v>46069</v>
      </c>
      <c r="H724" s="256"/>
      <c r="I724" s="256"/>
      <c r="K724" s="256"/>
      <c r="L724" s="256"/>
      <c r="M724" s="256"/>
    </row>
    <row r="725" spans="1:13" ht="11.55" customHeight="1" x14ac:dyDescent="0.3">
      <c r="A725" s="256"/>
      <c r="B725" s="256"/>
      <c r="C725" s="256"/>
      <c r="D725" s="256"/>
      <c r="E725" s="257"/>
      <c r="F725" s="257"/>
      <c r="G725" s="258">
        <f t="shared" ca="1" si="11"/>
        <v>46069</v>
      </c>
      <c r="H725" s="256"/>
      <c r="I725" s="256"/>
      <c r="K725" s="256"/>
      <c r="L725" s="256"/>
      <c r="M725" s="256"/>
    </row>
    <row r="726" spans="1:13" ht="11.55" customHeight="1" x14ac:dyDescent="0.3">
      <c r="A726" s="256"/>
      <c r="B726" s="256"/>
      <c r="C726" s="256"/>
      <c r="D726" s="256"/>
      <c r="E726" s="257"/>
      <c r="F726" s="257"/>
      <c r="G726" s="258">
        <f t="shared" ca="1" si="11"/>
        <v>46069</v>
      </c>
      <c r="H726" s="256"/>
      <c r="I726" s="256"/>
      <c r="K726" s="256"/>
      <c r="L726" s="256"/>
      <c r="M726" s="256"/>
    </row>
    <row r="727" spans="1:13" ht="11.55" customHeight="1" x14ac:dyDescent="0.3">
      <c r="A727" s="256"/>
      <c r="B727" s="256"/>
      <c r="C727" s="256"/>
      <c r="D727" s="256"/>
      <c r="E727" s="257"/>
      <c r="F727" s="257"/>
      <c r="G727" s="258">
        <f t="shared" ca="1" si="11"/>
        <v>46069</v>
      </c>
      <c r="H727" s="256"/>
      <c r="I727" s="256"/>
      <c r="K727" s="256"/>
      <c r="L727" s="256"/>
      <c r="M727" s="256"/>
    </row>
    <row r="728" spans="1:13" ht="11.55" customHeight="1" x14ac:dyDescent="0.3">
      <c r="A728" s="256"/>
      <c r="B728" s="256"/>
      <c r="C728" s="256"/>
      <c r="D728" s="256"/>
      <c r="E728" s="257"/>
      <c r="F728" s="257"/>
      <c r="G728" s="258">
        <f t="shared" ca="1" si="11"/>
        <v>46069</v>
      </c>
      <c r="H728" s="256"/>
      <c r="I728" s="256"/>
      <c r="K728" s="256"/>
      <c r="L728" s="256"/>
      <c r="M728" s="256"/>
    </row>
    <row r="729" spans="1:13" ht="11.55" customHeight="1" x14ac:dyDescent="0.3">
      <c r="A729" s="259"/>
      <c r="B729" s="259"/>
      <c r="C729" s="259"/>
      <c r="D729" s="256"/>
      <c r="E729" s="260"/>
      <c r="F729" s="260"/>
      <c r="G729" s="258">
        <f t="shared" ca="1" si="11"/>
        <v>46069</v>
      </c>
      <c r="H729" s="256"/>
      <c r="I729" s="256"/>
      <c r="K729" s="256"/>
      <c r="L729" s="256"/>
      <c r="M729" s="256"/>
    </row>
    <row r="730" spans="1:13" ht="11.55" customHeight="1" x14ac:dyDescent="0.3">
      <c r="A730" s="256"/>
      <c r="B730" s="256"/>
      <c r="C730" s="256"/>
      <c r="D730" s="256"/>
      <c r="E730" s="257"/>
      <c r="F730" s="257"/>
      <c r="G730" s="258">
        <f t="shared" ca="1" si="11"/>
        <v>46069</v>
      </c>
      <c r="H730" s="256"/>
      <c r="I730" s="256"/>
      <c r="K730" s="256"/>
      <c r="L730" s="256"/>
      <c r="M730" s="256"/>
    </row>
    <row r="731" spans="1:13" ht="11.55" customHeight="1" x14ac:dyDescent="0.3">
      <c r="A731" s="256"/>
      <c r="B731" s="256"/>
      <c r="C731" s="259"/>
      <c r="D731" s="256"/>
      <c r="E731" s="257"/>
      <c r="F731" s="257"/>
      <c r="G731" s="258">
        <f t="shared" ca="1" si="11"/>
        <v>46069</v>
      </c>
      <c r="H731" s="256"/>
      <c r="I731" s="267"/>
      <c r="K731" s="256"/>
      <c r="L731" s="263"/>
      <c r="M731" s="263"/>
    </row>
    <row r="732" spans="1:13" ht="11.55" customHeight="1" x14ac:dyDescent="0.3">
      <c r="A732" s="256"/>
      <c r="B732" s="256"/>
      <c r="C732" s="256"/>
      <c r="D732" s="256"/>
      <c r="E732" s="257"/>
      <c r="F732" s="257"/>
      <c r="G732" s="258">
        <f t="shared" ca="1" si="11"/>
        <v>46069</v>
      </c>
      <c r="H732" s="256"/>
      <c r="I732" s="256"/>
      <c r="K732" s="256"/>
      <c r="L732" s="256"/>
      <c r="M732" s="256"/>
    </row>
    <row r="733" spans="1:13" ht="11.55" customHeight="1" x14ac:dyDescent="0.3">
      <c r="A733" s="259"/>
      <c r="B733" s="259"/>
      <c r="C733" s="256"/>
      <c r="D733" s="256"/>
      <c r="E733" s="260"/>
      <c r="F733" s="260"/>
      <c r="G733" s="258">
        <f t="shared" ca="1" si="11"/>
        <v>46069</v>
      </c>
      <c r="H733" s="256"/>
      <c r="I733" s="257"/>
      <c r="K733" s="256"/>
      <c r="L733" s="256"/>
      <c r="M733" s="256"/>
    </row>
    <row r="734" spans="1:13" ht="11.55" customHeight="1" x14ac:dyDescent="0.3">
      <c r="A734" s="256"/>
      <c r="B734" s="256"/>
      <c r="C734" s="256"/>
      <c r="D734" s="256"/>
      <c r="E734" s="257"/>
      <c r="F734" s="257"/>
      <c r="G734" s="258">
        <f t="shared" ca="1" si="11"/>
        <v>46069</v>
      </c>
      <c r="H734" s="256"/>
      <c r="I734" s="256"/>
      <c r="K734" s="256"/>
      <c r="L734" s="256"/>
      <c r="M734" s="256"/>
    </row>
    <row r="735" spans="1:13" ht="11.55" customHeight="1" x14ac:dyDescent="0.3">
      <c r="A735" s="262"/>
      <c r="B735" s="262"/>
      <c r="C735" s="262"/>
      <c r="D735" s="263"/>
      <c r="E735" s="264"/>
      <c r="F735" s="264"/>
      <c r="G735" s="258">
        <f t="shared" ca="1" si="11"/>
        <v>46069</v>
      </c>
      <c r="H735" s="263"/>
      <c r="I735" s="267"/>
      <c r="K735" s="263"/>
      <c r="L735" s="263"/>
      <c r="M735" s="263"/>
    </row>
    <row r="736" spans="1:13" ht="11.55" customHeight="1" x14ac:dyDescent="0.3">
      <c r="A736" s="259"/>
      <c r="B736" s="259"/>
      <c r="C736" s="256"/>
      <c r="D736" s="256"/>
      <c r="E736" s="260"/>
      <c r="F736" s="260"/>
      <c r="G736" s="258">
        <f t="shared" ca="1" si="11"/>
        <v>46069</v>
      </c>
      <c r="H736" s="256"/>
      <c r="I736" s="267"/>
      <c r="K736" s="256"/>
      <c r="L736" s="256"/>
      <c r="M736" s="256"/>
    </row>
    <row r="737" spans="1:13" ht="11.55" customHeight="1" x14ac:dyDescent="0.3">
      <c r="A737" s="256"/>
      <c r="B737" s="256"/>
      <c r="C737" s="256"/>
      <c r="D737" s="256"/>
      <c r="E737" s="257"/>
      <c r="F737" s="257"/>
      <c r="G737" s="258">
        <f t="shared" ca="1" si="11"/>
        <v>46069</v>
      </c>
      <c r="H737" s="256"/>
      <c r="I737" s="257"/>
      <c r="K737" s="256"/>
      <c r="L737" s="256"/>
      <c r="M737" s="256"/>
    </row>
    <row r="738" spans="1:13" ht="11.55" customHeight="1" x14ac:dyDescent="0.3">
      <c r="A738" s="256"/>
      <c r="B738" s="256"/>
      <c r="C738" s="256"/>
      <c r="D738" s="256"/>
      <c r="E738" s="257"/>
      <c r="F738" s="257"/>
      <c r="G738" s="258">
        <f t="shared" ca="1" si="11"/>
        <v>46069</v>
      </c>
      <c r="H738" s="256"/>
      <c r="I738" s="256"/>
      <c r="K738" s="256"/>
      <c r="L738" s="256"/>
      <c r="M738" s="256"/>
    </row>
    <row r="739" spans="1:13" ht="11.55" customHeight="1" x14ac:dyDescent="0.3">
      <c r="A739" s="256"/>
      <c r="B739" s="256"/>
      <c r="C739" s="256"/>
      <c r="D739" s="256"/>
      <c r="E739" s="257"/>
      <c r="F739" s="257"/>
      <c r="G739" s="258">
        <f t="shared" ca="1" si="11"/>
        <v>46069</v>
      </c>
      <c r="H739" s="256"/>
      <c r="I739" s="256"/>
      <c r="K739" s="256"/>
      <c r="L739" s="256"/>
      <c r="M739" s="256"/>
    </row>
    <row r="740" spans="1:13" ht="11.55" customHeight="1" x14ac:dyDescent="0.3">
      <c r="A740" s="256"/>
      <c r="B740" s="256"/>
      <c r="C740" s="259"/>
      <c r="D740" s="256"/>
      <c r="E740" s="257"/>
      <c r="F740" s="257"/>
      <c r="G740" s="258">
        <f t="shared" ca="1" si="11"/>
        <v>46069</v>
      </c>
      <c r="H740" s="256"/>
      <c r="I740" s="257"/>
      <c r="K740" s="256"/>
      <c r="L740" s="256"/>
      <c r="M740" s="256"/>
    </row>
    <row r="741" spans="1:13" ht="11.55" customHeight="1" x14ac:dyDescent="0.3">
      <c r="A741" s="256"/>
      <c r="B741" s="256"/>
      <c r="C741" s="256"/>
      <c r="D741" s="256"/>
      <c r="E741" s="257"/>
      <c r="F741" s="257"/>
      <c r="G741" s="258">
        <f t="shared" ref="G741:G804" ca="1" si="12">TODAY()-E741</f>
        <v>46069</v>
      </c>
      <c r="H741" s="263"/>
      <c r="I741" s="257"/>
      <c r="K741" s="256"/>
      <c r="L741" s="256"/>
      <c r="M741" s="256"/>
    </row>
    <row r="742" spans="1:13" ht="11.55" customHeight="1" x14ac:dyDescent="0.3">
      <c r="A742" s="256"/>
      <c r="B742" s="256"/>
      <c r="C742" s="256"/>
      <c r="D742" s="256"/>
      <c r="E742" s="257"/>
      <c r="F742" s="257"/>
      <c r="G742" s="258">
        <f t="shared" ca="1" si="12"/>
        <v>46069</v>
      </c>
      <c r="H742" s="256"/>
      <c r="I742" s="256"/>
      <c r="K742" s="256"/>
      <c r="L742" s="256"/>
      <c r="M742" s="256"/>
    </row>
    <row r="743" spans="1:13" ht="11.55" customHeight="1" x14ac:dyDescent="0.3">
      <c r="A743" s="256"/>
      <c r="B743" s="256"/>
      <c r="C743" s="256"/>
      <c r="D743" s="256"/>
      <c r="E743" s="257"/>
      <c r="F743" s="257"/>
      <c r="G743" s="258">
        <f t="shared" ca="1" si="12"/>
        <v>46069</v>
      </c>
      <c r="H743" s="256"/>
      <c r="I743" s="256"/>
      <c r="K743" s="256"/>
      <c r="L743" s="256"/>
      <c r="M743" s="256"/>
    </row>
    <row r="744" spans="1:13" ht="11.55" customHeight="1" x14ac:dyDescent="0.3">
      <c r="A744" s="256"/>
      <c r="B744" s="256"/>
      <c r="C744" s="256"/>
      <c r="D744" s="256"/>
      <c r="E744" s="256"/>
      <c r="F744" s="256"/>
      <c r="G744" s="258">
        <f t="shared" ca="1" si="12"/>
        <v>46069</v>
      </c>
      <c r="H744" s="256"/>
      <c r="I744" s="256"/>
      <c r="K744" s="256"/>
      <c r="L744" s="256"/>
      <c r="M744" s="256"/>
    </row>
    <row r="745" spans="1:13" ht="11.55" customHeight="1" x14ac:dyDescent="0.3">
      <c r="A745" s="256"/>
      <c r="B745" s="256"/>
      <c r="C745" s="256"/>
      <c r="D745" s="256"/>
      <c r="E745" s="257"/>
      <c r="F745" s="257"/>
      <c r="G745" s="258">
        <f t="shared" ca="1" si="12"/>
        <v>46069</v>
      </c>
      <c r="H745" s="256"/>
      <c r="I745" s="256"/>
      <c r="K745" s="256"/>
      <c r="L745" s="256"/>
      <c r="M745" s="256"/>
    </row>
    <row r="746" spans="1:13" ht="11.55" customHeight="1" x14ac:dyDescent="0.3">
      <c r="A746" s="270"/>
      <c r="B746" s="270"/>
      <c r="C746" s="256"/>
      <c r="D746" s="256"/>
      <c r="E746" s="271"/>
      <c r="F746" s="271"/>
      <c r="G746" s="258">
        <f t="shared" ca="1" si="12"/>
        <v>46069</v>
      </c>
      <c r="H746" s="256"/>
      <c r="I746" s="257"/>
      <c r="K746" s="256"/>
      <c r="L746" s="256"/>
      <c r="M746" s="256"/>
    </row>
    <row r="747" spans="1:13" ht="11.55" customHeight="1" x14ac:dyDescent="0.3">
      <c r="A747" s="256"/>
      <c r="B747" s="256"/>
      <c r="C747" s="256"/>
      <c r="D747" s="256"/>
      <c r="E747" s="257"/>
      <c r="F747" s="257"/>
      <c r="G747" s="258">
        <f t="shared" ca="1" si="12"/>
        <v>46069</v>
      </c>
      <c r="H747" s="256"/>
      <c r="I747" s="256"/>
      <c r="K747" s="256"/>
      <c r="L747" s="256"/>
      <c r="M747" s="256"/>
    </row>
    <row r="748" spans="1:13" ht="11.55" customHeight="1" x14ac:dyDescent="0.3">
      <c r="A748" s="256"/>
      <c r="B748" s="256"/>
      <c r="C748" s="256"/>
      <c r="D748" s="256"/>
      <c r="E748" s="257"/>
      <c r="F748" s="257"/>
      <c r="G748" s="258">
        <f t="shared" ca="1" si="12"/>
        <v>46069</v>
      </c>
      <c r="H748" s="256"/>
      <c r="I748" s="256"/>
      <c r="K748" s="256"/>
      <c r="L748" s="256"/>
      <c r="M748" s="256"/>
    </row>
    <row r="749" spans="1:13" ht="11.55" customHeight="1" x14ac:dyDescent="0.3">
      <c r="A749" s="256"/>
      <c r="B749" s="256"/>
      <c r="C749" s="256"/>
      <c r="D749" s="256"/>
      <c r="E749" s="257"/>
      <c r="F749" s="257"/>
      <c r="G749" s="258">
        <f t="shared" ca="1" si="12"/>
        <v>46069</v>
      </c>
      <c r="H749" s="256"/>
      <c r="I749" s="256"/>
      <c r="K749" s="256"/>
      <c r="L749" s="256"/>
      <c r="M749" s="256"/>
    </row>
    <row r="750" spans="1:13" ht="11.55" customHeight="1" x14ac:dyDescent="0.3">
      <c r="A750" s="256"/>
      <c r="B750" s="256"/>
      <c r="C750" s="256"/>
      <c r="D750" s="256"/>
      <c r="E750" s="257"/>
      <c r="F750" s="257"/>
      <c r="G750" s="258">
        <f t="shared" ca="1" si="12"/>
        <v>46069</v>
      </c>
      <c r="H750" s="256"/>
      <c r="I750" s="256"/>
      <c r="K750" s="256"/>
      <c r="L750" s="256"/>
      <c r="M750" s="256"/>
    </row>
    <row r="751" spans="1:13" ht="11.55" customHeight="1" x14ac:dyDescent="0.3">
      <c r="A751" s="256"/>
      <c r="B751" s="256"/>
      <c r="C751" s="256"/>
      <c r="D751" s="256"/>
      <c r="E751" s="257"/>
      <c r="F751" s="257"/>
      <c r="G751" s="258">
        <f t="shared" ca="1" si="12"/>
        <v>46069</v>
      </c>
      <c r="H751" s="256"/>
      <c r="I751" s="256"/>
      <c r="K751" s="256"/>
      <c r="L751" s="256"/>
      <c r="M751" s="256"/>
    </row>
    <row r="752" spans="1:13" ht="11.55" customHeight="1" x14ac:dyDescent="0.3">
      <c r="A752" s="268"/>
      <c r="B752" s="268"/>
      <c r="C752" s="268"/>
      <c r="D752" s="263"/>
      <c r="E752" s="269"/>
      <c r="F752" s="269"/>
      <c r="G752" s="258">
        <f t="shared" ca="1" si="12"/>
        <v>46069</v>
      </c>
      <c r="H752" s="263"/>
      <c r="I752" s="257"/>
      <c r="K752" s="263"/>
      <c r="L752" s="263"/>
      <c r="M752" s="263"/>
    </row>
    <row r="753" spans="1:13" ht="11.55" customHeight="1" x14ac:dyDescent="0.3">
      <c r="A753" s="256"/>
      <c r="B753" s="256"/>
      <c r="C753" s="256"/>
      <c r="D753" s="256"/>
      <c r="E753" s="257"/>
      <c r="F753" s="257"/>
      <c r="G753" s="258">
        <f t="shared" ca="1" si="12"/>
        <v>46069</v>
      </c>
      <c r="H753" s="256"/>
      <c r="I753" s="256"/>
      <c r="K753" s="256"/>
      <c r="L753" s="256"/>
      <c r="M753" s="256"/>
    </row>
    <row r="754" spans="1:13" ht="11.55" customHeight="1" x14ac:dyDescent="0.3">
      <c r="A754" s="256"/>
      <c r="B754" s="256"/>
      <c r="C754" s="256"/>
      <c r="D754" s="256"/>
      <c r="E754" s="257"/>
      <c r="F754" s="257"/>
      <c r="G754" s="258">
        <f t="shared" ca="1" si="12"/>
        <v>46069</v>
      </c>
      <c r="H754" s="256"/>
      <c r="I754" s="257"/>
      <c r="K754" s="256"/>
      <c r="L754" s="256"/>
      <c r="M754" s="256"/>
    </row>
    <row r="755" spans="1:13" ht="11.55" customHeight="1" x14ac:dyDescent="0.3">
      <c r="A755" s="262"/>
      <c r="B755" s="262"/>
      <c r="C755" s="262"/>
      <c r="D755" s="263"/>
      <c r="E755" s="264"/>
      <c r="F755" s="264"/>
      <c r="G755" s="258">
        <f t="shared" ca="1" si="12"/>
        <v>46069</v>
      </c>
      <c r="H755" s="263"/>
      <c r="I755" s="267"/>
      <c r="K755" s="263"/>
      <c r="L755" s="263"/>
      <c r="M755" s="263"/>
    </row>
    <row r="756" spans="1:13" ht="11.55" customHeight="1" x14ac:dyDescent="0.3">
      <c r="A756" s="256"/>
      <c r="B756" s="256"/>
      <c r="C756" s="256"/>
      <c r="D756" s="256"/>
      <c r="E756" s="257"/>
      <c r="F756" s="257"/>
      <c r="G756" s="258">
        <f t="shared" ca="1" si="12"/>
        <v>46069</v>
      </c>
      <c r="H756" s="256"/>
      <c r="I756" s="257"/>
      <c r="K756" s="256"/>
      <c r="L756" s="256"/>
      <c r="M756" s="256"/>
    </row>
    <row r="757" spans="1:13" ht="11.55" customHeight="1" x14ac:dyDescent="0.3">
      <c r="A757" s="256"/>
      <c r="B757" s="256"/>
      <c r="C757" s="256"/>
      <c r="D757" s="256"/>
      <c r="E757" s="257"/>
      <c r="F757" s="257"/>
      <c r="G757" s="258">
        <f t="shared" ca="1" si="12"/>
        <v>46069</v>
      </c>
      <c r="H757" s="256"/>
      <c r="I757" s="256"/>
      <c r="K757" s="256"/>
      <c r="L757" s="256"/>
      <c r="M757" s="256"/>
    </row>
    <row r="758" spans="1:13" ht="11.55" customHeight="1" x14ac:dyDescent="0.3">
      <c r="A758" s="256"/>
      <c r="B758" s="256"/>
      <c r="C758" s="256"/>
      <c r="D758" s="256"/>
      <c r="E758" s="257"/>
      <c r="F758" s="257"/>
      <c r="G758" s="258">
        <f t="shared" ca="1" si="12"/>
        <v>46069</v>
      </c>
      <c r="H758" s="256"/>
      <c r="I758" s="256"/>
      <c r="K758" s="256"/>
      <c r="L758" s="256"/>
      <c r="M758" s="256"/>
    </row>
    <row r="759" spans="1:13" ht="11.55" customHeight="1" x14ac:dyDescent="0.3">
      <c r="A759" s="256"/>
      <c r="B759" s="256"/>
      <c r="C759" s="256"/>
      <c r="D759" s="256"/>
      <c r="E759" s="257"/>
      <c r="F759" s="257"/>
      <c r="G759" s="258">
        <f t="shared" ca="1" si="12"/>
        <v>46069</v>
      </c>
      <c r="H759" s="256"/>
      <c r="I759" s="267"/>
      <c r="K759" s="256"/>
      <c r="L759" s="263"/>
      <c r="M759" s="256"/>
    </row>
    <row r="760" spans="1:13" ht="11.55" customHeight="1" x14ac:dyDescent="0.3">
      <c r="A760" s="256"/>
      <c r="B760" s="256"/>
      <c r="C760" s="256"/>
      <c r="D760" s="256"/>
      <c r="E760" s="257"/>
      <c r="F760" s="257"/>
      <c r="G760" s="258">
        <f t="shared" ca="1" si="12"/>
        <v>46069</v>
      </c>
      <c r="H760" s="256"/>
      <c r="I760" s="257"/>
      <c r="K760" s="256"/>
      <c r="L760" s="256"/>
      <c r="M760" s="256"/>
    </row>
    <row r="761" spans="1:13" ht="11.55" customHeight="1" x14ac:dyDescent="0.3">
      <c r="A761" s="256"/>
      <c r="B761" s="256"/>
      <c r="C761" s="256"/>
      <c r="D761" s="256"/>
      <c r="E761" s="256"/>
      <c r="F761" s="256"/>
      <c r="G761" s="258">
        <f t="shared" ca="1" si="12"/>
        <v>46069</v>
      </c>
      <c r="H761" s="256"/>
      <c r="I761" s="256"/>
      <c r="K761" s="256"/>
      <c r="L761" s="256"/>
      <c r="M761" s="256"/>
    </row>
    <row r="762" spans="1:13" ht="11.55" customHeight="1" x14ac:dyDescent="0.3">
      <c r="A762" s="256"/>
      <c r="B762" s="256"/>
      <c r="C762" s="256"/>
      <c r="D762" s="256"/>
      <c r="E762" s="257"/>
      <c r="F762" s="257"/>
      <c r="G762" s="258">
        <f t="shared" ca="1" si="12"/>
        <v>46069</v>
      </c>
      <c r="H762" s="256"/>
      <c r="I762" s="256"/>
      <c r="K762" s="256"/>
      <c r="L762" s="256"/>
      <c r="M762" s="256"/>
    </row>
    <row r="763" spans="1:13" ht="11.55" customHeight="1" x14ac:dyDescent="0.3">
      <c r="A763" s="256"/>
      <c r="B763" s="256"/>
      <c r="C763" s="256"/>
      <c r="D763" s="256"/>
      <c r="E763" s="257"/>
      <c r="F763" s="257"/>
      <c r="G763" s="258">
        <f t="shared" ca="1" si="12"/>
        <v>46069</v>
      </c>
      <c r="H763" s="256"/>
      <c r="I763" s="256"/>
      <c r="K763" s="256"/>
      <c r="L763" s="256"/>
      <c r="M763" s="256"/>
    </row>
    <row r="764" spans="1:13" ht="11.55" customHeight="1" x14ac:dyDescent="0.3">
      <c r="A764" s="268"/>
      <c r="B764" s="268"/>
      <c r="C764" s="256"/>
      <c r="D764" s="263"/>
      <c r="E764" s="269"/>
      <c r="F764" s="269"/>
      <c r="G764" s="258">
        <f t="shared" ca="1" si="12"/>
        <v>46069</v>
      </c>
      <c r="H764" s="256"/>
      <c r="I764" s="256"/>
      <c r="K764" s="263"/>
      <c r="L764" s="263"/>
      <c r="M764" s="263"/>
    </row>
    <row r="765" spans="1:13" ht="11.55" customHeight="1" x14ac:dyDescent="0.3">
      <c r="A765" s="256"/>
      <c r="B765" s="256"/>
      <c r="C765" s="256"/>
      <c r="D765" s="256"/>
      <c r="E765" s="257"/>
      <c r="F765" s="257"/>
      <c r="G765" s="258">
        <f t="shared" ca="1" si="12"/>
        <v>46069</v>
      </c>
      <c r="H765" s="256"/>
      <c r="I765" s="256"/>
      <c r="K765" s="256"/>
      <c r="L765" s="256"/>
      <c r="M765" s="256"/>
    </row>
    <row r="766" spans="1:13" ht="11.55" customHeight="1" x14ac:dyDescent="0.3">
      <c r="A766" s="256"/>
      <c r="B766" s="256"/>
      <c r="C766" s="256"/>
      <c r="D766" s="256"/>
      <c r="E766" s="257"/>
      <c r="F766" s="257"/>
      <c r="G766" s="258">
        <f t="shared" ca="1" si="12"/>
        <v>46069</v>
      </c>
      <c r="H766" s="256"/>
      <c r="I766" s="256"/>
      <c r="K766" s="256"/>
      <c r="L766" s="256"/>
      <c r="M766" s="256"/>
    </row>
    <row r="767" spans="1:13" ht="11.55" customHeight="1" x14ac:dyDescent="0.3">
      <c r="A767" s="259"/>
      <c r="B767" s="259"/>
      <c r="C767" s="259"/>
      <c r="D767" s="256"/>
      <c r="E767" s="260"/>
      <c r="F767" s="260"/>
      <c r="G767" s="258">
        <f t="shared" ca="1" si="12"/>
        <v>46069</v>
      </c>
      <c r="H767" s="256"/>
      <c r="I767" s="257"/>
      <c r="K767" s="256"/>
      <c r="L767" s="256"/>
      <c r="M767" s="256"/>
    </row>
    <row r="768" spans="1:13" ht="11.55" customHeight="1" x14ac:dyDescent="0.3">
      <c r="A768" s="256"/>
      <c r="B768" s="256"/>
      <c r="C768" s="256"/>
      <c r="D768" s="256"/>
      <c r="E768" s="257"/>
      <c r="F768" s="257"/>
      <c r="G768" s="258">
        <f t="shared" ca="1" si="12"/>
        <v>46069</v>
      </c>
      <c r="H768" s="256"/>
      <c r="I768" s="257"/>
      <c r="K768" s="256"/>
      <c r="L768" s="256"/>
      <c r="M768" s="256"/>
    </row>
    <row r="769" spans="1:13" ht="11.55" customHeight="1" x14ac:dyDescent="0.3">
      <c r="A769" s="256"/>
      <c r="B769" s="256"/>
      <c r="C769" s="256"/>
      <c r="D769" s="256"/>
      <c r="E769" s="257"/>
      <c r="F769" s="257"/>
      <c r="G769" s="258">
        <f t="shared" ca="1" si="12"/>
        <v>46069</v>
      </c>
      <c r="H769" s="256"/>
      <c r="I769" s="256"/>
      <c r="K769" s="256"/>
      <c r="L769" s="256"/>
      <c r="M769" s="256"/>
    </row>
    <row r="770" spans="1:13" ht="11.55" customHeight="1" x14ac:dyDescent="0.3">
      <c r="A770" s="256"/>
      <c r="B770" s="256"/>
      <c r="C770" s="256"/>
      <c r="D770" s="256"/>
      <c r="E770" s="257"/>
      <c r="F770" s="257"/>
      <c r="G770" s="258">
        <f t="shared" ca="1" si="12"/>
        <v>46069</v>
      </c>
      <c r="H770" s="256"/>
      <c r="I770" s="256"/>
      <c r="K770" s="256"/>
      <c r="L770" s="256"/>
      <c r="M770" s="256"/>
    </row>
    <row r="771" spans="1:13" ht="11.55" customHeight="1" x14ac:dyDescent="0.3">
      <c r="A771" s="256"/>
      <c r="B771" s="256"/>
      <c r="C771" s="256"/>
      <c r="D771" s="256"/>
      <c r="E771" s="257"/>
      <c r="F771" s="257"/>
      <c r="G771" s="258">
        <f t="shared" ca="1" si="12"/>
        <v>46069</v>
      </c>
      <c r="H771" s="256"/>
      <c r="I771" s="257"/>
      <c r="K771" s="256"/>
      <c r="L771" s="256"/>
      <c r="M771" s="256"/>
    </row>
    <row r="772" spans="1:13" ht="11.55" customHeight="1" x14ac:dyDescent="0.3">
      <c r="A772" s="259"/>
      <c r="B772" s="259"/>
      <c r="C772" s="256"/>
      <c r="D772" s="256"/>
      <c r="E772" s="260"/>
      <c r="F772" s="260"/>
      <c r="G772" s="258">
        <f t="shared" ca="1" si="12"/>
        <v>46069</v>
      </c>
      <c r="H772" s="256"/>
      <c r="I772" s="267"/>
      <c r="K772" s="256"/>
      <c r="L772" s="256"/>
      <c r="M772" s="256"/>
    </row>
    <row r="773" spans="1:13" ht="11.55" customHeight="1" x14ac:dyDescent="0.3">
      <c r="A773" s="259"/>
      <c r="B773" s="259"/>
      <c r="C773" s="256"/>
      <c r="D773" s="256"/>
      <c r="E773" s="260"/>
      <c r="F773" s="260"/>
      <c r="G773" s="258">
        <f t="shared" ca="1" si="12"/>
        <v>46069</v>
      </c>
      <c r="H773" s="256"/>
      <c r="I773" s="257"/>
      <c r="K773" s="256"/>
      <c r="L773" s="256"/>
      <c r="M773" s="256"/>
    </row>
    <row r="774" spans="1:13" ht="11.55" customHeight="1" x14ac:dyDescent="0.3">
      <c r="A774" s="256"/>
      <c r="B774" s="256"/>
      <c r="C774" s="256"/>
      <c r="D774" s="256"/>
      <c r="E774" s="257"/>
      <c r="F774" s="257"/>
      <c r="G774" s="258">
        <f t="shared" ca="1" si="12"/>
        <v>46069</v>
      </c>
      <c r="H774" s="256"/>
      <c r="I774" s="257"/>
      <c r="K774" s="256"/>
      <c r="L774" s="256"/>
      <c r="M774" s="256"/>
    </row>
    <row r="775" spans="1:13" ht="11.55" customHeight="1" x14ac:dyDescent="0.3">
      <c r="A775" s="262"/>
      <c r="B775" s="262"/>
      <c r="C775" s="262"/>
      <c r="D775" s="263"/>
      <c r="E775" s="264"/>
      <c r="F775" s="264"/>
      <c r="G775" s="258">
        <f t="shared" ca="1" si="12"/>
        <v>46069</v>
      </c>
      <c r="H775" s="263"/>
      <c r="I775" s="257"/>
      <c r="K775" s="263"/>
      <c r="L775" s="256"/>
      <c r="M775" s="256"/>
    </row>
    <row r="776" spans="1:13" ht="11.55" customHeight="1" x14ac:dyDescent="0.3">
      <c r="A776" s="256"/>
      <c r="B776" s="256"/>
      <c r="C776" s="256"/>
      <c r="D776" s="256"/>
      <c r="E776" s="257"/>
      <c r="F776" s="257"/>
      <c r="G776" s="258">
        <f t="shared" ca="1" si="12"/>
        <v>46069</v>
      </c>
      <c r="H776" s="256"/>
      <c r="I776" s="257"/>
      <c r="K776" s="256"/>
      <c r="L776" s="256"/>
      <c r="M776" s="256"/>
    </row>
    <row r="777" spans="1:13" ht="11.55" customHeight="1" x14ac:dyDescent="0.3">
      <c r="A777" s="259"/>
      <c r="B777" s="259"/>
      <c r="C777" s="259"/>
      <c r="D777" s="256"/>
      <c r="E777" s="260"/>
      <c r="F777" s="260"/>
      <c r="G777" s="258">
        <f t="shared" ca="1" si="12"/>
        <v>46069</v>
      </c>
      <c r="H777" s="263"/>
      <c r="I777" s="257"/>
      <c r="K777" s="256"/>
      <c r="L777" s="256"/>
      <c r="M777" s="256"/>
    </row>
    <row r="778" spans="1:13" ht="11.55" customHeight="1" x14ac:dyDescent="0.3">
      <c r="A778" s="256"/>
      <c r="B778" s="256"/>
      <c r="C778" s="256"/>
      <c r="D778" s="256"/>
      <c r="E778" s="257"/>
      <c r="F778" s="257"/>
      <c r="G778" s="258">
        <f t="shared" ca="1" si="12"/>
        <v>46069</v>
      </c>
      <c r="H778" s="256"/>
      <c r="I778" s="256"/>
      <c r="K778" s="256"/>
      <c r="L778" s="256"/>
      <c r="M778" s="256"/>
    </row>
    <row r="779" spans="1:13" ht="11.55" customHeight="1" x14ac:dyDescent="0.3">
      <c r="A779" s="259"/>
      <c r="B779" s="259"/>
      <c r="C779" s="259"/>
      <c r="D779" s="256"/>
      <c r="E779" s="260"/>
      <c r="F779" s="260"/>
      <c r="G779" s="258">
        <f t="shared" ca="1" si="12"/>
        <v>46069</v>
      </c>
      <c r="H779" s="256"/>
      <c r="I779" s="257"/>
      <c r="K779" s="256"/>
      <c r="L779" s="256"/>
      <c r="M779" s="256"/>
    </row>
    <row r="780" spans="1:13" ht="11.55" customHeight="1" x14ac:dyDescent="0.3">
      <c r="A780" s="272"/>
      <c r="B780" s="272"/>
      <c r="C780" s="256"/>
      <c r="D780" s="256"/>
      <c r="E780" s="273"/>
      <c r="F780" s="273"/>
      <c r="G780" s="258">
        <f t="shared" ca="1" si="12"/>
        <v>46069</v>
      </c>
      <c r="H780" s="256"/>
      <c r="I780" s="257"/>
      <c r="K780" s="256"/>
      <c r="L780" s="256"/>
      <c r="M780" s="256"/>
    </row>
    <row r="781" spans="1:13" ht="11.55" customHeight="1" x14ac:dyDescent="0.3">
      <c r="A781" s="256"/>
      <c r="B781" s="256"/>
      <c r="C781" s="256"/>
      <c r="D781" s="256"/>
      <c r="E781" s="257"/>
      <c r="F781" s="257"/>
      <c r="G781" s="258">
        <f t="shared" ca="1" si="12"/>
        <v>46069</v>
      </c>
      <c r="H781" s="256"/>
      <c r="I781" s="256"/>
      <c r="K781" s="256"/>
      <c r="L781" s="256"/>
      <c r="M781" s="256"/>
    </row>
    <row r="782" spans="1:13" ht="11.55" customHeight="1" x14ac:dyDescent="0.3">
      <c r="A782" s="262"/>
      <c r="B782" s="262"/>
      <c r="C782" s="256"/>
      <c r="D782" s="263"/>
      <c r="E782" s="264"/>
      <c r="F782" s="264"/>
      <c r="G782" s="258">
        <f t="shared" ca="1" si="12"/>
        <v>46069</v>
      </c>
      <c r="H782" s="263"/>
      <c r="I782" s="267"/>
      <c r="K782" s="263"/>
      <c r="L782" s="263"/>
      <c r="M782" s="256"/>
    </row>
    <row r="783" spans="1:13" ht="11.55" customHeight="1" x14ac:dyDescent="0.3">
      <c r="A783" s="256"/>
      <c r="B783" s="256"/>
      <c r="C783" s="256"/>
      <c r="D783" s="256"/>
      <c r="E783" s="257"/>
      <c r="F783" s="257"/>
      <c r="G783" s="258">
        <f t="shared" ca="1" si="12"/>
        <v>46069</v>
      </c>
      <c r="H783" s="256"/>
      <c r="I783" s="256"/>
      <c r="K783" s="256"/>
      <c r="L783" s="256"/>
      <c r="M783" s="256"/>
    </row>
    <row r="784" spans="1:13" ht="11.55" customHeight="1" x14ac:dyDescent="0.3">
      <c r="A784" s="256"/>
      <c r="B784" s="256"/>
      <c r="C784" s="256"/>
      <c r="D784" s="256"/>
      <c r="E784" s="257"/>
      <c r="F784" s="257"/>
      <c r="G784" s="258">
        <f t="shared" ca="1" si="12"/>
        <v>46069</v>
      </c>
      <c r="H784" s="256"/>
      <c r="I784" s="256"/>
      <c r="K784" s="256"/>
      <c r="L784" s="256"/>
      <c r="M784" s="256"/>
    </row>
    <row r="785" spans="1:13" ht="11.55" customHeight="1" x14ac:dyDescent="0.3">
      <c r="A785" s="256"/>
      <c r="B785" s="256"/>
      <c r="C785" s="256"/>
      <c r="D785" s="256"/>
      <c r="E785" s="257"/>
      <c r="F785" s="257"/>
      <c r="G785" s="258">
        <f t="shared" ca="1" si="12"/>
        <v>46069</v>
      </c>
      <c r="H785" s="256"/>
      <c r="I785" s="257"/>
      <c r="K785" s="256"/>
      <c r="L785" s="256"/>
      <c r="M785" s="256"/>
    </row>
    <row r="786" spans="1:13" ht="11.55" customHeight="1" x14ac:dyDescent="0.3">
      <c r="A786" s="256"/>
      <c r="B786" s="256"/>
      <c r="C786" s="256"/>
      <c r="D786" s="256"/>
      <c r="E786" s="257"/>
      <c r="F786" s="257"/>
      <c r="G786" s="258">
        <f t="shared" ca="1" si="12"/>
        <v>46069</v>
      </c>
      <c r="H786" s="256"/>
      <c r="I786" s="257"/>
      <c r="K786" s="256"/>
      <c r="L786" s="256"/>
      <c r="M786" s="256"/>
    </row>
    <row r="787" spans="1:13" ht="11.55" customHeight="1" x14ac:dyDescent="0.3">
      <c r="A787" s="256"/>
      <c r="B787" s="256"/>
      <c r="C787" s="256"/>
      <c r="D787" s="256"/>
      <c r="E787" s="257"/>
      <c r="F787" s="257"/>
      <c r="G787" s="258">
        <f t="shared" ca="1" si="12"/>
        <v>46069</v>
      </c>
      <c r="H787" s="256"/>
      <c r="I787" s="256"/>
      <c r="K787" s="256"/>
      <c r="L787" s="256"/>
      <c r="M787" s="256"/>
    </row>
    <row r="788" spans="1:13" ht="11.55" customHeight="1" x14ac:dyDescent="0.3">
      <c r="A788" s="256"/>
      <c r="B788" s="256"/>
      <c r="C788" s="256"/>
      <c r="D788" s="256"/>
      <c r="E788" s="257"/>
      <c r="F788" s="257"/>
      <c r="G788" s="258">
        <f t="shared" ca="1" si="12"/>
        <v>46069</v>
      </c>
      <c r="H788" s="256"/>
      <c r="I788" s="256"/>
      <c r="K788" s="256"/>
      <c r="L788" s="256"/>
      <c r="M788" s="256"/>
    </row>
    <row r="789" spans="1:13" ht="11.55" customHeight="1" x14ac:dyDescent="0.3">
      <c r="A789" s="256"/>
      <c r="B789" s="256"/>
      <c r="C789" s="256"/>
      <c r="D789" s="256"/>
      <c r="E789" s="257"/>
      <c r="F789" s="257"/>
      <c r="G789" s="258">
        <f t="shared" ca="1" si="12"/>
        <v>46069</v>
      </c>
      <c r="H789" s="256"/>
      <c r="I789" s="257"/>
      <c r="K789" s="256"/>
      <c r="L789" s="256"/>
      <c r="M789" s="256"/>
    </row>
    <row r="790" spans="1:13" ht="11.55" customHeight="1" x14ac:dyDescent="0.3">
      <c r="A790" s="262"/>
      <c r="B790" s="262"/>
      <c r="C790" s="262"/>
      <c r="D790" s="263"/>
      <c r="E790" s="264"/>
      <c r="F790" s="264"/>
      <c r="G790" s="258">
        <f t="shared" ca="1" si="12"/>
        <v>46069</v>
      </c>
      <c r="H790" s="263"/>
      <c r="I790" s="267"/>
      <c r="K790" s="263"/>
      <c r="L790" s="263"/>
      <c r="M790" s="263"/>
    </row>
    <row r="791" spans="1:13" ht="11.55" customHeight="1" x14ac:dyDescent="0.3">
      <c r="A791" s="256"/>
      <c r="B791" s="256"/>
      <c r="C791" s="256"/>
      <c r="D791" s="256"/>
      <c r="E791" s="257"/>
      <c r="F791" s="257"/>
      <c r="G791" s="258">
        <f t="shared" ca="1" si="12"/>
        <v>46069</v>
      </c>
      <c r="H791" s="256"/>
      <c r="I791" s="256"/>
      <c r="K791" s="256"/>
      <c r="L791" s="256"/>
      <c r="M791" s="256"/>
    </row>
    <row r="792" spans="1:13" ht="11.55" customHeight="1" x14ac:dyDescent="0.3">
      <c r="A792" s="256"/>
      <c r="B792" s="256"/>
      <c r="C792" s="256"/>
      <c r="D792" s="256"/>
      <c r="E792" s="257"/>
      <c r="F792" s="257"/>
      <c r="G792" s="258">
        <f t="shared" ca="1" si="12"/>
        <v>46069</v>
      </c>
      <c r="H792" s="256"/>
      <c r="I792" s="256"/>
      <c r="K792" s="256"/>
      <c r="L792" s="256"/>
      <c r="M792" s="256"/>
    </row>
    <row r="793" spans="1:13" ht="11.55" customHeight="1" x14ac:dyDescent="0.3">
      <c r="A793" s="256"/>
      <c r="B793" s="256"/>
      <c r="C793" s="268"/>
      <c r="D793" s="256"/>
      <c r="E793" s="257"/>
      <c r="F793" s="257"/>
      <c r="G793" s="258">
        <f t="shared" ca="1" si="12"/>
        <v>46069</v>
      </c>
      <c r="H793" s="256"/>
      <c r="I793" s="257"/>
      <c r="K793" s="256"/>
      <c r="L793" s="256"/>
      <c r="M793" s="256"/>
    </row>
    <row r="794" spans="1:13" ht="11.55" customHeight="1" x14ac:dyDescent="0.3">
      <c r="A794" s="256"/>
      <c r="B794" s="256"/>
      <c r="C794" s="256"/>
      <c r="D794" s="256"/>
      <c r="E794" s="257"/>
      <c r="F794" s="257"/>
      <c r="G794" s="258">
        <f t="shared" ca="1" si="12"/>
        <v>46069</v>
      </c>
      <c r="H794" s="256"/>
      <c r="I794" s="256"/>
      <c r="K794" s="256"/>
      <c r="L794" s="256"/>
      <c r="M794" s="256"/>
    </row>
    <row r="795" spans="1:13" ht="11.55" customHeight="1" x14ac:dyDescent="0.3">
      <c r="A795" s="256"/>
      <c r="B795" s="256"/>
      <c r="C795" s="259"/>
      <c r="D795" s="256"/>
      <c r="E795" s="257"/>
      <c r="F795" s="257"/>
      <c r="G795" s="258">
        <f t="shared" ca="1" si="12"/>
        <v>46069</v>
      </c>
      <c r="H795" s="256"/>
      <c r="I795" s="256"/>
      <c r="K795" s="256"/>
      <c r="L795" s="256"/>
      <c r="M795" s="256"/>
    </row>
    <row r="796" spans="1:13" ht="11.55" customHeight="1" x14ac:dyDescent="0.3">
      <c r="A796" s="259"/>
      <c r="B796" s="259"/>
      <c r="C796" s="256"/>
      <c r="D796" s="256"/>
      <c r="E796" s="260"/>
      <c r="F796" s="260"/>
      <c r="G796" s="258">
        <f t="shared" ca="1" si="12"/>
        <v>46069</v>
      </c>
      <c r="H796" s="256"/>
      <c r="I796" s="257"/>
      <c r="K796" s="256"/>
      <c r="L796" s="256"/>
      <c r="M796" s="256"/>
    </row>
    <row r="797" spans="1:13" ht="11.55" customHeight="1" x14ac:dyDescent="0.3">
      <c r="A797" s="256"/>
      <c r="B797" s="256"/>
      <c r="C797" s="256"/>
      <c r="D797" s="256"/>
      <c r="E797" s="257"/>
      <c r="F797" s="257"/>
      <c r="G797" s="258">
        <f t="shared" ca="1" si="12"/>
        <v>46069</v>
      </c>
      <c r="H797" s="256"/>
      <c r="I797" s="256"/>
      <c r="K797" s="256"/>
      <c r="L797" s="256"/>
      <c r="M797" s="256"/>
    </row>
    <row r="798" spans="1:13" ht="11.55" customHeight="1" x14ac:dyDescent="0.3">
      <c r="A798" s="256"/>
      <c r="B798" s="256"/>
      <c r="C798" s="256"/>
      <c r="D798" s="256"/>
      <c r="E798" s="257"/>
      <c r="F798" s="257"/>
      <c r="G798" s="258">
        <f t="shared" ca="1" si="12"/>
        <v>46069</v>
      </c>
      <c r="H798" s="256"/>
      <c r="I798" s="256"/>
      <c r="K798" s="256"/>
      <c r="L798" s="256"/>
      <c r="M798" s="256"/>
    </row>
    <row r="799" spans="1:13" ht="11.55" customHeight="1" x14ac:dyDescent="0.3">
      <c r="A799" s="256"/>
      <c r="B799" s="256"/>
      <c r="C799" s="256"/>
      <c r="D799" s="256"/>
      <c r="E799" s="257"/>
      <c r="F799" s="257"/>
      <c r="G799" s="258">
        <f t="shared" ca="1" si="12"/>
        <v>46069</v>
      </c>
      <c r="H799" s="256"/>
      <c r="I799" s="256"/>
      <c r="K799" s="256"/>
      <c r="L799" s="256"/>
      <c r="M799" s="256"/>
    </row>
    <row r="800" spans="1:13" ht="11.55" customHeight="1" x14ac:dyDescent="0.3">
      <c r="A800" s="256"/>
      <c r="B800" s="256"/>
      <c r="C800" s="256"/>
      <c r="D800" s="256"/>
      <c r="E800" s="257"/>
      <c r="F800" s="257"/>
      <c r="G800" s="258">
        <f t="shared" ca="1" si="12"/>
        <v>46069</v>
      </c>
      <c r="H800" s="256"/>
      <c r="I800" s="256"/>
      <c r="K800" s="256"/>
      <c r="L800" s="256"/>
      <c r="M800" s="256"/>
    </row>
    <row r="801" spans="1:13" ht="11.55" customHeight="1" x14ac:dyDescent="0.3">
      <c r="A801" s="256"/>
      <c r="B801" s="256"/>
      <c r="C801" s="256"/>
      <c r="D801" s="256"/>
      <c r="E801" s="257"/>
      <c r="F801" s="257"/>
      <c r="G801" s="258">
        <f t="shared" ca="1" si="12"/>
        <v>46069</v>
      </c>
      <c r="H801" s="256"/>
      <c r="I801" s="256"/>
      <c r="K801" s="256"/>
      <c r="L801" s="256"/>
      <c r="M801" s="256"/>
    </row>
    <row r="802" spans="1:13" ht="11.55" customHeight="1" x14ac:dyDescent="0.3">
      <c r="A802" s="268"/>
      <c r="B802" s="268"/>
      <c r="C802" s="268"/>
      <c r="D802" s="263"/>
      <c r="E802" s="269"/>
      <c r="F802" s="269"/>
      <c r="G802" s="258">
        <f t="shared" ca="1" si="12"/>
        <v>46069</v>
      </c>
      <c r="H802" s="263"/>
      <c r="I802" s="267"/>
      <c r="K802" s="263"/>
      <c r="L802" s="263"/>
      <c r="M802" s="263"/>
    </row>
    <row r="803" spans="1:13" ht="11.55" customHeight="1" x14ac:dyDescent="0.3">
      <c r="A803" s="256"/>
      <c r="B803" s="256"/>
      <c r="C803" s="256"/>
      <c r="D803" s="256"/>
      <c r="E803" s="257"/>
      <c r="F803" s="257"/>
      <c r="G803" s="258">
        <f t="shared" ca="1" si="12"/>
        <v>46069</v>
      </c>
      <c r="H803" s="256"/>
      <c r="I803" s="256"/>
      <c r="K803" s="256"/>
      <c r="L803" s="256"/>
      <c r="M803" s="256"/>
    </row>
    <row r="804" spans="1:13" ht="11.55" customHeight="1" x14ac:dyDescent="0.3">
      <c r="A804" s="256"/>
      <c r="B804" s="256"/>
      <c r="C804" s="256"/>
      <c r="D804" s="256"/>
      <c r="E804" s="257"/>
      <c r="F804" s="257"/>
      <c r="G804" s="258">
        <f t="shared" ca="1" si="12"/>
        <v>46069</v>
      </c>
      <c r="H804" s="256"/>
      <c r="I804" s="256"/>
      <c r="K804" s="256"/>
      <c r="L804" s="256"/>
      <c r="M804" s="256"/>
    </row>
    <row r="805" spans="1:13" ht="11.55" customHeight="1" x14ac:dyDescent="0.3">
      <c r="A805" s="256"/>
      <c r="B805" s="256"/>
      <c r="C805" s="259"/>
      <c r="D805" s="256"/>
      <c r="E805" s="257"/>
      <c r="F805" s="257"/>
      <c r="G805" s="258">
        <f t="shared" ref="G805:G868" ca="1" si="13">TODAY()-E805</f>
        <v>46069</v>
      </c>
      <c r="H805" s="256"/>
      <c r="I805" s="256"/>
      <c r="K805" s="256"/>
      <c r="L805" s="256"/>
      <c r="M805" s="256"/>
    </row>
    <row r="806" spans="1:13" ht="11.55" customHeight="1" x14ac:dyDescent="0.3">
      <c r="A806" s="256"/>
      <c r="B806" s="256"/>
      <c r="C806" s="256"/>
      <c r="D806" s="256"/>
      <c r="E806" s="257"/>
      <c r="F806" s="257"/>
      <c r="G806" s="258">
        <f t="shared" ca="1" si="13"/>
        <v>46069</v>
      </c>
      <c r="H806" s="256"/>
      <c r="I806" s="256"/>
      <c r="K806" s="256"/>
      <c r="L806" s="256"/>
      <c r="M806" s="256"/>
    </row>
    <row r="807" spans="1:13" ht="11.55" customHeight="1" x14ac:dyDescent="0.3">
      <c r="A807" s="256"/>
      <c r="B807" s="256"/>
      <c r="C807" s="259"/>
      <c r="D807" s="256"/>
      <c r="E807" s="257"/>
      <c r="F807" s="257"/>
      <c r="G807" s="258">
        <f t="shared" ca="1" si="13"/>
        <v>46069</v>
      </c>
      <c r="H807" s="256"/>
      <c r="I807" s="256"/>
      <c r="K807" s="256"/>
      <c r="L807" s="256"/>
      <c r="M807" s="256"/>
    </row>
    <row r="808" spans="1:13" ht="11.55" customHeight="1" x14ac:dyDescent="0.3">
      <c r="A808" s="256"/>
      <c r="B808" s="256"/>
      <c r="C808" s="256"/>
      <c r="D808" s="256"/>
      <c r="E808" s="257"/>
      <c r="F808" s="257"/>
      <c r="G808" s="258">
        <f t="shared" ca="1" si="13"/>
        <v>46069</v>
      </c>
      <c r="H808" s="256"/>
      <c r="I808" s="256"/>
      <c r="K808" s="256"/>
      <c r="L808" s="256"/>
      <c r="M808" s="256"/>
    </row>
    <row r="809" spans="1:13" ht="11.55" customHeight="1" x14ac:dyDescent="0.3">
      <c r="A809" s="272"/>
      <c r="B809" s="272"/>
      <c r="C809" s="256"/>
      <c r="D809" s="256"/>
      <c r="E809" s="273"/>
      <c r="F809" s="273"/>
      <c r="G809" s="258">
        <f t="shared" ca="1" si="13"/>
        <v>46069</v>
      </c>
      <c r="H809" s="256"/>
      <c r="I809" s="256"/>
      <c r="K809" s="256"/>
      <c r="L809" s="256"/>
      <c r="M809" s="256"/>
    </row>
    <row r="810" spans="1:13" ht="11.55" customHeight="1" x14ac:dyDescent="0.3">
      <c r="A810" s="256"/>
      <c r="B810" s="256"/>
      <c r="C810" s="256"/>
      <c r="D810" s="256"/>
      <c r="E810" s="257"/>
      <c r="F810" s="257"/>
      <c r="G810" s="258">
        <f t="shared" ca="1" si="13"/>
        <v>46069</v>
      </c>
      <c r="H810" s="256"/>
      <c r="I810" s="256"/>
      <c r="K810" s="256"/>
      <c r="L810" s="256"/>
      <c r="M810" s="256"/>
    </row>
    <row r="811" spans="1:13" ht="11.55" customHeight="1" x14ac:dyDescent="0.3">
      <c r="A811" s="276"/>
      <c r="B811" s="276"/>
      <c r="C811" s="276"/>
      <c r="D811" s="256"/>
      <c r="E811" s="277"/>
      <c r="F811" s="277"/>
      <c r="G811" s="258">
        <f t="shared" ca="1" si="13"/>
        <v>46069</v>
      </c>
      <c r="H811" s="256"/>
      <c r="I811" s="266"/>
      <c r="K811" s="256"/>
      <c r="L811" s="256"/>
      <c r="M811" s="263"/>
    </row>
    <row r="812" spans="1:13" ht="11.55" customHeight="1" x14ac:dyDescent="0.3">
      <c r="A812" s="256"/>
      <c r="B812" s="256"/>
      <c r="C812" s="256"/>
      <c r="D812" s="256"/>
      <c r="E812" s="257"/>
      <c r="F812" s="257"/>
      <c r="G812" s="258">
        <f t="shared" ca="1" si="13"/>
        <v>46069</v>
      </c>
      <c r="H812" s="256"/>
      <c r="I812" s="256"/>
      <c r="K812" s="256"/>
      <c r="L812" s="256"/>
      <c r="M812" s="256"/>
    </row>
    <row r="813" spans="1:13" ht="11.55" customHeight="1" x14ac:dyDescent="0.3">
      <c r="A813" s="256"/>
      <c r="B813" s="256"/>
      <c r="C813" s="256"/>
      <c r="D813" s="256"/>
      <c r="E813" s="257"/>
      <c r="F813" s="257"/>
      <c r="G813" s="258">
        <f t="shared" ca="1" si="13"/>
        <v>46069</v>
      </c>
      <c r="H813" s="256"/>
      <c r="I813" s="256"/>
      <c r="K813" s="256"/>
      <c r="L813" s="256"/>
      <c r="M813" s="256"/>
    </row>
    <row r="814" spans="1:13" ht="11.55" customHeight="1" x14ac:dyDescent="0.3">
      <c r="A814" s="256"/>
      <c r="B814" s="256"/>
      <c r="C814" s="259"/>
      <c r="D814" s="256"/>
      <c r="E814" s="257"/>
      <c r="F814" s="257"/>
      <c r="G814" s="258">
        <f t="shared" ca="1" si="13"/>
        <v>46069</v>
      </c>
      <c r="H814" s="256"/>
      <c r="I814" s="256"/>
      <c r="K814" s="256"/>
      <c r="L814" s="256"/>
      <c r="M814" s="256"/>
    </row>
    <row r="815" spans="1:13" ht="11.55" customHeight="1" x14ac:dyDescent="0.3">
      <c r="A815" s="256"/>
      <c r="B815" s="256"/>
      <c r="C815" s="256"/>
      <c r="D815" s="256"/>
      <c r="E815" s="257"/>
      <c r="F815" s="257"/>
      <c r="G815" s="258">
        <f t="shared" ca="1" si="13"/>
        <v>46069</v>
      </c>
      <c r="H815" s="256"/>
      <c r="I815" s="257"/>
      <c r="K815" s="256"/>
      <c r="L815" s="256"/>
      <c r="M815" s="256"/>
    </row>
    <row r="816" spans="1:13" ht="11.55" customHeight="1" x14ac:dyDescent="0.3">
      <c r="A816" s="256"/>
      <c r="B816" s="256"/>
      <c r="C816" s="256"/>
      <c r="D816" s="256"/>
      <c r="E816" s="257"/>
      <c r="F816" s="257"/>
      <c r="G816" s="258">
        <f t="shared" ca="1" si="13"/>
        <v>46069</v>
      </c>
      <c r="H816" s="256"/>
      <c r="I816" s="256"/>
      <c r="K816" s="256"/>
      <c r="L816" s="256"/>
      <c r="M816" s="256"/>
    </row>
    <row r="817" spans="1:13" ht="11.55" customHeight="1" x14ac:dyDescent="0.3">
      <c r="A817" s="256"/>
      <c r="B817" s="256"/>
      <c r="C817" s="256"/>
      <c r="D817" s="256"/>
      <c r="E817" s="257"/>
      <c r="F817" s="257"/>
      <c r="G817" s="258">
        <f t="shared" ca="1" si="13"/>
        <v>46069</v>
      </c>
      <c r="H817" s="256"/>
      <c r="I817" s="256"/>
      <c r="K817" s="256"/>
      <c r="L817" s="256"/>
      <c r="M817" s="256"/>
    </row>
    <row r="818" spans="1:13" ht="11.55" customHeight="1" x14ac:dyDescent="0.3">
      <c r="A818" s="256"/>
      <c r="B818" s="256"/>
      <c r="C818" s="256"/>
      <c r="D818" s="256"/>
      <c r="E818" s="257"/>
      <c r="F818" s="257"/>
      <c r="G818" s="258">
        <f t="shared" ca="1" si="13"/>
        <v>46069</v>
      </c>
      <c r="H818" s="256"/>
      <c r="I818" s="256"/>
      <c r="K818" s="256"/>
      <c r="L818" s="256"/>
      <c r="M818" s="256"/>
    </row>
    <row r="819" spans="1:13" ht="11.55" customHeight="1" x14ac:dyDescent="0.3">
      <c r="A819" s="272"/>
      <c r="B819" s="272"/>
      <c r="C819" s="272"/>
      <c r="D819" s="256"/>
      <c r="E819" s="273"/>
      <c r="F819" s="273"/>
      <c r="G819" s="258">
        <f t="shared" ca="1" si="13"/>
        <v>46069</v>
      </c>
      <c r="H819" s="256"/>
      <c r="I819" s="256"/>
      <c r="K819" s="256"/>
      <c r="L819" s="256"/>
      <c r="M819" s="256"/>
    </row>
    <row r="820" spans="1:13" ht="11.55" customHeight="1" x14ac:dyDescent="0.3">
      <c r="A820" s="256"/>
      <c r="B820" s="256"/>
      <c r="C820" s="256"/>
      <c r="D820" s="256"/>
      <c r="E820" s="257"/>
      <c r="F820" s="257"/>
      <c r="G820" s="258">
        <f t="shared" ca="1" si="13"/>
        <v>46069</v>
      </c>
      <c r="H820" s="256"/>
      <c r="I820" s="256"/>
      <c r="K820" s="256"/>
      <c r="L820" s="256"/>
      <c r="M820" s="256"/>
    </row>
    <row r="821" spans="1:13" ht="11.55" customHeight="1" x14ac:dyDescent="0.3">
      <c r="A821" s="256"/>
      <c r="B821" s="256"/>
      <c r="C821" s="256"/>
      <c r="D821" s="256"/>
      <c r="E821" s="257"/>
      <c r="F821" s="257"/>
      <c r="G821" s="258">
        <f t="shared" ca="1" si="13"/>
        <v>46069</v>
      </c>
      <c r="H821" s="256"/>
      <c r="I821" s="256"/>
      <c r="K821" s="256"/>
      <c r="L821" s="256"/>
      <c r="M821" s="256"/>
    </row>
    <row r="822" spans="1:13" ht="11.55" customHeight="1" x14ac:dyDescent="0.3">
      <c r="A822" s="256"/>
      <c r="B822" s="256"/>
      <c r="C822" s="256"/>
      <c r="D822" s="256"/>
      <c r="E822" s="257"/>
      <c r="F822" s="257"/>
      <c r="G822" s="258">
        <f t="shared" ca="1" si="13"/>
        <v>46069</v>
      </c>
      <c r="H822" s="256"/>
      <c r="I822" s="256"/>
      <c r="K822" s="256"/>
      <c r="L822" s="256"/>
      <c r="M822" s="256"/>
    </row>
    <row r="823" spans="1:13" ht="11.55" customHeight="1" x14ac:dyDescent="0.3">
      <c r="A823" s="256"/>
      <c r="B823" s="256"/>
      <c r="C823" s="256"/>
      <c r="D823" s="256"/>
      <c r="E823" s="257"/>
      <c r="F823" s="257"/>
      <c r="G823" s="258">
        <f t="shared" ca="1" si="13"/>
        <v>46069</v>
      </c>
      <c r="H823" s="256"/>
      <c r="I823" s="256"/>
      <c r="K823" s="256"/>
      <c r="L823" s="256"/>
      <c r="M823" s="256"/>
    </row>
    <row r="824" spans="1:13" ht="11.55" customHeight="1" x14ac:dyDescent="0.3">
      <c r="A824" s="256"/>
      <c r="B824" s="256"/>
      <c r="C824" s="256"/>
      <c r="D824" s="256"/>
      <c r="E824" s="257"/>
      <c r="F824" s="257"/>
      <c r="G824" s="258">
        <f t="shared" ca="1" si="13"/>
        <v>46069</v>
      </c>
      <c r="H824" s="256"/>
      <c r="I824" s="256"/>
      <c r="K824" s="256"/>
      <c r="L824" s="256"/>
      <c r="M824" s="256"/>
    </row>
    <row r="825" spans="1:13" ht="11.55" customHeight="1" x14ac:dyDescent="0.3">
      <c r="A825" s="256"/>
      <c r="B825" s="256"/>
      <c r="C825" s="256"/>
      <c r="D825" s="256"/>
      <c r="E825" s="257"/>
      <c r="F825" s="257"/>
      <c r="G825" s="258">
        <f t="shared" ca="1" si="13"/>
        <v>46069</v>
      </c>
      <c r="H825" s="256"/>
      <c r="I825" s="256"/>
      <c r="K825" s="256"/>
      <c r="L825" s="256"/>
      <c r="M825" s="256"/>
    </row>
    <row r="826" spans="1:13" ht="11.55" customHeight="1" x14ac:dyDescent="0.3">
      <c r="A826" s="268"/>
      <c r="B826" s="268"/>
      <c r="C826" s="268"/>
      <c r="D826" s="263"/>
      <c r="E826" s="269"/>
      <c r="F826" s="269"/>
      <c r="G826" s="258">
        <f t="shared" ca="1" si="13"/>
        <v>46069</v>
      </c>
      <c r="H826" s="263"/>
      <c r="I826" s="257"/>
      <c r="K826" s="263"/>
      <c r="L826" s="263"/>
      <c r="M826" s="263"/>
    </row>
    <row r="827" spans="1:13" ht="11.55" customHeight="1" x14ac:dyDescent="0.3">
      <c r="A827" s="256"/>
      <c r="B827" s="256"/>
      <c r="C827" s="256"/>
      <c r="D827" s="256"/>
      <c r="E827" s="257"/>
      <c r="F827" s="257"/>
      <c r="G827" s="258">
        <f t="shared" ca="1" si="13"/>
        <v>46069</v>
      </c>
      <c r="H827" s="256"/>
      <c r="I827" s="256"/>
      <c r="K827" s="256"/>
      <c r="L827" s="256"/>
      <c r="M827" s="256"/>
    </row>
    <row r="828" spans="1:13" ht="11.55" customHeight="1" x14ac:dyDescent="0.3">
      <c r="A828" s="259"/>
      <c r="B828" s="259"/>
      <c r="C828" s="256"/>
      <c r="D828" s="256"/>
      <c r="E828" s="260"/>
      <c r="F828" s="260"/>
      <c r="G828" s="258">
        <f t="shared" ca="1" si="13"/>
        <v>46069</v>
      </c>
      <c r="H828" s="256"/>
      <c r="I828" s="256"/>
      <c r="K828" s="256"/>
      <c r="L828" s="256"/>
      <c r="M828" s="256"/>
    </row>
    <row r="829" spans="1:13" ht="11.55" customHeight="1" x14ac:dyDescent="0.3">
      <c r="A829" s="256"/>
      <c r="B829" s="256"/>
      <c r="C829" s="256"/>
      <c r="D829" s="256"/>
      <c r="E829" s="257"/>
      <c r="F829" s="257"/>
      <c r="G829" s="258">
        <f t="shared" ca="1" si="13"/>
        <v>46069</v>
      </c>
      <c r="H829" s="256"/>
      <c r="I829" s="256"/>
      <c r="K829" s="256"/>
      <c r="L829" s="256"/>
      <c r="M829" s="256"/>
    </row>
    <row r="830" spans="1:13" ht="11.55" customHeight="1" x14ac:dyDescent="0.3">
      <c r="A830" s="256"/>
      <c r="B830" s="256"/>
      <c r="C830" s="256"/>
      <c r="D830" s="256"/>
      <c r="E830" s="257"/>
      <c r="F830" s="257"/>
      <c r="G830" s="258">
        <f t="shared" ca="1" si="13"/>
        <v>46069</v>
      </c>
      <c r="H830" s="256"/>
      <c r="I830" s="257"/>
      <c r="K830" s="256"/>
      <c r="L830" s="256"/>
      <c r="M830" s="256"/>
    </row>
    <row r="831" spans="1:13" ht="11.55" customHeight="1" x14ac:dyDescent="0.3">
      <c r="A831" s="256"/>
      <c r="B831" s="256"/>
      <c r="C831" s="256"/>
      <c r="D831" s="256"/>
      <c r="E831" s="257"/>
      <c r="F831" s="257"/>
      <c r="G831" s="258">
        <f t="shared" ca="1" si="13"/>
        <v>46069</v>
      </c>
      <c r="H831" s="256"/>
      <c r="I831" s="257"/>
      <c r="K831" s="256"/>
      <c r="L831" s="256"/>
      <c r="M831" s="256"/>
    </row>
    <row r="832" spans="1:13" ht="11.55" customHeight="1" x14ac:dyDescent="0.3">
      <c r="A832" s="272"/>
      <c r="B832" s="272"/>
      <c r="C832" s="256"/>
      <c r="D832" s="256"/>
      <c r="E832" s="273"/>
      <c r="F832" s="273"/>
      <c r="G832" s="258">
        <f t="shared" ca="1" si="13"/>
        <v>46069</v>
      </c>
      <c r="H832" s="256"/>
      <c r="I832" s="257"/>
      <c r="K832" s="256"/>
      <c r="L832" s="256"/>
      <c r="M832" s="256"/>
    </row>
    <row r="833" spans="1:13" ht="11.55" customHeight="1" x14ac:dyDescent="0.3">
      <c r="A833" s="256"/>
      <c r="B833" s="256"/>
      <c r="C833" s="256"/>
      <c r="D833" s="256"/>
      <c r="E833" s="257"/>
      <c r="F833" s="257"/>
      <c r="G833" s="258">
        <f t="shared" ca="1" si="13"/>
        <v>46069</v>
      </c>
      <c r="H833" s="256"/>
      <c r="I833" s="256"/>
      <c r="K833" s="256"/>
      <c r="L833" s="256"/>
      <c r="M833" s="256"/>
    </row>
    <row r="834" spans="1:13" ht="11.55" customHeight="1" x14ac:dyDescent="0.3">
      <c r="A834" s="262"/>
      <c r="B834" s="262"/>
      <c r="C834" s="256"/>
      <c r="D834" s="263"/>
      <c r="E834" s="264"/>
      <c r="F834" s="264"/>
      <c r="G834" s="258">
        <f t="shared" ca="1" si="13"/>
        <v>46069</v>
      </c>
      <c r="H834" s="263"/>
      <c r="I834" s="257"/>
      <c r="K834" s="263"/>
      <c r="L834" s="263"/>
      <c r="M834" s="263"/>
    </row>
    <row r="835" spans="1:13" ht="11.55" customHeight="1" x14ac:dyDescent="0.3">
      <c r="A835" s="256"/>
      <c r="B835" s="256"/>
      <c r="C835" s="268"/>
      <c r="D835" s="256"/>
      <c r="E835" s="257"/>
      <c r="F835" s="257"/>
      <c r="G835" s="258">
        <f t="shared" ca="1" si="13"/>
        <v>46069</v>
      </c>
      <c r="H835" s="256"/>
      <c r="I835" s="257"/>
      <c r="K835" s="256"/>
      <c r="L835" s="256"/>
      <c r="M835" s="256"/>
    </row>
    <row r="836" spans="1:13" ht="11.55" customHeight="1" x14ac:dyDescent="0.3">
      <c r="A836" s="256"/>
      <c r="B836" s="256"/>
      <c r="C836" s="268"/>
      <c r="D836" s="256"/>
      <c r="E836" s="257"/>
      <c r="F836" s="257"/>
      <c r="G836" s="258">
        <f t="shared" ca="1" si="13"/>
        <v>46069</v>
      </c>
      <c r="H836" s="256"/>
      <c r="I836" s="257"/>
      <c r="K836" s="256"/>
      <c r="L836" s="256"/>
      <c r="M836" s="256"/>
    </row>
    <row r="837" spans="1:13" ht="11.55" customHeight="1" x14ac:dyDescent="0.3">
      <c r="A837" s="259"/>
      <c r="B837" s="259"/>
      <c r="C837" s="256"/>
      <c r="D837" s="256"/>
      <c r="E837" s="260"/>
      <c r="F837" s="260"/>
      <c r="G837" s="258">
        <f t="shared" ca="1" si="13"/>
        <v>46069</v>
      </c>
      <c r="H837" s="256"/>
      <c r="I837" s="257"/>
      <c r="K837" s="256"/>
      <c r="L837" s="256"/>
      <c r="M837" s="256"/>
    </row>
    <row r="838" spans="1:13" ht="11.55" customHeight="1" x14ac:dyDescent="0.3">
      <c r="A838" s="256"/>
      <c r="B838" s="256"/>
      <c r="C838" s="256"/>
      <c r="D838" s="256"/>
      <c r="E838" s="257"/>
      <c r="F838" s="257"/>
      <c r="G838" s="258">
        <f t="shared" ca="1" si="13"/>
        <v>46069</v>
      </c>
      <c r="H838" s="256"/>
      <c r="I838" s="256"/>
      <c r="K838" s="256"/>
      <c r="L838" s="256"/>
      <c r="M838" s="256"/>
    </row>
    <row r="839" spans="1:13" ht="11.55" customHeight="1" x14ac:dyDescent="0.3">
      <c r="A839" s="256"/>
      <c r="B839" s="256"/>
      <c r="C839" s="256"/>
      <c r="D839" s="256"/>
      <c r="E839" s="257"/>
      <c r="F839" s="257"/>
      <c r="G839" s="258">
        <f t="shared" ca="1" si="13"/>
        <v>46069</v>
      </c>
      <c r="H839" s="256"/>
      <c r="I839" s="256"/>
      <c r="K839" s="256"/>
      <c r="L839" s="256"/>
      <c r="M839" s="256"/>
    </row>
    <row r="840" spans="1:13" ht="11.55" customHeight="1" x14ac:dyDescent="0.3">
      <c r="A840" s="256"/>
      <c r="B840" s="256"/>
      <c r="C840" s="256"/>
      <c r="D840" s="256"/>
      <c r="E840" s="257"/>
      <c r="F840" s="257"/>
      <c r="G840" s="258">
        <f t="shared" ca="1" si="13"/>
        <v>46069</v>
      </c>
      <c r="H840" s="256"/>
      <c r="I840" s="256"/>
      <c r="K840" s="256"/>
      <c r="L840" s="256"/>
      <c r="M840" s="256"/>
    </row>
    <row r="841" spans="1:13" ht="11.55" customHeight="1" x14ac:dyDescent="0.3">
      <c r="A841" s="268"/>
      <c r="B841" s="268"/>
      <c r="C841" s="256"/>
      <c r="D841" s="263"/>
      <c r="E841" s="269"/>
      <c r="F841" s="269"/>
      <c r="G841" s="258">
        <f t="shared" ca="1" si="13"/>
        <v>46069</v>
      </c>
      <c r="H841" s="263"/>
      <c r="I841" s="257"/>
      <c r="K841" s="263"/>
      <c r="L841" s="263"/>
      <c r="M841" s="263"/>
    </row>
    <row r="842" spans="1:13" ht="11.55" customHeight="1" x14ac:dyDescent="0.3">
      <c r="A842" s="259"/>
      <c r="B842" s="259"/>
      <c r="C842" s="256"/>
      <c r="D842" s="256"/>
      <c r="E842" s="260"/>
      <c r="F842" s="260"/>
      <c r="G842" s="258">
        <f t="shared" ca="1" si="13"/>
        <v>46069</v>
      </c>
      <c r="H842" s="256"/>
      <c r="I842" s="256"/>
      <c r="K842" s="256"/>
      <c r="L842" s="256"/>
      <c r="M842" s="256"/>
    </row>
    <row r="843" spans="1:13" ht="11.55" customHeight="1" x14ac:dyDescent="0.3">
      <c r="A843" s="256"/>
      <c r="B843" s="256"/>
      <c r="C843" s="256"/>
      <c r="D843" s="256"/>
      <c r="E843" s="257"/>
      <c r="F843" s="257"/>
      <c r="G843" s="258">
        <f t="shared" ca="1" si="13"/>
        <v>46069</v>
      </c>
      <c r="H843" s="256"/>
      <c r="I843" s="256"/>
      <c r="K843" s="256"/>
      <c r="L843" s="256"/>
      <c r="M843" s="256"/>
    </row>
    <row r="844" spans="1:13" ht="11.55" customHeight="1" x14ac:dyDescent="0.3">
      <c r="A844" s="256"/>
      <c r="B844" s="256"/>
      <c r="C844" s="256"/>
      <c r="D844" s="256"/>
      <c r="E844" s="257"/>
      <c r="F844" s="257"/>
      <c r="G844" s="258">
        <f t="shared" ca="1" si="13"/>
        <v>46069</v>
      </c>
      <c r="H844" s="256"/>
      <c r="I844" s="256"/>
      <c r="K844" s="256"/>
      <c r="L844" s="256"/>
      <c r="M844" s="256"/>
    </row>
    <row r="845" spans="1:13" ht="11.55" customHeight="1" x14ac:dyDescent="0.3">
      <c r="A845" s="256"/>
      <c r="B845" s="256"/>
      <c r="C845" s="256"/>
      <c r="D845" s="256"/>
      <c r="E845" s="257"/>
      <c r="F845" s="257"/>
      <c r="G845" s="258">
        <f t="shared" ca="1" si="13"/>
        <v>46069</v>
      </c>
      <c r="H845" s="256"/>
      <c r="I845" s="256"/>
      <c r="K845" s="256"/>
      <c r="L845" s="256"/>
      <c r="M845" s="256"/>
    </row>
    <row r="846" spans="1:13" ht="11.55" customHeight="1" x14ac:dyDescent="0.3">
      <c r="A846" s="268"/>
      <c r="B846" s="268"/>
      <c r="C846" s="268"/>
      <c r="D846" s="263"/>
      <c r="E846" s="269"/>
      <c r="F846" s="269"/>
      <c r="G846" s="258">
        <f t="shared" ca="1" si="13"/>
        <v>46069</v>
      </c>
      <c r="H846" s="263"/>
      <c r="I846" s="257"/>
      <c r="K846" s="263"/>
      <c r="L846" s="256"/>
      <c r="M846" s="256"/>
    </row>
    <row r="847" spans="1:13" ht="11.55" customHeight="1" x14ac:dyDescent="0.3">
      <c r="A847" s="256"/>
      <c r="B847" s="256"/>
      <c r="C847" s="256"/>
      <c r="D847" s="256"/>
      <c r="E847" s="257"/>
      <c r="F847" s="257"/>
      <c r="G847" s="258">
        <f t="shared" ca="1" si="13"/>
        <v>46069</v>
      </c>
      <c r="H847" s="256"/>
      <c r="I847" s="256"/>
      <c r="K847" s="256"/>
      <c r="L847" s="256"/>
      <c r="M847" s="256"/>
    </row>
    <row r="848" spans="1:13" ht="11.55" customHeight="1" x14ac:dyDescent="0.3">
      <c r="A848" s="256"/>
      <c r="B848" s="256"/>
      <c r="C848" s="256"/>
      <c r="D848" s="256"/>
      <c r="E848" s="257"/>
      <c r="F848" s="257"/>
      <c r="G848" s="258">
        <f t="shared" ca="1" si="13"/>
        <v>46069</v>
      </c>
      <c r="H848" s="256"/>
      <c r="I848" s="256"/>
      <c r="K848" s="256"/>
      <c r="L848" s="256"/>
      <c r="M848" s="256"/>
    </row>
    <row r="849" spans="1:13" ht="11.55" customHeight="1" x14ac:dyDescent="0.3">
      <c r="A849" s="256"/>
      <c r="B849" s="256"/>
      <c r="C849" s="256"/>
      <c r="D849" s="256"/>
      <c r="E849" s="257"/>
      <c r="F849" s="257"/>
      <c r="G849" s="258">
        <f t="shared" ca="1" si="13"/>
        <v>46069</v>
      </c>
      <c r="H849" s="256"/>
      <c r="I849" s="257"/>
      <c r="K849" s="256"/>
      <c r="L849" s="256"/>
      <c r="M849" s="256"/>
    </row>
    <row r="850" spans="1:13" ht="11.55" customHeight="1" x14ac:dyDescent="0.3">
      <c r="A850" s="256"/>
      <c r="B850" s="256"/>
      <c r="C850" s="256"/>
      <c r="D850" s="256"/>
      <c r="E850" s="257"/>
      <c r="F850" s="257"/>
      <c r="G850" s="258">
        <f t="shared" ca="1" si="13"/>
        <v>46069</v>
      </c>
      <c r="H850" s="256"/>
      <c r="I850" s="257"/>
      <c r="K850" s="256"/>
      <c r="L850" s="256"/>
      <c r="M850" s="256"/>
    </row>
    <row r="851" spans="1:13" ht="11.55" customHeight="1" x14ac:dyDescent="0.3">
      <c r="A851" s="259"/>
      <c r="B851" s="259"/>
      <c r="C851" s="256"/>
      <c r="D851" s="256"/>
      <c r="E851" s="260"/>
      <c r="F851" s="260"/>
      <c r="G851" s="258">
        <f t="shared" ca="1" si="13"/>
        <v>46069</v>
      </c>
      <c r="H851" s="256"/>
      <c r="I851" s="257"/>
      <c r="K851" s="256"/>
      <c r="L851" s="256"/>
      <c r="M851" s="256"/>
    </row>
    <row r="852" spans="1:13" ht="11.55" customHeight="1" x14ac:dyDescent="0.3">
      <c r="A852" s="256"/>
      <c r="B852" s="256"/>
      <c r="C852" s="256"/>
      <c r="D852" s="256"/>
      <c r="E852" s="257"/>
      <c r="F852" s="257"/>
      <c r="G852" s="258">
        <f t="shared" ca="1" si="13"/>
        <v>46069</v>
      </c>
      <c r="H852" s="256"/>
      <c r="I852" s="256"/>
      <c r="K852" s="256"/>
      <c r="L852" s="256"/>
      <c r="M852" s="256"/>
    </row>
    <row r="853" spans="1:13" ht="11.55" customHeight="1" x14ac:dyDescent="0.3">
      <c r="A853" s="268"/>
      <c r="B853" s="268"/>
      <c r="C853" s="268"/>
      <c r="D853" s="263"/>
      <c r="E853" s="269"/>
      <c r="F853" s="269"/>
      <c r="G853" s="258">
        <f t="shared" ca="1" si="13"/>
        <v>46069</v>
      </c>
      <c r="H853" s="263"/>
      <c r="I853" s="257"/>
      <c r="K853" s="263"/>
      <c r="L853" s="263"/>
      <c r="M853" s="263"/>
    </row>
    <row r="854" spans="1:13" ht="11.55" customHeight="1" x14ac:dyDescent="0.3">
      <c r="A854" s="256"/>
      <c r="B854" s="256"/>
      <c r="C854" s="256"/>
      <c r="D854" s="256"/>
      <c r="E854" s="257"/>
      <c r="F854" s="257"/>
      <c r="G854" s="258">
        <f t="shared" ca="1" si="13"/>
        <v>46069</v>
      </c>
      <c r="H854" s="256"/>
      <c r="I854" s="256"/>
      <c r="K854" s="256"/>
      <c r="L854" s="256"/>
      <c r="M854" s="256"/>
    </row>
    <row r="855" spans="1:13" ht="11.55" customHeight="1" x14ac:dyDescent="0.3">
      <c r="A855" s="256"/>
      <c r="B855" s="256"/>
      <c r="C855" s="256"/>
      <c r="D855" s="256"/>
      <c r="E855" s="257"/>
      <c r="F855" s="257"/>
      <c r="G855" s="258">
        <f t="shared" ca="1" si="13"/>
        <v>46069</v>
      </c>
      <c r="H855" s="256"/>
      <c r="I855" s="256"/>
      <c r="K855" s="256"/>
      <c r="L855" s="256"/>
      <c r="M855" s="256"/>
    </row>
    <row r="856" spans="1:13" ht="11.55" customHeight="1" x14ac:dyDescent="0.3">
      <c r="A856" s="256"/>
      <c r="B856" s="256"/>
      <c r="C856" s="256"/>
      <c r="D856" s="256"/>
      <c r="E856" s="257"/>
      <c r="F856" s="257"/>
      <c r="G856" s="258">
        <f t="shared" ca="1" si="13"/>
        <v>46069</v>
      </c>
      <c r="H856" s="256"/>
      <c r="I856" s="256"/>
      <c r="K856" s="256"/>
      <c r="L856" s="256"/>
      <c r="M856" s="256"/>
    </row>
    <row r="857" spans="1:13" ht="11.55" customHeight="1" x14ac:dyDescent="0.3">
      <c r="A857" s="262"/>
      <c r="B857" s="262"/>
      <c r="C857" s="262"/>
      <c r="D857" s="263"/>
      <c r="E857" s="264"/>
      <c r="F857" s="264"/>
      <c r="G857" s="258">
        <f t="shared" ca="1" si="13"/>
        <v>46069</v>
      </c>
      <c r="H857" s="263"/>
      <c r="I857" s="267"/>
      <c r="K857" s="263"/>
      <c r="L857" s="263"/>
      <c r="M857" s="263"/>
    </row>
    <row r="858" spans="1:13" ht="11.55" customHeight="1" x14ac:dyDescent="0.3">
      <c r="A858" s="256"/>
      <c r="B858" s="256"/>
      <c r="C858" s="256"/>
      <c r="D858" s="256"/>
      <c r="E858" s="257"/>
      <c r="F858" s="257"/>
      <c r="G858" s="258">
        <f t="shared" ca="1" si="13"/>
        <v>46069</v>
      </c>
      <c r="H858" s="256"/>
      <c r="I858" s="256"/>
      <c r="K858" s="256"/>
      <c r="L858" s="256"/>
      <c r="M858" s="256"/>
    </row>
    <row r="859" spans="1:13" ht="11.55" customHeight="1" x14ac:dyDescent="0.3">
      <c r="A859" s="256"/>
      <c r="B859" s="256"/>
      <c r="C859" s="256"/>
      <c r="D859" s="256"/>
      <c r="E859" s="257"/>
      <c r="F859" s="257"/>
      <c r="G859" s="258">
        <f t="shared" ca="1" si="13"/>
        <v>46069</v>
      </c>
      <c r="H859" s="256"/>
      <c r="I859" s="257"/>
      <c r="K859" s="256"/>
      <c r="L859" s="256"/>
      <c r="M859" s="256"/>
    </row>
    <row r="860" spans="1:13" ht="11.55" customHeight="1" x14ac:dyDescent="0.3">
      <c r="A860" s="256"/>
      <c r="B860" s="256"/>
      <c r="C860" s="256"/>
      <c r="D860" s="256"/>
      <c r="E860" s="257"/>
      <c r="F860" s="257"/>
      <c r="G860" s="258">
        <f t="shared" ca="1" si="13"/>
        <v>46069</v>
      </c>
      <c r="H860" s="256"/>
      <c r="I860" s="257"/>
      <c r="K860" s="256"/>
      <c r="L860" s="256"/>
      <c r="M860" s="256"/>
    </row>
    <row r="861" spans="1:13" ht="11.55" customHeight="1" x14ac:dyDescent="0.3">
      <c r="A861" s="256"/>
      <c r="B861" s="256"/>
      <c r="C861" s="259"/>
      <c r="D861" s="256"/>
      <c r="E861" s="257"/>
      <c r="F861" s="257"/>
      <c r="G861" s="258">
        <f t="shared" ca="1" si="13"/>
        <v>46069</v>
      </c>
      <c r="H861" s="256"/>
      <c r="I861" s="256"/>
      <c r="K861" s="256"/>
      <c r="L861" s="256"/>
      <c r="M861" s="256"/>
    </row>
    <row r="862" spans="1:13" ht="11.55" customHeight="1" x14ac:dyDescent="0.3">
      <c r="A862" s="278"/>
      <c r="B862" s="278"/>
      <c r="C862" s="256"/>
      <c r="D862" s="278"/>
      <c r="E862" s="279"/>
      <c r="F862" s="279"/>
      <c r="G862" s="258">
        <f t="shared" ca="1" si="13"/>
        <v>46069</v>
      </c>
      <c r="H862" s="278"/>
      <c r="I862" s="279"/>
      <c r="K862" s="278"/>
      <c r="L862" s="256"/>
      <c r="M862" s="263"/>
    </row>
    <row r="863" spans="1:13" ht="11.55" customHeight="1" x14ac:dyDescent="0.3">
      <c r="A863" s="268"/>
      <c r="B863" s="268"/>
      <c r="C863" s="268"/>
      <c r="D863" s="263"/>
      <c r="E863" s="269"/>
      <c r="F863" s="269"/>
      <c r="G863" s="258">
        <f t="shared" ca="1" si="13"/>
        <v>46069</v>
      </c>
      <c r="H863" s="263"/>
      <c r="I863" s="257"/>
      <c r="K863" s="263"/>
      <c r="L863" s="256"/>
      <c r="M863" s="256"/>
    </row>
    <row r="864" spans="1:13" ht="11.55" customHeight="1" x14ac:dyDescent="0.3">
      <c r="A864" s="259"/>
      <c r="B864" s="259"/>
      <c r="C864" s="259"/>
      <c r="D864" s="256"/>
      <c r="E864" s="260"/>
      <c r="F864" s="260"/>
      <c r="G864" s="258">
        <f t="shared" ca="1" si="13"/>
        <v>46069</v>
      </c>
      <c r="H864" s="256"/>
      <c r="I864" s="257"/>
      <c r="K864" s="256"/>
      <c r="L864" s="256"/>
      <c r="M864" s="256"/>
    </row>
    <row r="865" spans="1:13" ht="11.55" customHeight="1" x14ac:dyDescent="0.3">
      <c r="A865" s="256"/>
      <c r="B865" s="256"/>
      <c r="C865" s="268"/>
      <c r="D865" s="256"/>
      <c r="E865" s="257"/>
      <c r="F865" s="257"/>
      <c r="G865" s="258">
        <f t="shared" ca="1" si="13"/>
        <v>46069</v>
      </c>
      <c r="H865" s="256"/>
      <c r="I865" s="257"/>
      <c r="K865" s="256"/>
      <c r="L865" s="256"/>
      <c r="M865" s="256"/>
    </row>
    <row r="866" spans="1:13" ht="11.55" customHeight="1" x14ac:dyDescent="0.3">
      <c r="A866" s="268"/>
      <c r="B866" s="268"/>
      <c r="C866" s="268"/>
      <c r="D866" s="263"/>
      <c r="E866" s="269"/>
      <c r="F866" s="269"/>
      <c r="G866" s="258">
        <f t="shared" ca="1" si="13"/>
        <v>46069</v>
      </c>
      <c r="H866" s="263"/>
      <c r="I866" s="257"/>
      <c r="K866" s="263"/>
      <c r="L866" s="263"/>
      <c r="M866" s="263"/>
    </row>
    <row r="867" spans="1:13" ht="11.55" customHeight="1" x14ac:dyDescent="0.3">
      <c r="A867" s="256"/>
      <c r="B867" s="256"/>
      <c r="C867" s="259"/>
      <c r="D867" s="256"/>
      <c r="E867" s="257"/>
      <c r="F867" s="257"/>
      <c r="G867" s="258">
        <f t="shared" ca="1" si="13"/>
        <v>46069</v>
      </c>
      <c r="H867" s="256"/>
      <c r="I867" s="256"/>
      <c r="K867" s="256"/>
      <c r="L867" s="256"/>
      <c r="M867" s="256"/>
    </row>
    <row r="868" spans="1:13" ht="11.55" customHeight="1" x14ac:dyDescent="0.3">
      <c r="A868" s="256"/>
      <c r="B868" s="256"/>
      <c r="C868" s="256"/>
      <c r="D868" s="256"/>
      <c r="E868" s="257"/>
      <c r="F868" s="257"/>
      <c r="G868" s="258">
        <f t="shared" ca="1" si="13"/>
        <v>46069</v>
      </c>
      <c r="H868" s="256"/>
      <c r="I868" s="257"/>
      <c r="K868" s="256"/>
      <c r="L868" s="256"/>
      <c r="M868" s="256"/>
    </row>
    <row r="869" spans="1:13" ht="11.55" customHeight="1" x14ac:dyDescent="0.3">
      <c r="A869" s="256"/>
      <c r="B869" s="256"/>
      <c r="C869" s="256"/>
      <c r="D869" s="256"/>
      <c r="E869" s="257"/>
      <c r="F869" s="257"/>
      <c r="G869" s="258">
        <f t="shared" ref="G869:G886" ca="1" si="14">TODAY()-E869</f>
        <v>46069</v>
      </c>
      <c r="H869" s="256"/>
      <c r="I869" s="257"/>
      <c r="K869" s="256"/>
      <c r="L869" s="256"/>
      <c r="M869" s="256"/>
    </row>
    <row r="870" spans="1:13" ht="11.55" customHeight="1" x14ac:dyDescent="0.3">
      <c r="A870" s="256"/>
      <c r="B870" s="256"/>
      <c r="C870" s="256"/>
      <c r="D870" s="256"/>
      <c r="E870" s="257"/>
      <c r="F870" s="257"/>
      <c r="G870" s="258">
        <f t="shared" ca="1" si="14"/>
        <v>46069</v>
      </c>
      <c r="H870" s="256"/>
      <c r="I870" s="257"/>
      <c r="K870" s="256"/>
      <c r="L870" s="256"/>
      <c r="M870" s="256"/>
    </row>
    <row r="871" spans="1:13" ht="11.55" customHeight="1" x14ac:dyDescent="0.3">
      <c r="A871" s="256"/>
      <c r="B871" s="256"/>
      <c r="C871" s="256"/>
      <c r="D871" s="256"/>
      <c r="E871" s="257"/>
      <c r="F871" s="257"/>
      <c r="G871" s="258">
        <f t="shared" ca="1" si="14"/>
        <v>46069</v>
      </c>
      <c r="H871" s="256"/>
      <c r="I871" s="256"/>
      <c r="K871" s="256"/>
      <c r="L871" s="256"/>
      <c r="M871" s="256"/>
    </row>
    <row r="872" spans="1:13" ht="11.55" customHeight="1" x14ac:dyDescent="0.3">
      <c r="A872" s="256"/>
      <c r="B872" s="256"/>
      <c r="C872" s="256"/>
      <c r="D872" s="256"/>
      <c r="E872" s="257"/>
      <c r="F872" s="257"/>
      <c r="G872" s="258">
        <f t="shared" ca="1" si="14"/>
        <v>46069</v>
      </c>
      <c r="H872" s="256"/>
      <c r="I872" s="257"/>
      <c r="K872" s="256"/>
      <c r="L872" s="256"/>
      <c r="M872" s="256"/>
    </row>
    <row r="873" spans="1:13" ht="11.55" customHeight="1" x14ac:dyDescent="0.3">
      <c r="A873" s="256"/>
      <c r="B873" s="256"/>
      <c r="C873" s="256"/>
      <c r="D873" s="256"/>
      <c r="E873" s="257"/>
      <c r="F873" s="257"/>
      <c r="G873" s="258">
        <f t="shared" ca="1" si="14"/>
        <v>46069</v>
      </c>
      <c r="H873" s="256"/>
      <c r="I873" s="256"/>
      <c r="K873" s="256"/>
      <c r="L873" s="256"/>
      <c r="M873" s="256"/>
    </row>
    <row r="874" spans="1:13" ht="11.55" customHeight="1" x14ac:dyDescent="0.3">
      <c r="A874" s="268"/>
      <c r="B874" s="268"/>
      <c r="C874" s="256"/>
      <c r="D874" s="263"/>
      <c r="E874" s="269"/>
      <c r="F874" s="269"/>
      <c r="G874" s="258">
        <f t="shared" ca="1" si="14"/>
        <v>46069</v>
      </c>
      <c r="H874" s="263"/>
      <c r="I874" s="257"/>
      <c r="K874" s="263"/>
      <c r="L874" s="263"/>
      <c r="M874" s="263"/>
    </row>
    <row r="875" spans="1:13" ht="11.55" customHeight="1" x14ac:dyDescent="0.3">
      <c r="A875" s="256"/>
      <c r="B875" s="256"/>
      <c r="C875" s="256"/>
      <c r="D875" s="256"/>
      <c r="E875" s="257"/>
      <c r="F875" s="257"/>
      <c r="G875" s="258">
        <f t="shared" ca="1" si="14"/>
        <v>46069</v>
      </c>
      <c r="H875" s="256"/>
      <c r="I875" s="257"/>
      <c r="K875" s="256"/>
      <c r="L875" s="256"/>
      <c r="M875" s="256"/>
    </row>
    <row r="876" spans="1:13" ht="11.55" customHeight="1" x14ac:dyDescent="0.3">
      <c r="A876" s="256"/>
      <c r="B876" s="256"/>
      <c r="C876" s="256"/>
      <c r="D876" s="256"/>
      <c r="E876" s="257"/>
      <c r="F876" s="257"/>
      <c r="G876" s="258">
        <f t="shared" ca="1" si="14"/>
        <v>46069</v>
      </c>
      <c r="H876" s="256"/>
      <c r="I876" s="256"/>
      <c r="K876" s="256"/>
      <c r="L876" s="256"/>
      <c r="M876" s="256"/>
    </row>
    <row r="877" spans="1:13" ht="11.55" customHeight="1" x14ac:dyDescent="0.3">
      <c r="A877" s="256"/>
      <c r="B877" s="256"/>
      <c r="C877" s="268"/>
      <c r="D877" s="256"/>
      <c r="E877" s="256"/>
      <c r="F877" s="256"/>
      <c r="G877" s="258">
        <f t="shared" ca="1" si="14"/>
        <v>46069</v>
      </c>
      <c r="H877" s="256"/>
      <c r="I877" s="257"/>
      <c r="K877" s="256"/>
      <c r="L877" s="256"/>
      <c r="M877" s="256"/>
    </row>
    <row r="878" spans="1:13" ht="11.55" customHeight="1" x14ac:dyDescent="0.3">
      <c r="A878" s="256"/>
      <c r="B878" s="256"/>
      <c r="C878" s="256"/>
      <c r="D878" s="256"/>
      <c r="E878" s="257"/>
      <c r="F878" s="257"/>
      <c r="G878" s="258">
        <f t="shared" ca="1" si="14"/>
        <v>46069</v>
      </c>
      <c r="H878" s="256"/>
      <c r="I878" s="256"/>
      <c r="K878" s="256"/>
      <c r="L878" s="256"/>
      <c r="M878" s="256"/>
    </row>
    <row r="879" spans="1:13" ht="11.55" customHeight="1" x14ac:dyDescent="0.3">
      <c r="A879" s="256"/>
      <c r="B879" s="256"/>
      <c r="C879" s="256"/>
      <c r="D879" s="256"/>
      <c r="E879" s="257"/>
      <c r="F879" s="257"/>
      <c r="G879" s="258">
        <f t="shared" ca="1" si="14"/>
        <v>46069</v>
      </c>
      <c r="H879" s="256"/>
      <c r="I879" s="256"/>
      <c r="K879" s="256"/>
      <c r="L879" s="256"/>
      <c r="M879" s="256"/>
    </row>
    <row r="880" spans="1:13" ht="11.55" customHeight="1" x14ac:dyDescent="0.3">
      <c r="A880" s="256"/>
      <c r="B880" s="256"/>
      <c r="C880" s="256"/>
      <c r="D880" s="256"/>
      <c r="E880" s="257"/>
      <c r="F880" s="257"/>
      <c r="G880" s="258">
        <f t="shared" ca="1" si="14"/>
        <v>46069</v>
      </c>
      <c r="H880" s="256"/>
      <c r="I880" s="256"/>
      <c r="K880" s="256"/>
      <c r="L880" s="256"/>
      <c r="M880" s="256"/>
    </row>
    <row r="881" spans="1:13" ht="11.55" customHeight="1" x14ac:dyDescent="0.3">
      <c r="A881" s="256"/>
      <c r="B881" s="256"/>
      <c r="C881" s="256"/>
      <c r="D881" s="256"/>
      <c r="E881" s="257"/>
      <c r="F881" s="257"/>
      <c r="G881" s="258">
        <f t="shared" ca="1" si="14"/>
        <v>46069</v>
      </c>
      <c r="H881" s="256"/>
      <c r="I881" s="257"/>
      <c r="K881" s="256"/>
      <c r="L881" s="256"/>
      <c r="M881" s="256"/>
    </row>
    <row r="882" spans="1:13" ht="11.55" customHeight="1" x14ac:dyDescent="0.3">
      <c r="A882" s="256"/>
      <c r="B882" s="256"/>
      <c r="C882" s="256"/>
      <c r="D882" s="256"/>
      <c r="E882" s="257"/>
      <c r="F882" s="257"/>
      <c r="G882" s="258">
        <f t="shared" ca="1" si="14"/>
        <v>46069</v>
      </c>
      <c r="H882" s="256"/>
      <c r="I882" s="256"/>
      <c r="K882" s="256"/>
      <c r="L882" s="256"/>
      <c r="M882" s="256"/>
    </row>
    <row r="883" spans="1:13" ht="11.55" customHeight="1" x14ac:dyDescent="0.3">
      <c r="A883" s="268"/>
      <c r="B883" s="268"/>
      <c r="C883" s="256"/>
      <c r="D883" s="263"/>
      <c r="E883" s="269"/>
      <c r="F883" s="269"/>
      <c r="G883" s="258">
        <f t="shared" ca="1" si="14"/>
        <v>46069</v>
      </c>
      <c r="H883" s="256"/>
      <c r="I883" s="256"/>
      <c r="K883" s="263"/>
      <c r="L883" s="263"/>
      <c r="M883" s="263"/>
    </row>
    <row r="884" spans="1:13" ht="11.55" customHeight="1" x14ac:dyDescent="0.3">
      <c r="A884" s="256"/>
      <c r="B884" s="256"/>
      <c r="C884" s="256"/>
      <c r="D884" s="256"/>
      <c r="E884" s="257"/>
      <c r="F884" s="257"/>
      <c r="G884" s="258">
        <f t="shared" ca="1" si="14"/>
        <v>46069</v>
      </c>
      <c r="H884" s="256"/>
      <c r="I884" s="256"/>
      <c r="K884" s="256"/>
      <c r="L884" s="256"/>
      <c r="M884" s="256"/>
    </row>
    <row r="885" spans="1:13" ht="11.55" customHeight="1" x14ac:dyDescent="0.3">
      <c r="A885" s="268"/>
      <c r="B885" s="268"/>
      <c r="C885" s="268"/>
      <c r="D885" s="263"/>
      <c r="E885" s="269"/>
      <c r="F885" s="269"/>
      <c r="G885" s="258">
        <f t="shared" ca="1" si="14"/>
        <v>46069</v>
      </c>
      <c r="H885" s="263"/>
      <c r="I885" s="256"/>
      <c r="K885" s="263"/>
      <c r="L885" s="263"/>
      <c r="M885" s="263"/>
    </row>
    <row r="886" spans="1:13" ht="11.55" customHeight="1" x14ac:dyDescent="0.3">
      <c r="A886" s="256"/>
      <c r="B886" s="256"/>
      <c r="C886" s="256"/>
      <c r="D886" s="256"/>
      <c r="E886" s="257"/>
      <c r="F886" s="257"/>
      <c r="G886" s="258">
        <f t="shared" ca="1" si="14"/>
        <v>46069</v>
      </c>
      <c r="H886" s="256"/>
      <c r="I886" s="256"/>
      <c r="K886" s="256"/>
      <c r="L886" s="256"/>
      <c r="M886" s="256"/>
    </row>
    <row r="887" spans="1:13" ht="11.55" customHeight="1" x14ac:dyDescent="0.3">
      <c r="A887" s="256"/>
      <c r="B887" s="256"/>
      <c r="C887" s="256"/>
      <c r="D887" s="256"/>
      <c r="E887" s="257"/>
      <c r="F887" s="257"/>
      <c r="H887" s="256"/>
      <c r="I887" s="257"/>
      <c r="K887" s="256"/>
      <c r="L887" s="256"/>
      <c r="M887" s="256"/>
    </row>
    <row r="888" spans="1:13" ht="11.55" customHeight="1" x14ac:dyDescent="0.3">
      <c r="A888" s="256"/>
      <c r="B888" s="256"/>
      <c r="C888" s="256"/>
      <c r="D888" s="256"/>
      <c r="E888" s="257"/>
      <c r="F888" s="257"/>
      <c r="H888" s="256"/>
      <c r="I888" s="256"/>
      <c r="K888" s="256"/>
      <c r="L888" s="256"/>
      <c r="M888" s="256"/>
    </row>
    <row r="889" spans="1:13" ht="11.55" customHeight="1" x14ac:dyDescent="0.3">
      <c r="A889" s="259"/>
      <c r="B889" s="259"/>
      <c r="C889" s="259"/>
      <c r="D889" s="256"/>
      <c r="E889" s="260"/>
      <c r="F889" s="260"/>
      <c r="H889" s="263"/>
      <c r="I889" s="257"/>
      <c r="K889" s="256"/>
      <c r="L889" s="256"/>
      <c r="M889" s="256"/>
    </row>
    <row r="890" spans="1:13" ht="11.55" customHeight="1" x14ac:dyDescent="0.3">
      <c r="A890" s="259"/>
      <c r="B890" s="259"/>
      <c r="C890" s="259"/>
      <c r="D890" s="256"/>
      <c r="E890" s="260"/>
      <c r="F890" s="260"/>
      <c r="H890" s="256"/>
      <c r="I890" s="257"/>
      <c r="K890" s="256"/>
      <c r="L890" s="256"/>
      <c r="M890" s="256"/>
    </row>
    <row r="891" spans="1:13" ht="11.55" customHeight="1" x14ac:dyDescent="0.3">
      <c r="A891" s="256"/>
      <c r="B891" s="256"/>
      <c r="C891" s="256"/>
      <c r="D891" s="256"/>
      <c r="E891" s="257"/>
      <c r="F891" s="257"/>
      <c r="H891" s="256"/>
      <c r="I891" s="256"/>
      <c r="K891" s="256"/>
      <c r="L891" s="256"/>
      <c r="M891" s="256"/>
    </row>
    <row r="892" spans="1:13" ht="11.55" customHeight="1" x14ac:dyDescent="0.3">
      <c r="A892" s="256"/>
      <c r="B892" s="256"/>
      <c r="C892" s="256"/>
      <c r="D892" s="256"/>
      <c r="E892" s="257"/>
      <c r="F892" s="257"/>
      <c r="H892" s="256"/>
      <c r="I892" s="256"/>
      <c r="K892" s="256"/>
      <c r="L892" s="256"/>
      <c r="M892" s="256"/>
    </row>
    <row r="893" spans="1:13" ht="11.55" customHeight="1" x14ac:dyDescent="0.3">
      <c r="A893" s="256"/>
      <c r="B893" s="256"/>
      <c r="C893" s="256"/>
      <c r="D893" s="256"/>
      <c r="E893" s="257"/>
      <c r="F893" s="257"/>
      <c r="H893" s="256"/>
      <c r="I893" s="256"/>
      <c r="K893" s="256"/>
      <c r="L893" s="256"/>
      <c r="M893" s="256"/>
    </row>
    <row r="894" spans="1:13" ht="11.55" customHeight="1" x14ac:dyDescent="0.3">
      <c r="A894" s="256"/>
      <c r="B894" s="256"/>
      <c r="C894" s="256"/>
      <c r="D894" s="256"/>
      <c r="E894" s="257"/>
      <c r="F894" s="257"/>
      <c r="H894" s="256"/>
      <c r="I894" s="256"/>
      <c r="K894" s="256"/>
      <c r="L894" s="256"/>
      <c r="M894" s="256"/>
    </row>
    <row r="895" spans="1:13" ht="11.55" customHeight="1" x14ac:dyDescent="0.3">
      <c r="A895" s="256"/>
      <c r="B895" s="256"/>
      <c r="C895" s="256"/>
      <c r="D895" s="256"/>
      <c r="E895" s="257"/>
      <c r="F895" s="257"/>
      <c r="H895" s="256"/>
      <c r="I895" s="256"/>
      <c r="K895" s="256"/>
      <c r="L895" s="256"/>
      <c r="M895" s="256"/>
    </row>
    <row r="896" spans="1:13" ht="11.55" customHeight="1" x14ac:dyDescent="0.3">
      <c r="A896" s="256"/>
      <c r="B896" s="256"/>
      <c r="C896" s="259"/>
      <c r="D896" s="256"/>
      <c r="E896" s="257"/>
      <c r="F896" s="257"/>
      <c r="H896" s="256"/>
      <c r="I896" s="256"/>
      <c r="K896" s="256"/>
      <c r="L896" s="256"/>
      <c r="M896" s="256"/>
    </row>
    <row r="897" spans="1:13" ht="11.55" customHeight="1" x14ac:dyDescent="0.3">
      <c r="A897" s="256"/>
      <c r="B897" s="256"/>
      <c r="C897" s="256"/>
      <c r="D897" s="256"/>
      <c r="E897" s="257"/>
      <c r="F897" s="257"/>
      <c r="H897" s="256"/>
      <c r="I897" s="256"/>
      <c r="K897" s="256"/>
      <c r="L897" s="256"/>
      <c r="M897" s="256"/>
    </row>
    <row r="898" spans="1:13" ht="11.55" customHeight="1" x14ac:dyDescent="0.3">
      <c r="A898" s="256"/>
      <c r="B898" s="256"/>
      <c r="C898" s="256"/>
      <c r="D898" s="256"/>
      <c r="E898" s="257"/>
      <c r="F898" s="257"/>
      <c r="H898" s="256"/>
      <c r="I898" s="256"/>
      <c r="K898" s="256"/>
      <c r="L898" s="256"/>
      <c r="M898" s="256"/>
    </row>
    <row r="899" spans="1:13" ht="11.55" customHeight="1" x14ac:dyDescent="0.3">
      <c r="A899" s="259"/>
      <c r="B899" s="259"/>
      <c r="C899" s="256"/>
      <c r="D899" s="256"/>
      <c r="E899" s="260"/>
      <c r="F899" s="260"/>
      <c r="H899" s="256"/>
      <c r="I899" s="257"/>
      <c r="K899" s="256"/>
      <c r="L899" s="256"/>
      <c r="M899" s="256"/>
    </row>
    <row r="900" spans="1:13" ht="11.55" customHeight="1" x14ac:dyDescent="0.3">
      <c r="A900" s="256"/>
      <c r="B900" s="256"/>
      <c r="C900" s="256"/>
      <c r="D900" s="256"/>
      <c r="E900" s="257"/>
      <c r="F900" s="257"/>
      <c r="H900" s="256"/>
      <c r="I900" s="256"/>
      <c r="K900" s="256"/>
      <c r="L900" s="256"/>
      <c r="M900" s="256"/>
    </row>
    <row r="901" spans="1:13" ht="11.55" customHeight="1" x14ac:dyDescent="0.3">
      <c r="A901" s="256"/>
      <c r="B901" s="256"/>
      <c r="C901" s="259"/>
      <c r="D901" s="256"/>
      <c r="E901" s="257"/>
      <c r="F901" s="257"/>
      <c r="H901" s="256"/>
      <c r="I901" s="256"/>
      <c r="K901" s="256"/>
      <c r="L901" s="256"/>
      <c r="M901" s="256"/>
    </row>
    <row r="902" spans="1:13" ht="11.55" customHeight="1" x14ac:dyDescent="0.3">
      <c r="A902" s="256"/>
      <c r="B902" s="256"/>
      <c r="C902" s="256"/>
      <c r="D902" s="256"/>
      <c r="E902" s="257"/>
      <c r="F902" s="257"/>
      <c r="H902" s="256"/>
      <c r="I902" s="256"/>
      <c r="K902" s="256"/>
      <c r="L902" s="256"/>
      <c r="M902" s="256"/>
    </row>
    <row r="903" spans="1:13" ht="11.55" customHeight="1" x14ac:dyDescent="0.3">
      <c r="A903" s="256"/>
      <c r="B903" s="256"/>
      <c r="C903" s="256"/>
      <c r="D903" s="256"/>
      <c r="E903" s="257"/>
      <c r="F903" s="257"/>
      <c r="H903" s="256"/>
      <c r="I903" s="256"/>
      <c r="K903" s="256"/>
      <c r="L903" s="256"/>
      <c r="M903" s="256"/>
    </row>
    <row r="904" spans="1:13" ht="11.55" customHeight="1" x14ac:dyDescent="0.3">
      <c r="A904" s="256"/>
      <c r="B904" s="256"/>
      <c r="C904" s="256"/>
      <c r="D904" s="256"/>
      <c r="E904" s="257"/>
      <c r="F904" s="257"/>
      <c r="H904" s="256"/>
      <c r="I904" s="256"/>
      <c r="K904" s="256"/>
      <c r="L904" s="256"/>
      <c r="M904" s="256"/>
    </row>
    <row r="905" spans="1:13" ht="11.55" customHeight="1" x14ac:dyDescent="0.3">
      <c r="A905" s="259"/>
      <c r="B905" s="259"/>
      <c r="C905" s="256"/>
      <c r="D905" s="256"/>
      <c r="E905" s="260"/>
      <c r="F905" s="260"/>
      <c r="H905" s="256"/>
      <c r="I905" s="257"/>
      <c r="K905" s="256"/>
      <c r="L905" s="256"/>
      <c r="M905" s="256"/>
    </row>
    <row r="906" spans="1:13" ht="11.55" customHeight="1" x14ac:dyDescent="0.3">
      <c r="A906" s="262"/>
      <c r="B906" s="262"/>
      <c r="C906" s="256"/>
      <c r="D906" s="263"/>
      <c r="E906" s="264"/>
      <c r="F906" s="264"/>
      <c r="H906" s="263"/>
      <c r="I906" s="257"/>
      <c r="K906" s="263"/>
      <c r="L906" s="263"/>
      <c r="M906" s="263"/>
    </row>
    <row r="907" spans="1:13" ht="11.55" customHeight="1" x14ac:dyDescent="0.3">
      <c r="A907" s="274"/>
      <c r="B907" s="274"/>
      <c r="C907" s="274"/>
      <c r="D907" s="263"/>
      <c r="E907" s="275"/>
      <c r="F907" s="275"/>
      <c r="H907" s="263"/>
      <c r="I907" s="267"/>
      <c r="K907" s="263"/>
      <c r="L907" s="263"/>
      <c r="M907" s="263"/>
    </row>
    <row r="908" spans="1:13" ht="11.55" customHeight="1" x14ac:dyDescent="0.3">
      <c r="A908" s="274"/>
      <c r="B908" s="274"/>
      <c r="C908" s="274"/>
      <c r="D908" s="263"/>
      <c r="E908" s="275"/>
      <c r="F908" s="275"/>
      <c r="H908" s="263"/>
      <c r="I908" s="263"/>
      <c r="K908" s="263"/>
      <c r="L908" s="263"/>
      <c r="M908" s="263"/>
    </row>
    <row r="909" spans="1:13" ht="11.55" customHeight="1" x14ac:dyDescent="0.3">
      <c r="A909" s="274"/>
      <c r="B909" s="274"/>
      <c r="C909" s="274"/>
      <c r="D909" s="263"/>
      <c r="E909" s="275"/>
      <c r="F909" s="275"/>
      <c r="H909" s="263"/>
      <c r="I909" s="263"/>
      <c r="K909" s="263"/>
      <c r="L909" s="263"/>
      <c r="M909" s="263"/>
    </row>
    <row r="910" spans="1:13" ht="11.55" customHeight="1" x14ac:dyDescent="0.3">
      <c r="A910" s="274"/>
      <c r="B910" s="274"/>
      <c r="C910" s="274"/>
      <c r="D910" s="263"/>
      <c r="E910" s="275"/>
      <c r="F910" s="275"/>
      <c r="H910" s="263"/>
      <c r="I910" s="263"/>
      <c r="K910" s="263"/>
      <c r="L910" s="263"/>
      <c r="M910" s="263"/>
    </row>
    <row r="911" spans="1:13" ht="11.55" customHeight="1" x14ac:dyDescent="0.3">
      <c r="A911" s="274"/>
      <c r="B911" s="274"/>
      <c r="C911" s="256"/>
      <c r="D911" s="263"/>
      <c r="E911" s="275"/>
      <c r="F911" s="275"/>
      <c r="H911" s="263"/>
      <c r="I911" s="267"/>
      <c r="K911" s="263"/>
      <c r="L911" s="263"/>
      <c r="M911" s="263"/>
    </row>
    <row r="912" spans="1:13" ht="11.55" customHeight="1" x14ac:dyDescent="0.3">
      <c r="A912" s="274"/>
      <c r="B912" s="274"/>
      <c r="C912" s="274"/>
      <c r="D912" s="263"/>
      <c r="E912" s="275"/>
      <c r="F912" s="275"/>
      <c r="H912" s="263"/>
      <c r="I912" s="263"/>
      <c r="K912" s="263"/>
      <c r="L912" s="263"/>
      <c r="M912" s="263"/>
    </row>
    <row r="913" spans="1:13" ht="11.55" customHeight="1" x14ac:dyDescent="0.3">
      <c r="A913" s="274"/>
      <c r="B913" s="274"/>
      <c r="C913" s="256"/>
      <c r="D913" s="263"/>
      <c r="E913" s="275"/>
      <c r="F913" s="275"/>
      <c r="H913" s="263"/>
      <c r="I913" s="267"/>
      <c r="K913" s="263"/>
      <c r="L913" s="263"/>
      <c r="M913" s="263"/>
    </row>
    <row r="914" spans="1:13" ht="11.55" customHeight="1" x14ac:dyDescent="0.3">
      <c r="A914" s="284"/>
      <c r="B914" s="284"/>
      <c r="C914" s="284"/>
      <c r="D914" s="285"/>
      <c r="E914" s="286"/>
      <c r="F914" s="286"/>
      <c r="H914" s="285"/>
      <c r="I914" s="285"/>
      <c r="K914" s="285"/>
      <c r="L914" s="285"/>
      <c r="M914" s="285"/>
    </row>
    <row r="915" spans="1:13" ht="11.55" customHeight="1" x14ac:dyDescent="0.3">
      <c r="A915" s="284"/>
      <c r="B915" s="284"/>
      <c r="C915" s="284"/>
      <c r="D915" s="285"/>
      <c r="E915" s="286"/>
      <c r="F915" s="286"/>
      <c r="H915" s="285"/>
      <c r="I915" s="285"/>
      <c r="K915" s="285"/>
      <c r="L915" s="285"/>
      <c r="M915" s="285"/>
    </row>
    <row r="916" spans="1:13" ht="11.55" customHeight="1" x14ac:dyDescent="0.3">
      <c r="A916" s="284"/>
      <c r="B916" s="284"/>
      <c r="C916" s="284"/>
      <c r="D916" s="285"/>
      <c r="E916" s="286"/>
      <c r="F916" s="286"/>
      <c r="H916" s="285"/>
      <c r="I916" s="285"/>
      <c r="K916" s="285"/>
      <c r="L916" s="285"/>
      <c r="M916" s="285"/>
    </row>
    <row r="917" spans="1:13" ht="11.55" customHeight="1" x14ac:dyDescent="0.3">
      <c r="A917" s="284"/>
      <c r="B917" s="284"/>
      <c r="C917" s="284"/>
      <c r="D917" s="285"/>
      <c r="E917" s="286"/>
      <c r="F917" s="286"/>
      <c r="H917" s="285"/>
      <c r="I917" s="285"/>
      <c r="K917" s="285"/>
      <c r="L917" s="285"/>
      <c r="M917" s="285"/>
    </row>
    <row r="918" spans="1:13" ht="11.55" customHeight="1" x14ac:dyDescent="0.3">
      <c r="A918" s="284"/>
      <c r="B918" s="284"/>
      <c r="C918" s="284"/>
      <c r="D918" s="285"/>
      <c r="E918" s="286"/>
      <c r="F918" s="286"/>
      <c r="H918" s="285"/>
      <c r="I918" s="285"/>
      <c r="K918" s="285"/>
      <c r="L918" s="285"/>
      <c r="M918" s="285"/>
    </row>
    <row r="919" spans="1:13" ht="11.55" customHeight="1" x14ac:dyDescent="0.3">
      <c r="A919" s="284"/>
      <c r="B919" s="284"/>
      <c r="C919" s="284"/>
      <c r="D919" s="285"/>
      <c r="E919" s="286"/>
      <c r="F919" s="286"/>
      <c r="H919" s="285"/>
      <c r="I919" s="285"/>
      <c r="K919" s="285"/>
      <c r="L919" s="285"/>
      <c r="M919" s="285"/>
    </row>
    <row r="920" spans="1:13" ht="11.55" customHeight="1" x14ac:dyDescent="0.3">
      <c r="A920" s="284"/>
      <c r="B920" s="284"/>
      <c r="C920" s="284"/>
      <c r="D920" s="285"/>
      <c r="E920" s="286"/>
      <c r="F920" s="286"/>
      <c r="H920" s="285"/>
      <c r="I920" s="285"/>
      <c r="K920" s="285"/>
      <c r="L920" s="285"/>
      <c r="M920" s="285"/>
    </row>
    <row r="921" spans="1:13" ht="11.55" customHeight="1" x14ac:dyDescent="0.3">
      <c r="A921" s="268"/>
      <c r="B921" s="268"/>
      <c r="C921" s="268"/>
      <c r="D921" s="263"/>
      <c r="E921" s="269"/>
      <c r="F921" s="269"/>
      <c r="H921" s="263"/>
      <c r="I921" s="263"/>
      <c r="K921" s="263"/>
      <c r="L921" s="263"/>
      <c r="M921" s="263"/>
    </row>
    <row r="922" spans="1:13" ht="11.55" customHeight="1" x14ac:dyDescent="0.3">
      <c r="A922" s="268"/>
      <c r="B922" s="268"/>
      <c r="C922" s="268"/>
      <c r="D922" s="263"/>
      <c r="E922" s="269"/>
      <c r="F922" s="269"/>
      <c r="H922" s="263"/>
      <c r="I922" s="263"/>
      <c r="K922" s="263"/>
      <c r="L922" s="263"/>
      <c r="M922" s="263"/>
    </row>
    <row r="923" spans="1:13" ht="11.55" customHeight="1" x14ac:dyDescent="0.3">
      <c r="A923" s="268"/>
      <c r="B923" s="268"/>
      <c r="C923" s="268"/>
      <c r="D923" s="263"/>
      <c r="E923" s="269"/>
      <c r="F923" s="269"/>
      <c r="H923" s="263"/>
      <c r="I923" s="263"/>
      <c r="K923" s="263"/>
      <c r="L923" s="263"/>
      <c r="M923" s="263"/>
    </row>
    <row r="924" spans="1:13" ht="11.55" customHeight="1" x14ac:dyDescent="0.3">
      <c r="A924" s="268"/>
      <c r="B924" s="268"/>
      <c r="C924" s="268"/>
      <c r="D924" s="263"/>
      <c r="E924" s="269"/>
      <c r="F924" s="269"/>
      <c r="H924" s="263"/>
      <c r="I924" s="263"/>
      <c r="K924" s="263"/>
      <c r="L924" s="263"/>
      <c r="M924" s="263"/>
    </row>
    <row r="925" spans="1:13" ht="11.55" customHeight="1" x14ac:dyDescent="0.3">
      <c r="A925" s="268"/>
      <c r="B925" s="268"/>
      <c r="C925" s="268"/>
      <c r="D925" s="263"/>
      <c r="E925" s="269"/>
      <c r="F925" s="269"/>
      <c r="H925" s="263"/>
      <c r="I925" s="263"/>
      <c r="K925" s="263"/>
      <c r="L925" s="263"/>
      <c r="M925" s="263"/>
    </row>
    <row r="926" spans="1:13" ht="11.55" customHeight="1" x14ac:dyDescent="0.3">
      <c r="A926" s="268"/>
      <c r="B926" s="268"/>
      <c r="C926" s="268"/>
      <c r="D926" s="263"/>
      <c r="E926" s="269"/>
      <c r="F926" s="269"/>
      <c r="H926" s="263"/>
      <c r="I926" s="263"/>
      <c r="K926" s="263"/>
      <c r="L926" s="263"/>
      <c r="M926" s="263"/>
    </row>
    <row r="927" spans="1:13" ht="11.55" customHeight="1" x14ac:dyDescent="0.3">
      <c r="A927" s="268"/>
      <c r="B927" s="268"/>
      <c r="C927" s="268"/>
      <c r="D927" s="263"/>
      <c r="E927" s="269"/>
      <c r="F927" s="269"/>
      <c r="H927" s="263"/>
      <c r="I927" s="263"/>
      <c r="K927" s="263"/>
      <c r="L927" s="263"/>
      <c r="M927" s="263"/>
    </row>
  </sheetData>
  <conditionalFormatting sqref="A422:B424">
    <cfRule type="duplicateValues" dxfId="48" priority="1"/>
  </conditionalFormatting>
  <conditionalFormatting sqref="A425:B425">
    <cfRule type="duplicateValues" dxfId="47" priority="3"/>
  </conditionalFormatting>
  <conditionalFormatting sqref="A426:B426">
    <cfRule type="duplicateValues" dxfId="46" priority="2"/>
  </conditionalFormatting>
  <conditionalFormatting sqref="B412 A411:B411 A413:B421">
    <cfRule type="duplicateValues" dxfId="45" priority="4"/>
  </conditionalFormatting>
  <dataValidations count="3">
    <dataValidation type="list" allowBlank="1" showInputMessage="1" showErrorMessage="1" error="Prière selectionner une donnée proposée" sqref="J1 D554:D561 H491 H508:H509 D518 E546:F546 H505 C542 C544 D520:D524 C537:C540 C554:C566 F498 H525:H553 H515:H518 C534 C575 I498 C495 C490:C492 C509:C511 C516:C517 C547 C499:C502 C505 C507 C551:C552 D504 D500:D502 D498 J491:J492 J547:J577 J494:J497 J499:J545 H411:H413 H416:H418 H472:H489 J442" xr:uid="{00000000-0002-0000-0900-000000000000}">
      <formula1>#REF!</formula1>
    </dataValidation>
    <dataValidation type="list" allowBlank="1" showInputMessage="1" showErrorMessage="1" sqref="H425 F457 F453 H415 H431:H432 H434:H436 L551:L577 L442 L491:L492 K498 L494:L497 L547:L549 L499:L545" xr:uid="{00000000-0002-0000-0900-000002000000}">
      <formula1>#REF!</formula1>
    </dataValidation>
    <dataValidation type="list" allowBlank="1" showInputMessage="1" showErrorMessage="1" error="Prière sélectionner une donnée proposée_x000a_" sqref="L498" xr:uid="{00000000-0002-0000-0900-000003000000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="Prière sélectionner une donnée proposée_x000a_" xr:uid="{00000000-0002-0000-0900-000004000000}">
          <x14:formula1>
            <xm:f>Items!$B$2:$B$7</xm:f>
          </x14:formula1>
          <xm:sqref>L1 L578:L1048576</xm:sqref>
        </x14:dataValidation>
        <x14:dataValidation type="list" allowBlank="1" showInputMessage="1" showErrorMessage="1" error="Prière sélectionner une donnée proposée_x000a_" xr:uid="{00000000-0002-0000-0900-000005000000}">
          <x14:formula1>
            <xm:f>Items!$C$2:$C$19</xm:f>
          </x14:formula1>
          <xm:sqref>M1 M578:M1048576</xm:sqref>
        </x14:dataValidation>
        <x14:dataValidation type="list" allowBlank="1" showInputMessage="1" showErrorMessage="1" error="Prière selectionner une donnée proposée" xr:uid="{00000000-0002-0000-0900-000006000000}">
          <x14:formula1>
            <xm:f>Items!$A$2:$A$8</xm:f>
          </x14:formula1>
          <xm:sqref>H1 H578:H1048576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"/>
  <sheetViews>
    <sheetView zoomScale="131" workbookViewId="0">
      <selection activeCell="B11" sqref="B11:J11"/>
    </sheetView>
  </sheetViews>
  <sheetFormatPr baseColWidth="10" defaultRowHeight="14.4" x14ac:dyDescent="0.3"/>
  <cols>
    <col min="1" max="1" width="15.21875" bestFit="1" customWidth="1"/>
    <col min="2" max="2" width="23.44140625" customWidth="1"/>
    <col min="3" max="3" width="31.77734375" bestFit="1" customWidth="1"/>
  </cols>
  <sheetData>
    <row r="1" spans="1:3" ht="15" thickBot="1" x14ac:dyDescent="0.35">
      <c r="A1" s="23" t="s">
        <v>61</v>
      </c>
      <c r="B1" s="25" t="s">
        <v>62</v>
      </c>
      <c r="C1" s="24" t="s">
        <v>59</v>
      </c>
    </row>
    <row r="2" spans="1:3" x14ac:dyDescent="0.3">
      <c r="A2" s="13" t="s">
        <v>63</v>
      </c>
      <c r="B2" s="13" t="s">
        <v>63</v>
      </c>
      <c r="C2" s="13" t="s">
        <v>64</v>
      </c>
    </row>
    <row r="3" spans="1:3" x14ac:dyDescent="0.3">
      <c r="A3" s="13" t="s">
        <v>65</v>
      </c>
      <c r="B3" s="13" t="s">
        <v>66</v>
      </c>
      <c r="C3" s="13" t="s">
        <v>67</v>
      </c>
    </row>
    <row r="4" spans="1:3" x14ac:dyDescent="0.3">
      <c r="A4" s="13" t="s">
        <v>68</v>
      </c>
      <c r="B4" s="13" t="s">
        <v>69</v>
      </c>
      <c r="C4" s="13" t="s">
        <v>70</v>
      </c>
    </row>
    <row r="5" spans="1:3" x14ac:dyDescent="0.3">
      <c r="A5" s="13" t="s">
        <v>71</v>
      </c>
      <c r="B5" s="14" t="s">
        <v>72</v>
      </c>
      <c r="C5" s="13" t="s">
        <v>73</v>
      </c>
    </row>
    <row r="6" spans="1:3" x14ac:dyDescent="0.3">
      <c r="A6" s="13" t="s">
        <v>41</v>
      </c>
      <c r="B6" s="14" t="s">
        <v>74</v>
      </c>
      <c r="C6" s="13" t="s">
        <v>75</v>
      </c>
    </row>
    <row r="7" spans="1:3" x14ac:dyDescent="0.3">
      <c r="A7" s="14" t="s">
        <v>76</v>
      </c>
      <c r="B7" s="13" t="s">
        <v>77</v>
      </c>
      <c r="C7" s="13" t="s">
        <v>78</v>
      </c>
    </row>
    <row r="8" spans="1:3" x14ac:dyDescent="0.3">
      <c r="A8" s="14" t="s">
        <v>73</v>
      </c>
      <c r="B8" s="14" t="s">
        <v>2530</v>
      </c>
      <c r="C8" s="13" t="s">
        <v>79</v>
      </c>
    </row>
    <row r="9" spans="1:3" x14ac:dyDescent="0.3">
      <c r="B9" s="14" t="s">
        <v>2531</v>
      </c>
      <c r="C9" s="13" t="s">
        <v>80</v>
      </c>
    </row>
    <row r="10" spans="1:3" x14ac:dyDescent="0.3">
      <c r="B10" s="173"/>
      <c r="C10" s="13" t="s">
        <v>81</v>
      </c>
    </row>
    <row r="11" spans="1:3" x14ac:dyDescent="0.3">
      <c r="C11" s="13" t="s">
        <v>82</v>
      </c>
    </row>
    <row r="12" spans="1:3" x14ac:dyDescent="0.3">
      <c r="C12" s="13" t="s">
        <v>83</v>
      </c>
    </row>
    <row r="13" spans="1:3" x14ac:dyDescent="0.3">
      <c r="C13" s="13" t="s">
        <v>84</v>
      </c>
    </row>
    <row r="14" spans="1:3" x14ac:dyDescent="0.3">
      <c r="C14" s="13" t="s">
        <v>85</v>
      </c>
    </row>
    <row r="15" spans="1:3" x14ac:dyDescent="0.3">
      <c r="C15" s="13" t="s">
        <v>86</v>
      </c>
    </row>
    <row r="16" spans="1:3" x14ac:dyDescent="0.3">
      <c r="C16" s="13" t="s">
        <v>41</v>
      </c>
    </row>
    <row r="17" spans="3:3" x14ac:dyDescent="0.3">
      <c r="C17" s="13" t="s">
        <v>87</v>
      </c>
    </row>
    <row r="18" spans="3:3" x14ac:dyDescent="0.3">
      <c r="C18" s="13" t="s">
        <v>88</v>
      </c>
    </row>
    <row r="19" spans="3:3" x14ac:dyDescent="0.3">
      <c r="C19" s="13" t="s">
        <v>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7"/>
  <sheetViews>
    <sheetView topLeftCell="A13" zoomScale="76" zoomScaleNormal="80" workbookViewId="0">
      <selection activeCell="B11" sqref="B11:J11"/>
    </sheetView>
  </sheetViews>
  <sheetFormatPr baseColWidth="10" defaultRowHeight="14.4" x14ac:dyDescent="0.3"/>
  <cols>
    <col min="1" max="1" width="15.21875" style="34" bestFit="1" customWidth="1"/>
    <col min="2" max="2" width="10" style="16" customWidth="1"/>
    <col min="3" max="3" width="17.77734375" customWidth="1"/>
    <col min="4" max="4" width="14" style="16" customWidth="1"/>
    <col min="5" max="5" width="16" style="16" customWidth="1"/>
    <col min="6" max="6" width="17.21875" customWidth="1"/>
    <col min="7" max="7" width="17.77734375" customWidth="1"/>
  </cols>
  <sheetData>
    <row r="1" spans="1:7" ht="15" thickBot="1" x14ac:dyDescent="0.35"/>
    <row r="2" spans="1:7" ht="25.05" customHeight="1" thickBot="1" x14ac:dyDescent="0.35">
      <c r="A2" s="549" t="s">
        <v>15</v>
      </c>
      <c r="B2" s="551" t="s">
        <v>35</v>
      </c>
      <c r="C2" s="552"/>
      <c r="D2" s="552"/>
      <c r="E2" s="552"/>
      <c r="F2" s="553"/>
    </row>
    <row r="3" spans="1:7" ht="25.5" customHeight="1" thickBot="1" x14ac:dyDescent="0.35">
      <c r="A3" s="550"/>
      <c r="B3" s="19" t="s">
        <v>31</v>
      </c>
      <c r="C3" s="20" t="s">
        <v>30</v>
      </c>
      <c r="D3" s="19" t="s">
        <v>3408</v>
      </c>
      <c r="E3" s="137" t="s">
        <v>3409</v>
      </c>
      <c r="F3" s="291" t="s">
        <v>3410</v>
      </c>
      <c r="G3" s="137" t="s">
        <v>3423</v>
      </c>
    </row>
    <row r="4" spans="1:7" s="17" customFormat="1" ht="43.8" thickBot="1" x14ac:dyDescent="0.35">
      <c r="A4" s="30" t="s">
        <v>90</v>
      </c>
      <c r="B4" s="98">
        <v>4</v>
      </c>
      <c r="C4" s="174" t="s">
        <v>4139</v>
      </c>
      <c r="D4" s="119">
        <v>3</v>
      </c>
      <c r="E4" s="290">
        <v>3</v>
      </c>
      <c r="F4" s="238" t="s">
        <v>3411</v>
      </c>
      <c r="G4" s="289" t="s">
        <v>3419</v>
      </c>
    </row>
    <row r="5" spans="1:7" s="17" customFormat="1" x14ac:dyDescent="0.3">
      <c r="A5" s="31" t="s">
        <v>91</v>
      </c>
      <c r="B5" s="98"/>
      <c r="C5" s="174"/>
      <c r="D5" s="98"/>
      <c r="E5" s="243"/>
      <c r="F5" s="239" t="s">
        <v>3412</v>
      </c>
      <c r="G5" s="36" t="s">
        <v>3413</v>
      </c>
    </row>
    <row r="6" spans="1:7" s="17" customFormat="1" ht="15" thickBot="1" x14ac:dyDescent="0.35">
      <c r="A6" s="31" t="s">
        <v>167</v>
      </c>
      <c r="B6" s="98">
        <v>1</v>
      </c>
      <c r="C6" s="174" t="s">
        <v>3835</v>
      </c>
      <c r="D6" s="98">
        <v>1</v>
      </c>
      <c r="E6" s="243">
        <v>1</v>
      </c>
      <c r="F6" s="239" t="s">
        <v>3412</v>
      </c>
      <c r="G6" s="36" t="s">
        <v>3413</v>
      </c>
    </row>
    <row r="7" spans="1:7" ht="29.4" thickBot="1" x14ac:dyDescent="0.35">
      <c r="A7" s="170" t="s">
        <v>92</v>
      </c>
      <c r="B7" s="98">
        <v>4</v>
      </c>
      <c r="C7" s="174" t="s">
        <v>3836</v>
      </c>
      <c r="D7" s="98">
        <v>3</v>
      </c>
      <c r="E7" s="243">
        <v>3</v>
      </c>
      <c r="F7" s="239" t="s">
        <v>3414</v>
      </c>
      <c r="G7" s="289" t="s">
        <v>3419</v>
      </c>
    </row>
    <row r="8" spans="1:7" ht="15" thickBot="1" x14ac:dyDescent="0.35">
      <c r="A8" s="170" t="s">
        <v>93</v>
      </c>
      <c r="B8" s="98">
        <v>2</v>
      </c>
      <c r="C8" s="236" t="s">
        <v>3311</v>
      </c>
      <c r="D8" s="98">
        <v>1</v>
      </c>
      <c r="E8" s="243">
        <v>1</v>
      </c>
      <c r="F8" s="239" t="s">
        <v>3411</v>
      </c>
      <c r="G8" s="289" t="s">
        <v>3420</v>
      </c>
    </row>
    <row r="9" spans="1:7" ht="58.2" thickBot="1" x14ac:dyDescent="0.35">
      <c r="A9" s="170" t="s">
        <v>94</v>
      </c>
      <c r="B9" s="98">
        <v>20</v>
      </c>
      <c r="C9" s="174" t="s">
        <v>3837</v>
      </c>
      <c r="D9" s="98">
        <v>17</v>
      </c>
      <c r="E9" s="243">
        <v>17</v>
      </c>
      <c r="F9" s="239" t="s">
        <v>3411</v>
      </c>
      <c r="G9" s="289" t="s">
        <v>3421</v>
      </c>
    </row>
    <row r="10" spans="1:7" ht="43.8" thickBot="1" x14ac:dyDescent="0.35">
      <c r="A10" s="170" t="s">
        <v>95</v>
      </c>
      <c r="B10" s="98">
        <v>4</v>
      </c>
      <c r="C10" s="174" t="s">
        <v>4140</v>
      </c>
      <c r="D10" s="98">
        <v>3</v>
      </c>
      <c r="E10" s="243">
        <v>3</v>
      </c>
      <c r="F10" s="239" t="s">
        <v>3414</v>
      </c>
      <c r="G10" s="289" t="s">
        <v>3419</v>
      </c>
    </row>
    <row r="11" spans="1:7" ht="15" thickBot="1" x14ac:dyDescent="0.35">
      <c r="A11" s="170" t="s">
        <v>96</v>
      </c>
      <c r="B11" s="98">
        <v>1</v>
      </c>
      <c r="C11" s="174" t="s">
        <v>3839</v>
      </c>
      <c r="D11" s="98">
        <v>1</v>
      </c>
      <c r="E11" s="222">
        <v>1</v>
      </c>
      <c r="F11" s="156" t="s">
        <v>3411</v>
      </c>
      <c r="G11" s="289" t="s">
        <v>3420</v>
      </c>
    </row>
    <row r="12" spans="1:7" ht="15" hidden="1" thickBot="1" x14ac:dyDescent="0.35">
      <c r="A12" s="170" t="s">
        <v>3310</v>
      </c>
      <c r="B12" s="98"/>
      <c r="C12" s="174"/>
      <c r="D12" s="98"/>
      <c r="E12" s="222"/>
      <c r="F12" s="156"/>
      <c r="G12" s="289" t="s">
        <v>3420</v>
      </c>
    </row>
    <row r="13" spans="1:7" ht="15" thickBot="1" x14ac:dyDescent="0.35">
      <c r="A13" s="170" t="s">
        <v>120</v>
      </c>
      <c r="B13" s="98">
        <v>1</v>
      </c>
      <c r="C13" s="174" t="s">
        <v>3309</v>
      </c>
      <c r="D13" s="221">
        <v>1</v>
      </c>
      <c r="E13" s="222">
        <v>1</v>
      </c>
      <c r="F13" s="156" t="s">
        <v>3415</v>
      </c>
      <c r="G13" s="289" t="s">
        <v>3420</v>
      </c>
    </row>
    <row r="14" spans="1:7" ht="29.4" thickBot="1" x14ac:dyDescent="0.35">
      <c r="A14" s="170" t="s">
        <v>235</v>
      </c>
      <c r="B14" s="98">
        <v>3</v>
      </c>
      <c r="C14" s="174" t="s">
        <v>3840</v>
      </c>
      <c r="D14" s="98">
        <v>2</v>
      </c>
      <c r="E14" s="98">
        <v>2</v>
      </c>
      <c r="F14" s="289" t="s">
        <v>3417</v>
      </c>
      <c r="G14" s="289" t="s">
        <v>4141</v>
      </c>
    </row>
    <row r="15" spans="1:7" ht="15" thickBot="1" x14ac:dyDescent="0.35">
      <c r="A15" s="170" t="s">
        <v>99</v>
      </c>
      <c r="B15" s="98">
        <v>0</v>
      </c>
      <c r="C15" s="236"/>
      <c r="D15" s="165"/>
      <c r="E15" s="243"/>
      <c r="F15" s="156" t="s">
        <v>3416</v>
      </c>
      <c r="G15" s="289" t="s">
        <v>3422</v>
      </c>
    </row>
    <row r="16" spans="1:7" s="16" customFormat="1" ht="58.2" thickBot="1" x14ac:dyDescent="0.35">
      <c r="A16" s="31" t="s">
        <v>100</v>
      </c>
      <c r="B16" s="98">
        <v>6</v>
      </c>
      <c r="C16" s="174" t="s">
        <v>4142</v>
      </c>
      <c r="D16" s="98">
        <v>5</v>
      </c>
      <c r="E16" s="243">
        <v>5</v>
      </c>
      <c r="F16" s="239" t="s">
        <v>3412</v>
      </c>
      <c r="G16" s="289" t="s">
        <v>3762</v>
      </c>
    </row>
    <row r="17" spans="1:7" hidden="1" x14ac:dyDescent="0.3">
      <c r="A17" s="170" t="s">
        <v>118</v>
      </c>
      <c r="B17" s="98"/>
      <c r="C17" s="236"/>
      <c r="D17" s="98"/>
      <c r="E17" s="222"/>
      <c r="F17" s="156"/>
      <c r="G17" s="156"/>
    </row>
    <row r="18" spans="1:7" ht="58.2" thickBot="1" x14ac:dyDescent="0.35">
      <c r="A18" s="32" t="s">
        <v>169</v>
      </c>
      <c r="B18" s="133">
        <v>9</v>
      </c>
      <c r="C18" s="174" t="s">
        <v>4143</v>
      </c>
      <c r="D18" s="98">
        <v>7</v>
      </c>
      <c r="E18" s="98">
        <v>7</v>
      </c>
      <c r="F18" s="289" t="s">
        <v>3418</v>
      </c>
      <c r="G18" s="289" t="s">
        <v>3763</v>
      </c>
    </row>
    <row r="19" spans="1:7" s="17" customFormat="1" ht="43.2" hidden="1" x14ac:dyDescent="0.3">
      <c r="A19" s="187" t="s">
        <v>115</v>
      </c>
      <c r="B19" s="22"/>
      <c r="C19" s="237"/>
      <c r="D19" s="241"/>
      <c r="E19" s="242"/>
      <c r="F19" s="292"/>
      <c r="G19" s="188"/>
    </row>
    <row r="20" spans="1:7" hidden="1" x14ac:dyDescent="0.3">
      <c r="A20" s="169" t="s">
        <v>239</v>
      </c>
      <c r="B20" s="119"/>
      <c r="C20" s="175"/>
      <c r="D20" s="119"/>
      <c r="E20" s="184"/>
      <c r="F20" s="293"/>
      <c r="G20" s="194"/>
    </row>
    <row r="21" spans="1:7" hidden="1" x14ac:dyDescent="0.3">
      <c r="A21" s="170" t="s">
        <v>2525</v>
      </c>
      <c r="B21" s="98"/>
      <c r="C21" s="176"/>
      <c r="D21" s="98"/>
      <c r="E21" s="185"/>
      <c r="F21" s="183"/>
      <c r="G21" s="195"/>
    </row>
    <row r="22" spans="1:7" ht="15" hidden="1" thickBot="1" x14ac:dyDescent="0.35">
      <c r="A22" s="171" t="s">
        <v>2517</v>
      </c>
      <c r="B22" s="133"/>
      <c r="C22" s="177"/>
      <c r="D22" s="133"/>
      <c r="E22" s="186"/>
      <c r="F22" s="225"/>
      <c r="G22" s="196"/>
    </row>
    <row r="23" spans="1:7" s="113" customFormat="1" ht="16.2" thickBot="1" x14ac:dyDescent="0.35">
      <c r="A23" s="189" t="s">
        <v>148</v>
      </c>
      <c r="B23" s="121">
        <f>SUM(B4:B22)</f>
        <v>55</v>
      </c>
      <c r="C23" s="190"/>
      <c r="D23" s="121">
        <v>44</v>
      </c>
      <c r="E23" s="121">
        <v>44</v>
      </c>
      <c r="F23" s="121"/>
      <c r="G23" s="121"/>
    </row>
    <row r="26" spans="1:7" ht="21" customHeight="1" thickBot="1" x14ac:dyDescent="0.35"/>
    <row r="27" spans="1:7" x14ac:dyDescent="0.3">
      <c r="C27" s="138"/>
    </row>
  </sheetData>
  <mergeCells count="2">
    <mergeCell ref="A2:A3"/>
    <mergeCell ref="B2:F2"/>
  </mergeCells>
  <phoneticPr fontId="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E36"/>
  <sheetViews>
    <sheetView workbookViewId="0">
      <selection sqref="A1:XFD1048576"/>
    </sheetView>
  </sheetViews>
  <sheetFormatPr baseColWidth="10" defaultRowHeight="14.4" x14ac:dyDescent="0.3"/>
  <cols>
    <col min="2" max="2" width="39.77734375" bestFit="1" customWidth="1"/>
    <col min="3" max="3" width="12.109375" bestFit="1" customWidth="1"/>
    <col min="4" max="4" width="7.109375" customWidth="1"/>
    <col min="5" max="5" width="8.21875" customWidth="1"/>
  </cols>
  <sheetData>
    <row r="4" spans="2:5" x14ac:dyDescent="0.3">
      <c r="D4" s="287"/>
      <c r="E4" s="287"/>
    </row>
    <row r="6" spans="2:5" x14ac:dyDescent="0.3">
      <c r="B6" s="34"/>
    </row>
    <row r="7" spans="2:5" x14ac:dyDescent="0.3">
      <c r="B7" s="34"/>
    </row>
    <row r="8" spans="2:5" x14ac:dyDescent="0.3">
      <c r="B8" s="34"/>
    </row>
    <row r="9" spans="2:5" x14ac:dyDescent="0.3">
      <c r="B9" s="34"/>
    </row>
    <row r="10" spans="2:5" x14ac:dyDescent="0.3">
      <c r="B10" s="34"/>
      <c r="D10" s="288"/>
      <c r="E10" s="288"/>
    </row>
    <row r="11" spans="2:5" x14ac:dyDescent="0.3">
      <c r="B11" s="34"/>
    </row>
    <row r="12" spans="2:5" hidden="1" x14ac:dyDescent="0.3">
      <c r="B12" s="34"/>
    </row>
    <row r="13" spans="2:5" hidden="1" x14ac:dyDescent="0.3">
      <c r="B13" s="34"/>
    </row>
    <row r="14" spans="2:5" hidden="1" x14ac:dyDescent="0.3">
      <c r="B14" s="34"/>
    </row>
    <row r="15" spans="2:5" hidden="1" x14ac:dyDescent="0.3">
      <c r="B15" s="34"/>
    </row>
    <row r="16" spans="2:5" hidden="1" x14ac:dyDescent="0.3">
      <c r="B16" s="34"/>
    </row>
    <row r="17" spans="2:2" hidden="1" x14ac:dyDescent="0.3">
      <c r="B17" s="34"/>
    </row>
    <row r="18" spans="2:2" hidden="1" x14ac:dyDescent="0.3">
      <c r="B18" s="34"/>
    </row>
    <row r="19" spans="2:2" hidden="1" x14ac:dyDescent="0.3">
      <c r="B19" s="34"/>
    </row>
    <row r="20" spans="2:2" x14ac:dyDescent="0.3">
      <c r="B20" s="34"/>
    </row>
    <row r="21" spans="2:2" hidden="1" x14ac:dyDescent="0.3">
      <c r="B21" s="34"/>
    </row>
    <row r="22" spans="2:2" x14ac:dyDescent="0.3">
      <c r="B22" s="34"/>
    </row>
    <row r="23" spans="2:2" x14ac:dyDescent="0.3">
      <c r="B23" s="34"/>
    </row>
    <row r="24" spans="2:2" x14ac:dyDescent="0.3">
      <c r="B24" s="34"/>
    </row>
    <row r="25" spans="2:2" x14ac:dyDescent="0.3">
      <c r="B25" s="34"/>
    </row>
    <row r="26" spans="2:2" x14ac:dyDescent="0.3">
      <c r="B26" s="34"/>
    </row>
    <row r="27" spans="2:2" x14ac:dyDescent="0.3">
      <c r="B27" s="34"/>
    </row>
    <row r="28" spans="2:2" x14ac:dyDescent="0.3">
      <c r="B28" s="34"/>
    </row>
    <row r="29" spans="2:2" x14ac:dyDescent="0.3">
      <c r="B29" s="34"/>
    </row>
    <row r="30" spans="2:2" x14ac:dyDescent="0.3">
      <c r="B30" s="34"/>
    </row>
    <row r="31" spans="2:2" x14ac:dyDescent="0.3">
      <c r="B31" s="34"/>
    </row>
    <row r="32" spans="2:2" x14ac:dyDescent="0.3">
      <c r="B32" s="34"/>
    </row>
    <row r="33" spans="2:2" x14ac:dyDescent="0.3">
      <c r="B33" s="34"/>
    </row>
    <row r="34" spans="2:2" x14ac:dyDescent="0.3">
      <c r="B34" s="34"/>
    </row>
    <row r="35" spans="2:2" x14ac:dyDescent="0.3">
      <c r="B35" s="34"/>
    </row>
    <row r="36" spans="2:2" x14ac:dyDescent="0.3">
      <c r="B36" s="3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170"/>
  <sheetViews>
    <sheetView topLeftCell="A981" workbookViewId="0">
      <selection activeCell="B9" sqref="B9"/>
    </sheetView>
  </sheetViews>
  <sheetFormatPr baseColWidth="10" defaultRowHeight="18.45" customHeight="1" x14ac:dyDescent="0.3"/>
  <cols>
    <col min="1" max="1" width="13.88671875" customWidth="1"/>
    <col min="2" max="2" width="52.21875" bestFit="1" customWidth="1"/>
    <col min="14" max="14" width="48.33203125" bestFit="1" customWidth="1"/>
  </cols>
  <sheetData>
    <row r="1" spans="1:16" ht="18.45" customHeight="1" thickBot="1" x14ac:dyDescent="0.35">
      <c r="A1" s="102" t="s">
        <v>49</v>
      </c>
      <c r="B1" s="103" t="s">
        <v>50</v>
      </c>
      <c r="C1" s="103" t="s">
        <v>51</v>
      </c>
      <c r="D1" s="103" t="s">
        <v>52</v>
      </c>
      <c r="E1" s="104" t="s">
        <v>53</v>
      </c>
      <c r="F1" s="104" t="s">
        <v>54</v>
      </c>
      <c r="G1" s="105" t="s">
        <v>55</v>
      </c>
      <c r="H1" s="106" t="s">
        <v>65</v>
      </c>
      <c r="I1" s="107" t="s">
        <v>123</v>
      </c>
      <c r="J1" s="108" t="s">
        <v>56</v>
      </c>
      <c r="K1" s="109" t="s">
        <v>57</v>
      </c>
      <c r="L1" s="110" t="s">
        <v>72</v>
      </c>
      <c r="M1" s="110" t="s">
        <v>74</v>
      </c>
      <c r="N1" s="111" t="s">
        <v>60</v>
      </c>
    </row>
    <row r="2" spans="1:16" ht="18.45" customHeight="1" x14ac:dyDescent="0.3">
      <c r="A2" s="52" t="s">
        <v>240</v>
      </c>
      <c r="B2" s="52" t="s">
        <v>241</v>
      </c>
      <c r="C2" s="52" t="s">
        <v>232</v>
      </c>
      <c r="D2" s="52">
        <v>1</v>
      </c>
      <c r="E2" s="59">
        <v>45279</v>
      </c>
      <c r="F2" s="59">
        <v>45279</v>
      </c>
      <c r="G2" s="74" t="s">
        <v>234</v>
      </c>
      <c r="H2" s="52" t="s">
        <v>65</v>
      </c>
      <c r="I2" s="59">
        <v>45293</v>
      </c>
      <c r="J2" s="67" t="s">
        <v>234</v>
      </c>
      <c r="K2" s="52">
        <v>50</v>
      </c>
      <c r="L2" s="97"/>
      <c r="M2" s="97"/>
      <c r="N2" s="97"/>
      <c r="P2" s="14"/>
    </row>
    <row r="3" spans="1:16" ht="18.45" customHeight="1" x14ac:dyDescent="0.3">
      <c r="A3" s="51" t="s">
        <v>242</v>
      </c>
      <c r="B3" s="51" t="s">
        <v>243</v>
      </c>
      <c r="C3" s="51" t="s">
        <v>232</v>
      </c>
      <c r="D3" s="51">
        <v>6</v>
      </c>
      <c r="E3" s="58">
        <v>45281</v>
      </c>
      <c r="F3" s="58">
        <v>45288</v>
      </c>
      <c r="G3" s="67" t="s">
        <v>234</v>
      </c>
      <c r="H3" s="51" t="s">
        <v>65</v>
      </c>
      <c r="I3" s="58">
        <v>45293</v>
      </c>
      <c r="J3" s="67" t="s">
        <v>234</v>
      </c>
      <c r="K3" s="51">
        <v>250</v>
      </c>
      <c r="L3" s="73"/>
      <c r="M3" s="73"/>
      <c r="N3" s="73"/>
      <c r="P3" s="14"/>
    </row>
    <row r="4" spans="1:16" ht="18.45" customHeight="1" x14ac:dyDescent="0.3">
      <c r="A4" s="99" t="s">
        <v>244</v>
      </c>
      <c r="B4" s="75" t="s">
        <v>245</v>
      </c>
      <c r="C4" s="99" t="s">
        <v>92</v>
      </c>
      <c r="D4" s="71">
        <v>2</v>
      </c>
      <c r="E4" s="85">
        <v>45284</v>
      </c>
      <c r="F4" s="85">
        <v>45289</v>
      </c>
      <c r="G4" s="67" t="s">
        <v>234</v>
      </c>
      <c r="H4" s="55" t="s">
        <v>65</v>
      </c>
      <c r="I4" s="86">
        <v>45293</v>
      </c>
      <c r="J4" s="67" t="s">
        <v>234</v>
      </c>
      <c r="K4" s="71">
        <v>300</v>
      </c>
      <c r="L4" s="73"/>
      <c r="M4" s="73"/>
      <c r="N4" s="73"/>
    </row>
    <row r="5" spans="1:16" ht="18.45" customHeight="1" x14ac:dyDescent="0.3">
      <c r="A5" s="99" t="s">
        <v>246</v>
      </c>
      <c r="B5" s="75" t="s">
        <v>247</v>
      </c>
      <c r="C5" s="62" t="s">
        <v>136</v>
      </c>
      <c r="D5" s="71">
        <v>67</v>
      </c>
      <c r="E5" s="85">
        <v>45282</v>
      </c>
      <c r="F5" s="85">
        <v>45286</v>
      </c>
      <c r="G5" s="67" t="s">
        <v>234</v>
      </c>
      <c r="H5" s="55" t="s">
        <v>65</v>
      </c>
      <c r="I5" s="86">
        <v>45294</v>
      </c>
      <c r="J5" s="67" t="s">
        <v>234</v>
      </c>
      <c r="K5" s="71">
        <v>50</v>
      </c>
      <c r="L5" s="73"/>
      <c r="M5" s="73"/>
      <c r="N5" s="73"/>
    </row>
    <row r="6" spans="1:16" ht="18.45" customHeight="1" x14ac:dyDescent="0.3">
      <c r="A6" s="62" t="s">
        <v>248</v>
      </c>
      <c r="B6" s="55" t="s">
        <v>249</v>
      </c>
      <c r="C6" s="62" t="s">
        <v>92</v>
      </c>
      <c r="D6" s="55">
        <v>78</v>
      </c>
      <c r="E6" s="86">
        <v>45243</v>
      </c>
      <c r="F6" s="86">
        <v>45243</v>
      </c>
      <c r="G6" s="67" t="s">
        <v>234</v>
      </c>
      <c r="H6" s="55" t="s">
        <v>65</v>
      </c>
      <c r="I6" s="86">
        <v>45294</v>
      </c>
      <c r="J6" s="67" t="s">
        <v>234</v>
      </c>
      <c r="K6" s="55">
        <v>100</v>
      </c>
      <c r="L6" s="73"/>
      <c r="M6" s="73"/>
      <c r="N6" s="73"/>
    </row>
    <row r="7" spans="1:16" ht="18.45" customHeight="1" x14ac:dyDescent="0.3">
      <c r="A7" s="99" t="s">
        <v>250</v>
      </c>
      <c r="B7" s="75" t="s">
        <v>251</v>
      </c>
      <c r="C7" s="99" t="s">
        <v>120</v>
      </c>
      <c r="D7" s="71">
        <v>28</v>
      </c>
      <c r="E7" s="85">
        <v>45286</v>
      </c>
      <c r="F7" s="85">
        <v>45287</v>
      </c>
      <c r="G7" s="67" t="s">
        <v>234</v>
      </c>
      <c r="H7" s="55" t="s">
        <v>65</v>
      </c>
      <c r="I7" s="86">
        <v>45294</v>
      </c>
      <c r="J7" s="67" t="s">
        <v>234</v>
      </c>
      <c r="K7" s="71">
        <v>50</v>
      </c>
      <c r="L7" s="73"/>
      <c r="M7" s="73"/>
      <c r="N7" s="73"/>
    </row>
    <row r="8" spans="1:16" ht="18.45" customHeight="1" x14ac:dyDescent="0.3">
      <c r="A8" s="99" t="s">
        <v>252</v>
      </c>
      <c r="B8" s="75" t="s">
        <v>253</v>
      </c>
      <c r="C8" s="62" t="s">
        <v>136</v>
      </c>
      <c r="D8" s="71">
        <v>67</v>
      </c>
      <c r="E8" s="85">
        <v>45288</v>
      </c>
      <c r="F8" s="85">
        <v>45289</v>
      </c>
      <c r="G8" s="67" t="s">
        <v>234</v>
      </c>
      <c r="H8" s="55" t="s">
        <v>65</v>
      </c>
      <c r="I8" s="86">
        <v>45294</v>
      </c>
      <c r="J8" s="67" t="s">
        <v>234</v>
      </c>
      <c r="K8" s="71">
        <v>50</v>
      </c>
      <c r="L8" s="73"/>
      <c r="M8" s="73"/>
      <c r="N8" s="73"/>
    </row>
    <row r="9" spans="1:16" ht="18.45" customHeight="1" x14ac:dyDescent="0.3">
      <c r="A9" s="99" t="s">
        <v>254</v>
      </c>
      <c r="B9" s="75" t="s">
        <v>255</v>
      </c>
      <c r="C9" s="99" t="s">
        <v>135</v>
      </c>
      <c r="D9" s="71">
        <v>61</v>
      </c>
      <c r="E9" s="85">
        <v>45284</v>
      </c>
      <c r="F9" s="85">
        <v>45287</v>
      </c>
      <c r="G9" s="67" t="s">
        <v>234</v>
      </c>
      <c r="H9" s="55" t="s">
        <v>65</v>
      </c>
      <c r="I9" s="86">
        <v>45294</v>
      </c>
      <c r="J9" s="67" t="s">
        <v>234</v>
      </c>
      <c r="K9" s="71">
        <v>100</v>
      </c>
      <c r="L9" s="73"/>
      <c r="M9" s="73"/>
      <c r="N9" s="73"/>
    </row>
    <row r="10" spans="1:16" ht="18.45" customHeight="1" x14ac:dyDescent="0.3">
      <c r="A10" s="99" t="s">
        <v>256</v>
      </c>
      <c r="B10" s="75" t="s">
        <v>257</v>
      </c>
      <c r="C10" s="99" t="s">
        <v>2473</v>
      </c>
      <c r="D10" s="71">
        <v>25</v>
      </c>
      <c r="E10" s="85">
        <v>45287</v>
      </c>
      <c r="F10" s="85">
        <v>45288</v>
      </c>
      <c r="G10" s="67" t="s">
        <v>234</v>
      </c>
      <c r="H10" s="55" t="s">
        <v>65</v>
      </c>
      <c r="I10" s="86">
        <v>45294</v>
      </c>
      <c r="J10" s="67" t="s">
        <v>234</v>
      </c>
      <c r="K10" s="71">
        <v>200</v>
      </c>
      <c r="L10" s="73"/>
      <c r="M10" s="73"/>
      <c r="N10" s="73"/>
    </row>
    <row r="11" spans="1:16" ht="18.45" customHeight="1" x14ac:dyDescent="0.3">
      <c r="A11" s="99" t="s">
        <v>258</v>
      </c>
      <c r="B11" s="75" t="s">
        <v>259</v>
      </c>
      <c r="C11" s="99" t="s">
        <v>120</v>
      </c>
      <c r="D11" s="71">
        <v>431</v>
      </c>
      <c r="E11" s="85">
        <v>45283</v>
      </c>
      <c r="F11" s="85">
        <v>45287</v>
      </c>
      <c r="G11" s="67" t="s">
        <v>234</v>
      </c>
      <c r="H11" s="55" t="s">
        <v>65</v>
      </c>
      <c r="I11" s="86">
        <v>45294</v>
      </c>
      <c r="J11" s="67" t="s">
        <v>234</v>
      </c>
      <c r="K11" s="71">
        <v>150</v>
      </c>
      <c r="L11" s="73"/>
      <c r="M11" s="73"/>
      <c r="N11" s="73"/>
    </row>
    <row r="12" spans="1:16" ht="18.45" customHeight="1" x14ac:dyDescent="0.3">
      <c r="A12" s="99" t="s">
        <v>260</v>
      </c>
      <c r="B12" s="75" t="s">
        <v>261</v>
      </c>
      <c r="C12" s="99" t="s">
        <v>135</v>
      </c>
      <c r="D12" s="71">
        <v>51</v>
      </c>
      <c r="E12" s="85">
        <v>45285</v>
      </c>
      <c r="F12" s="85">
        <v>45287</v>
      </c>
      <c r="G12" s="67" t="s">
        <v>234</v>
      </c>
      <c r="H12" s="55" t="s">
        <v>65</v>
      </c>
      <c r="I12" s="86">
        <v>45294</v>
      </c>
      <c r="J12" s="67" t="s">
        <v>234</v>
      </c>
      <c r="K12" s="71">
        <v>250</v>
      </c>
      <c r="L12" s="73"/>
      <c r="M12" s="73"/>
      <c r="N12" s="73"/>
    </row>
    <row r="13" spans="1:16" ht="18.45" customHeight="1" x14ac:dyDescent="0.3">
      <c r="A13" s="51" t="s">
        <v>262</v>
      </c>
      <c r="B13" s="51" t="s">
        <v>263</v>
      </c>
      <c r="C13" s="51" t="s">
        <v>218</v>
      </c>
      <c r="D13" s="84">
        <v>5</v>
      </c>
      <c r="E13" s="54">
        <v>45284</v>
      </c>
      <c r="F13" s="54">
        <v>45286</v>
      </c>
      <c r="G13" s="67" t="s">
        <v>234</v>
      </c>
      <c r="H13" s="51" t="s">
        <v>65</v>
      </c>
      <c r="I13" s="58">
        <v>45294</v>
      </c>
      <c r="J13" s="67" t="s">
        <v>234</v>
      </c>
      <c r="K13" s="51">
        <v>200</v>
      </c>
      <c r="L13" s="73"/>
      <c r="M13" s="73"/>
      <c r="N13" s="73"/>
    </row>
    <row r="14" spans="1:16" ht="18.45" customHeight="1" x14ac:dyDescent="0.3">
      <c r="A14" s="51" t="s">
        <v>264</v>
      </c>
      <c r="B14" s="51" t="s">
        <v>265</v>
      </c>
      <c r="C14" s="51" t="s">
        <v>218</v>
      </c>
      <c r="D14" s="84">
        <v>32</v>
      </c>
      <c r="E14" s="54">
        <v>45284</v>
      </c>
      <c r="F14" s="54">
        <v>45286</v>
      </c>
      <c r="G14" s="67" t="s">
        <v>234</v>
      </c>
      <c r="H14" s="51" t="s">
        <v>65</v>
      </c>
      <c r="I14" s="58">
        <v>45294</v>
      </c>
      <c r="J14" s="67" t="s">
        <v>234</v>
      </c>
      <c r="K14" s="51">
        <v>200</v>
      </c>
      <c r="L14" s="73"/>
      <c r="M14" s="73"/>
      <c r="N14" s="73"/>
    </row>
    <row r="15" spans="1:16" ht="18.45" customHeight="1" x14ac:dyDescent="0.3">
      <c r="A15" s="51" t="s">
        <v>266</v>
      </c>
      <c r="B15" s="51" t="s">
        <v>267</v>
      </c>
      <c r="C15" s="51" t="s">
        <v>2474</v>
      </c>
      <c r="D15" s="51">
        <v>30</v>
      </c>
      <c r="E15" s="54">
        <v>45287</v>
      </c>
      <c r="F15" s="54">
        <v>45288</v>
      </c>
      <c r="G15" s="67" t="s">
        <v>234</v>
      </c>
      <c r="H15" s="51" t="s">
        <v>65</v>
      </c>
      <c r="I15" s="58">
        <v>45294</v>
      </c>
      <c r="J15" s="67" t="s">
        <v>234</v>
      </c>
      <c r="K15" s="51">
        <v>300</v>
      </c>
      <c r="L15" s="73"/>
      <c r="M15" s="73"/>
      <c r="N15" s="73"/>
    </row>
    <row r="16" spans="1:16" ht="18.45" customHeight="1" x14ac:dyDescent="0.3">
      <c r="A16" s="51" t="s">
        <v>268</v>
      </c>
      <c r="B16" s="51" t="s">
        <v>269</v>
      </c>
      <c r="C16" s="51" t="s">
        <v>2475</v>
      </c>
      <c r="D16" s="51">
        <v>2</v>
      </c>
      <c r="E16" s="54">
        <v>45286</v>
      </c>
      <c r="F16" s="54">
        <v>45287</v>
      </c>
      <c r="G16" s="67" t="s">
        <v>234</v>
      </c>
      <c r="H16" s="51" t="s">
        <v>65</v>
      </c>
      <c r="I16" s="58">
        <v>45294</v>
      </c>
      <c r="J16" s="67" t="s">
        <v>234</v>
      </c>
      <c r="K16" s="51">
        <v>300</v>
      </c>
      <c r="L16" s="73"/>
      <c r="M16" s="73"/>
      <c r="N16" s="73"/>
    </row>
    <row r="17" spans="1:14" ht="18.45" customHeight="1" x14ac:dyDescent="0.3">
      <c r="A17" s="51" t="s">
        <v>270</v>
      </c>
      <c r="B17" s="51" t="s">
        <v>271</v>
      </c>
      <c r="C17" s="51" t="s">
        <v>221</v>
      </c>
      <c r="D17" s="51">
        <v>67</v>
      </c>
      <c r="E17" s="54">
        <v>45291</v>
      </c>
      <c r="F17" s="54">
        <v>45293</v>
      </c>
      <c r="G17" s="67" t="s">
        <v>234</v>
      </c>
      <c r="H17" s="51" t="s">
        <v>65</v>
      </c>
      <c r="I17" s="58">
        <v>45294</v>
      </c>
      <c r="J17" s="67" t="s">
        <v>234</v>
      </c>
      <c r="K17" s="51">
        <v>200</v>
      </c>
      <c r="L17" s="73"/>
      <c r="M17" s="73"/>
      <c r="N17" s="73"/>
    </row>
    <row r="18" spans="1:14" ht="18.45" customHeight="1" x14ac:dyDescent="0.3">
      <c r="A18" s="51" t="s">
        <v>272</v>
      </c>
      <c r="B18" s="51" t="s">
        <v>273</v>
      </c>
      <c r="C18" s="51" t="s">
        <v>221</v>
      </c>
      <c r="D18" s="51">
        <v>97</v>
      </c>
      <c r="E18" s="54">
        <v>45289</v>
      </c>
      <c r="F18" s="54">
        <v>45290</v>
      </c>
      <c r="G18" s="67" t="s">
        <v>234</v>
      </c>
      <c r="H18" s="51" t="s">
        <v>65</v>
      </c>
      <c r="I18" s="58">
        <v>45294</v>
      </c>
      <c r="J18" s="67" t="s">
        <v>234</v>
      </c>
      <c r="K18" s="51">
        <v>300</v>
      </c>
      <c r="L18" s="73"/>
      <c r="M18" s="73"/>
      <c r="N18" s="73"/>
    </row>
    <row r="19" spans="1:14" ht="18.45" customHeight="1" x14ac:dyDescent="0.3">
      <c r="A19" s="51" t="s">
        <v>274</v>
      </c>
      <c r="B19" s="51" t="s">
        <v>275</v>
      </c>
      <c r="C19" s="51" t="s">
        <v>232</v>
      </c>
      <c r="D19" s="51">
        <v>21</v>
      </c>
      <c r="E19" s="58">
        <v>45283</v>
      </c>
      <c r="F19" s="58">
        <v>45286</v>
      </c>
      <c r="G19" s="67" t="s">
        <v>234</v>
      </c>
      <c r="H19" s="51" t="s">
        <v>65</v>
      </c>
      <c r="I19" s="58">
        <v>45294</v>
      </c>
      <c r="J19" s="67" t="s">
        <v>234</v>
      </c>
      <c r="K19" s="51">
        <v>300</v>
      </c>
      <c r="L19" s="73"/>
      <c r="M19" s="73"/>
      <c r="N19" s="73"/>
    </row>
    <row r="20" spans="1:14" ht="18.45" customHeight="1" x14ac:dyDescent="0.3">
      <c r="A20" s="51" t="s">
        <v>276</v>
      </c>
      <c r="B20" s="51" t="s">
        <v>277</v>
      </c>
      <c r="C20" s="51" t="s">
        <v>113</v>
      </c>
      <c r="D20" s="51">
        <v>113</v>
      </c>
      <c r="E20" s="58">
        <v>45286</v>
      </c>
      <c r="F20" s="58">
        <v>45286</v>
      </c>
      <c r="G20" s="67" t="s">
        <v>234</v>
      </c>
      <c r="H20" s="51" t="s">
        <v>65</v>
      </c>
      <c r="I20" s="58">
        <v>45294</v>
      </c>
      <c r="J20" s="67" t="s">
        <v>234</v>
      </c>
      <c r="K20" s="51">
        <v>200</v>
      </c>
      <c r="L20" s="73"/>
      <c r="M20" s="73"/>
      <c r="N20" s="73"/>
    </row>
    <row r="21" spans="1:14" ht="18.45" customHeight="1" x14ac:dyDescent="0.3">
      <c r="A21" s="51" t="s">
        <v>278</v>
      </c>
      <c r="B21" s="51" t="s">
        <v>279</v>
      </c>
      <c r="C21" s="51" t="s">
        <v>228</v>
      </c>
      <c r="D21" s="51">
        <v>4</v>
      </c>
      <c r="E21" s="58">
        <v>45286</v>
      </c>
      <c r="F21" s="58">
        <v>45286</v>
      </c>
      <c r="G21" s="67" t="s">
        <v>234</v>
      </c>
      <c r="H21" s="51" t="s">
        <v>65</v>
      </c>
      <c r="I21" s="58">
        <v>45294</v>
      </c>
      <c r="J21" s="67" t="s">
        <v>234</v>
      </c>
      <c r="K21" s="51">
        <v>250</v>
      </c>
      <c r="L21" s="73"/>
      <c r="M21" s="73"/>
      <c r="N21" s="73"/>
    </row>
    <row r="22" spans="1:14" ht="18.45" customHeight="1" x14ac:dyDescent="0.3">
      <c r="A22" s="51" t="s">
        <v>280</v>
      </c>
      <c r="B22" s="51" t="s">
        <v>281</v>
      </c>
      <c r="C22" s="51" t="s">
        <v>227</v>
      </c>
      <c r="D22" s="51">
        <v>77</v>
      </c>
      <c r="E22" s="58">
        <v>45287</v>
      </c>
      <c r="F22" s="58">
        <v>45287</v>
      </c>
      <c r="G22" s="67" t="s">
        <v>234</v>
      </c>
      <c r="H22" s="51" t="s">
        <v>65</v>
      </c>
      <c r="I22" s="58">
        <v>45294</v>
      </c>
      <c r="J22" s="67" t="s">
        <v>234</v>
      </c>
      <c r="K22" s="51">
        <v>200</v>
      </c>
      <c r="L22" s="73"/>
      <c r="M22" s="73"/>
      <c r="N22" s="73"/>
    </row>
    <row r="23" spans="1:14" ht="18.45" customHeight="1" x14ac:dyDescent="0.3">
      <c r="A23" s="51" t="s">
        <v>282</v>
      </c>
      <c r="B23" s="51" t="s">
        <v>283</v>
      </c>
      <c r="C23" s="51" t="s">
        <v>227</v>
      </c>
      <c r="D23" s="51">
        <v>9</v>
      </c>
      <c r="E23" s="58">
        <v>45287</v>
      </c>
      <c r="F23" s="58">
        <v>45288</v>
      </c>
      <c r="G23" s="67" t="s">
        <v>234</v>
      </c>
      <c r="H23" s="51" t="s">
        <v>65</v>
      </c>
      <c r="I23" s="58">
        <v>45294</v>
      </c>
      <c r="J23" s="67" t="s">
        <v>234</v>
      </c>
      <c r="K23" s="51">
        <v>100</v>
      </c>
      <c r="L23" s="73"/>
      <c r="M23" s="73"/>
      <c r="N23" s="73"/>
    </row>
    <row r="24" spans="1:14" ht="18.45" customHeight="1" x14ac:dyDescent="0.3">
      <c r="A24" s="51" t="s">
        <v>284</v>
      </c>
      <c r="B24" s="51" t="s">
        <v>285</v>
      </c>
      <c r="C24" s="51" t="s">
        <v>229</v>
      </c>
      <c r="D24" s="51">
        <v>22</v>
      </c>
      <c r="E24" s="58">
        <v>45287</v>
      </c>
      <c r="F24" s="58">
        <v>45287</v>
      </c>
      <c r="G24" s="67" t="s">
        <v>234</v>
      </c>
      <c r="H24" s="51" t="s">
        <v>65</v>
      </c>
      <c r="I24" s="58">
        <v>45294</v>
      </c>
      <c r="J24" s="67" t="s">
        <v>234</v>
      </c>
      <c r="K24" s="51">
        <v>50</v>
      </c>
      <c r="L24" s="73"/>
      <c r="M24" s="73"/>
      <c r="N24" s="73"/>
    </row>
    <row r="25" spans="1:14" ht="18.45" customHeight="1" x14ac:dyDescent="0.3">
      <c r="A25" s="51" t="s">
        <v>286</v>
      </c>
      <c r="B25" s="51" t="s">
        <v>287</v>
      </c>
      <c r="C25" s="51" t="s">
        <v>113</v>
      </c>
      <c r="D25" s="51">
        <v>113</v>
      </c>
      <c r="E25" s="58">
        <v>45290</v>
      </c>
      <c r="F25" s="58">
        <v>45293</v>
      </c>
      <c r="G25" s="67" t="s">
        <v>234</v>
      </c>
      <c r="H25" s="51" t="s">
        <v>65</v>
      </c>
      <c r="I25" s="58">
        <v>45294</v>
      </c>
      <c r="J25" s="67" t="s">
        <v>234</v>
      </c>
      <c r="K25" s="51">
        <v>50</v>
      </c>
      <c r="L25" s="73"/>
      <c r="M25" s="73"/>
      <c r="N25" s="73"/>
    </row>
    <row r="26" spans="1:14" ht="18.45" customHeight="1" x14ac:dyDescent="0.3">
      <c r="A26" s="48" t="s">
        <v>288</v>
      </c>
      <c r="B26" s="50" t="s">
        <v>289</v>
      </c>
      <c r="C26" s="48" t="s">
        <v>95</v>
      </c>
      <c r="D26" s="62">
        <v>12</v>
      </c>
      <c r="E26" s="54">
        <v>45286</v>
      </c>
      <c r="F26" s="54">
        <v>45287</v>
      </c>
      <c r="G26" s="67" t="s">
        <v>234</v>
      </c>
      <c r="H26" s="55" t="s">
        <v>65</v>
      </c>
      <c r="I26" s="86">
        <v>45295</v>
      </c>
      <c r="J26" s="67" t="s">
        <v>234</v>
      </c>
      <c r="K26" s="62">
        <v>150</v>
      </c>
      <c r="L26" s="73"/>
      <c r="M26" s="73"/>
      <c r="N26" s="73"/>
    </row>
    <row r="27" spans="1:14" ht="18.45" customHeight="1" x14ac:dyDescent="0.3">
      <c r="A27" s="48" t="s">
        <v>290</v>
      </c>
      <c r="B27" s="50" t="s">
        <v>291</v>
      </c>
      <c r="C27" s="62" t="s">
        <v>94</v>
      </c>
      <c r="D27" s="62">
        <v>76</v>
      </c>
      <c r="E27" s="54">
        <v>45289</v>
      </c>
      <c r="F27" s="54">
        <v>45290</v>
      </c>
      <c r="G27" s="67" t="s">
        <v>234</v>
      </c>
      <c r="H27" s="55" t="s">
        <v>65</v>
      </c>
      <c r="I27" s="86">
        <v>45295</v>
      </c>
      <c r="J27" s="67" t="s">
        <v>234</v>
      </c>
      <c r="K27" s="62">
        <v>100</v>
      </c>
      <c r="L27" s="73"/>
      <c r="M27" s="73"/>
      <c r="N27" s="73"/>
    </row>
    <row r="28" spans="1:14" ht="18.45" customHeight="1" x14ac:dyDescent="0.3">
      <c r="A28" s="48" t="s">
        <v>292</v>
      </c>
      <c r="B28" s="50" t="s">
        <v>293</v>
      </c>
      <c r="C28" s="62" t="s">
        <v>94</v>
      </c>
      <c r="D28" s="62">
        <v>36</v>
      </c>
      <c r="E28" s="54">
        <v>45288</v>
      </c>
      <c r="F28" s="54">
        <v>45289</v>
      </c>
      <c r="G28" s="67" t="s">
        <v>234</v>
      </c>
      <c r="H28" s="55" t="s">
        <v>65</v>
      </c>
      <c r="I28" s="86">
        <v>45295</v>
      </c>
      <c r="J28" s="67" t="s">
        <v>234</v>
      </c>
      <c r="K28" s="62">
        <v>250</v>
      </c>
      <c r="L28" s="73"/>
      <c r="M28" s="73"/>
      <c r="N28" s="73"/>
    </row>
    <row r="29" spans="1:14" ht="18.45" customHeight="1" x14ac:dyDescent="0.3">
      <c r="A29" s="48" t="s">
        <v>294</v>
      </c>
      <c r="B29" s="50" t="s">
        <v>295</v>
      </c>
      <c r="C29" s="48" t="s">
        <v>137</v>
      </c>
      <c r="D29" s="62">
        <v>67</v>
      </c>
      <c r="E29" s="54">
        <v>45280</v>
      </c>
      <c r="F29" s="54">
        <v>45281</v>
      </c>
      <c r="G29" s="67" t="s">
        <v>234</v>
      </c>
      <c r="H29" s="62" t="s">
        <v>65</v>
      </c>
      <c r="I29" s="86">
        <v>45295</v>
      </c>
      <c r="J29" s="67" t="s">
        <v>234</v>
      </c>
      <c r="K29" s="62">
        <v>450</v>
      </c>
      <c r="L29" s="73"/>
      <c r="M29" s="73"/>
      <c r="N29" s="73"/>
    </row>
    <row r="30" spans="1:14" ht="18.45" customHeight="1" x14ac:dyDescent="0.3">
      <c r="A30" s="48" t="s">
        <v>296</v>
      </c>
      <c r="B30" s="48" t="s">
        <v>297</v>
      </c>
      <c r="C30" s="62" t="s">
        <v>94</v>
      </c>
      <c r="D30" s="62">
        <v>65</v>
      </c>
      <c r="E30" s="56">
        <v>45281</v>
      </c>
      <c r="F30" s="56">
        <v>45282</v>
      </c>
      <c r="G30" s="67" t="s">
        <v>234</v>
      </c>
      <c r="H30" s="62" t="s">
        <v>65</v>
      </c>
      <c r="I30" s="86">
        <v>45295</v>
      </c>
      <c r="J30" s="67" t="s">
        <v>234</v>
      </c>
      <c r="K30" s="62">
        <v>150</v>
      </c>
      <c r="L30" s="73"/>
      <c r="M30" s="73"/>
      <c r="N30" s="73"/>
    </row>
    <row r="31" spans="1:14" ht="18.45" customHeight="1" x14ac:dyDescent="0.3">
      <c r="A31" s="48" t="s">
        <v>298</v>
      </c>
      <c r="B31" s="48" t="s">
        <v>299</v>
      </c>
      <c r="C31" s="48" t="s">
        <v>92</v>
      </c>
      <c r="D31" s="62">
        <v>22</v>
      </c>
      <c r="E31" s="56">
        <v>45276</v>
      </c>
      <c r="F31" s="56">
        <v>45278</v>
      </c>
      <c r="G31" s="67" t="s">
        <v>234</v>
      </c>
      <c r="H31" s="62" t="s">
        <v>65</v>
      </c>
      <c r="I31" s="86">
        <v>45295</v>
      </c>
      <c r="J31" s="67" t="s">
        <v>234</v>
      </c>
      <c r="K31" s="62">
        <v>300</v>
      </c>
      <c r="L31" s="73"/>
      <c r="M31" s="73"/>
      <c r="N31" s="73"/>
    </row>
    <row r="32" spans="1:14" ht="18.45" customHeight="1" x14ac:dyDescent="0.3">
      <c r="A32" s="48" t="s">
        <v>300</v>
      </c>
      <c r="B32" s="50" t="s">
        <v>301</v>
      </c>
      <c r="C32" s="48" t="s">
        <v>120</v>
      </c>
      <c r="D32" s="62">
        <v>424</v>
      </c>
      <c r="E32" s="54">
        <v>45286</v>
      </c>
      <c r="F32" s="54">
        <v>45287</v>
      </c>
      <c r="G32" s="67" t="s">
        <v>234</v>
      </c>
      <c r="H32" s="55" t="s">
        <v>65</v>
      </c>
      <c r="I32" s="86">
        <v>45295</v>
      </c>
      <c r="J32" s="67" t="s">
        <v>234</v>
      </c>
      <c r="K32" s="62">
        <v>200</v>
      </c>
      <c r="L32" s="73"/>
      <c r="M32" s="73"/>
      <c r="N32" s="73"/>
    </row>
    <row r="33" spans="1:14" ht="18.45" customHeight="1" x14ac:dyDescent="0.3">
      <c r="A33" s="48" t="s">
        <v>302</v>
      </c>
      <c r="B33" s="50" t="s">
        <v>303</v>
      </c>
      <c r="C33" s="48" t="s">
        <v>120</v>
      </c>
      <c r="D33" s="62">
        <v>312</v>
      </c>
      <c r="E33" s="54">
        <v>45280</v>
      </c>
      <c r="F33" s="54">
        <v>45286</v>
      </c>
      <c r="G33" s="67" t="s">
        <v>234</v>
      </c>
      <c r="H33" s="55" t="s">
        <v>65</v>
      </c>
      <c r="I33" s="86">
        <v>45295</v>
      </c>
      <c r="J33" s="67" t="s">
        <v>234</v>
      </c>
      <c r="K33" s="62">
        <v>50</v>
      </c>
      <c r="L33" s="73"/>
      <c r="M33" s="73"/>
      <c r="N33" s="73"/>
    </row>
    <row r="34" spans="1:14" ht="18.45" customHeight="1" x14ac:dyDescent="0.3">
      <c r="A34" s="48" t="s">
        <v>304</v>
      </c>
      <c r="B34" s="50" t="s">
        <v>305</v>
      </c>
      <c r="C34" s="48" t="s">
        <v>120</v>
      </c>
      <c r="D34" s="62">
        <v>213</v>
      </c>
      <c r="E34" s="54">
        <v>45287</v>
      </c>
      <c r="F34" s="54">
        <v>45288</v>
      </c>
      <c r="G34" s="67" t="s">
        <v>234</v>
      </c>
      <c r="H34" s="55" t="s">
        <v>65</v>
      </c>
      <c r="I34" s="86">
        <v>45295</v>
      </c>
      <c r="J34" s="67" t="s">
        <v>234</v>
      </c>
      <c r="K34" s="62">
        <v>200</v>
      </c>
      <c r="L34" s="73"/>
      <c r="M34" s="73"/>
      <c r="N34" s="73"/>
    </row>
    <row r="35" spans="1:14" ht="18.45" customHeight="1" x14ac:dyDescent="0.3">
      <c r="A35" s="48" t="s">
        <v>306</v>
      </c>
      <c r="B35" s="50" t="s">
        <v>307</v>
      </c>
      <c r="C35" s="48" t="s">
        <v>95</v>
      </c>
      <c r="D35" s="62">
        <v>47</v>
      </c>
      <c r="E35" s="54">
        <v>45291</v>
      </c>
      <c r="F35" s="54">
        <v>45293</v>
      </c>
      <c r="G35" s="67" t="s">
        <v>234</v>
      </c>
      <c r="H35" s="55" t="s">
        <v>65</v>
      </c>
      <c r="I35" s="86">
        <v>45295</v>
      </c>
      <c r="J35" s="67" t="s">
        <v>234</v>
      </c>
      <c r="K35" s="62">
        <v>100</v>
      </c>
      <c r="L35" s="73"/>
      <c r="M35" s="73"/>
      <c r="N35" s="73"/>
    </row>
    <row r="36" spans="1:14" ht="18.45" customHeight="1" x14ac:dyDescent="0.3">
      <c r="A36" s="48" t="s">
        <v>308</v>
      </c>
      <c r="B36" s="50" t="s">
        <v>309</v>
      </c>
      <c r="C36" s="48" t="s">
        <v>92</v>
      </c>
      <c r="D36" s="62">
        <v>76</v>
      </c>
      <c r="E36" s="54">
        <v>45285</v>
      </c>
      <c r="F36" s="54">
        <v>45287</v>
      </c>
      <c r="G36" s="67" t="s">
        <v>234</v>
      </c>
      <c r="H36" s="55" t="s">
        <v>65</v>
      </c>
      <c r="I36" s="86">
        <v>45295</v>
      </c>
      <c r="J36" s="67" t="s">
        <v>234</v>
      </c>
      <c r="K36" s="62">
        <v>350</v>
      </c>
      <c r="L36" s="73"/>
      <c r="M36" s="73"/>
      <c r="N36" s="73"/>
    </row>
    <row r="37" spans="1:14" ht="18.45" customHeight="1" x14ac:dyDescent="0.3">
      <c r="A37" s="51" t="s">
        <v>310</v>
      </c>
      <c r="B37" s="51" t="s">
        <v>311</v>
      </c>
      <c r="C37" s="51" t="s">
        <v>221</v>
      </c>
      <c r="D37" s="51">
        <v>83</v>
      </c>
      <c r="E37" s="54">
        <v>45286</v>
      </c>
      <c r="F37" s="54">
        <v>45287</v>
      </c>
      <c r="G37" s="67" t="s">
        <v>234</v>
      </c>
      <c r="H37" s="51" t="s">
        <v>65</v>
      </c>
      <c r="I37" s="58">
        <v>45295</v>
      </c>
      <c r="J37" s="67" t="s">
        <v>234</v>
      </c>
      <c r="K37" s="51">
        <v>300</v>
      </c>
      <c r="L37" s="73"/>
      <c r="M37" s="73"/>
      <c r="N37" s="73"/>
    </row>
    <row r="38" spans="1:14" ht="18.45" customHeight="1" x14ac:dyDescent="0.3">
      <c r="A38" s="51" t="s">
        <v>312</v>
      </c>
      <c r="B38" s="51" t="s">
        <v>313</v>
      </c>
      <c r="C38" s="51" t="s">
        <v>221</v>
      </c>
      <c r="D38" s="51">
        <v>78</v>
      </c>
      <c r="E38" s="54">
        <v>45289</v>
      </c>
      <c r="F38" s="54">
        <v>45290</v>
      </c>
      <c r="G38" s="67" t="s">
        <v>234</v>
      </c>
      <c r="H38" s="51" t="s">
        <v>65</v>
      </c>
      <c r="I38" s="58">
        <v>45295</v>
      </c>
      <c r="J38" s="67" t="s">
        <v>234</v>
      </c>
      <c r="K38" s="51">
        <v>300</v>
      </c>
      <c r="L38" s="73"/>
      <c r="M38" s="73"/>
      <c r="N38" s="73"/>
    </row>
    <row r="39" spans="1:14" ht="18.45" customHeight="1" x14ac:dyDescent="0.3">
      <c r="A39" s="51" t="s">
        <v>314</v>
      </c>
      <c r="B39" s="51" t="s">
        <v>315</v>
      </c>
      <c r="C39" s="51" t="s">
        <v>221</v>
      </c>
      <c r="D39" s="51">
        <v>98</v>
      </c>
      <c r="E39" s="54">
        <v>45291</v>
      </c>
      <c r="F39" s="54">
        <v>45293</v>
      </c>
      <c r="G39" s="67" t="s">
        <v>234</v>
      </c>
      <c r="H39" s="51" t="s">
        <v>65</v>
      </c>
      <c r="I39" s="58">
        <v>45295</v>
      </c>
      <c r="J39" s="67" t="s">
        <v>234</v>
      </c>
      <c r="K39" s="51">
        <v>500</v>
      </c>
      <c r="L39" s="73"/>
      <c r="M39" s="73"/>
      <c r="N39" s="73"/>
    </row>
    <row r="40" spans="1:14" ht="18.45" customHeight="1" x14ac:dyDescent="0.3">
      <c r="A40" s="51" t="s">
        <v>316</v>
      </c>
      <c r="B40" s="51" t="s">
        <v>317</v>
      </c>
      <c r="C40" s="51" t="s">
        <v>221</v>
      </c>
      <c r="D40" s="51">
        <v>21</v>
      </c>
      <c r="E40" s="54">
        <v>45290</v>
      </c>
      <c r="F40" s="54">
        <v>45293</v>
      </c>
      <c r="G40" s="67" t="s">
        <v>234</v>
      </c>
      <c r="H40" s="51" t="s">
        <v>65</v>
      </c>
      <c r="I40" s="58">
        <v>45295</v>
      </c>
      <c r="J40" s="67" t="s">
        <v>234</v>
      </c>
      <c r="K40" s="51">
        <v>500</v>
      </c>
      <c r="L40" s="73"/>
      <c r="M40" s="73"/>
      <c r="N40" s="73"/>
    </row>
    <row r="41" spans="1:14" ht="18.45" customHeight="1" x14ac:dyDescent="0.3">
      <c r="A41" s="51" t="s">
        <v>318</v>
      </c>
      <c r="B41" s="51" t="s">
        <v>319</v>
      </c>
      <c r="C41" s="51" t="s">
        <v>2476</v>
      </c>
      <c r="D41" s="51">
        <v>23</v>
      </c>
      <c r="E41" s="54">
        <v>45291</v>
      </c>
      <c r="F41" s="54">
        <v>45293</v>
      </c>
      <c r="G41" s="67" t="s">
        <v>234</v>
      </c>
      <c r="H41" s="51" t="s">
        <v>65</v>
      </c>
      <c r="I41" s="58">
        <v>45295</v>
      </c>
      <c r="J41" s="67" t="s">
        <v>234</v>
      </c>
      <c r="K41" s="51">
        <v>300</v>
      </c>
      <c r="L41" s="73"/>
      <c r="M41" s="73"/>
      <c r="N41" s="73"/>
    </row>
    <row r="42" spans="1:14" ht="18.45" customHeight="1" x14ac:dyDescent="0.3">
      <c r="A42" s="51" t="s">
        <v>320</v>
      </c>
      <c r="B42" s="51" t="s">
        <v>321</v>
      </c>
      <c r="C42" s="51" t="s">
        <v>221</v>
      </c>
      <c r="D42" s="51">
        <v>9</v>
      </c>
      <c r="E42" s="54">
        <v>45294</v>
      </c>
      <c r="F42" s="54">
        <v>45294</v>
      </c>
      <c r="G42" s="67" t="s">
        <v>234</v>
      </c>
      <c r="H42" s="51" t="s">
        <v>65</v>
      </c>
      <c r="I42" s="58">
        <v>45295</v>
      </c>
      <c r="J42" s="67" t="s">
        <v>234</v>
      </c>
      <c r="K42" s="51">
        <v>200</v>
      </c>
      <c r="L42" s="73"/>
      <c r="M42" s="73"/>
      <c r="N42" s="73"/>
    </row>
    <row r="43" spans="1:14" ht="18.45" customHeight="1" x14ac:dyDescent="0.3">
      <c r="A43" s="51" t="s">
        <v>322</v>
      </c>
      <c r="B43" s="51" t="s">
        <v>323</v>
      </c>
      <c r="C43" s="51" t="s">
        <v>211</v>
      </c>
      <c r="D43" s="51">
        <v>7</v>
      </c>
      <c r="E43" s="54">
        <v>45294</v>
      </c>
      <c r="F43" s="54">
        <v>45294</v>
      </c>
      <c r="G43" s="67" t="s">
        <v>234</v>
      </c>
      <c r="H43" s="51" t="s">
        <v>65</v>
      </c>
      <c r="I43" s="58">
        <v>45295</v>
      </c>
      <c r="J43" s="67" t="s">
        <v>234</v>
      </c>
      <c r="K43" s="51">
        <v>500</v>
      </c>
      <c r="L43" s="73"/>
      <c r="M43" s="73"/>
      <c r="N43" s="73"/>
    </row>
    <row r="44" spans="1:14" ht="18.45" customHeight="1" x14ac:dyDescent="0.3">
      <c r="A44" s="51" t="s">
        <v>324</v>
      </c>
      <c r="B44" s="51" t="s">
        <v>325</v>
      </c>
      <c r="C44" s="51" t="s">
        <v>113</v>
      </c>
      <c r="D44" s="51">
        <v>70</v>
      </c>
      <c r="E44" s="58">
        <v>45291</v>
      </c>
      <c r="F44" s="58">
        <v>45293</v>
      </c>
      <c r="G44" s="67" t="s">
        <v>234</v>
      </c>
      <c r="H44" s="51" t="s">
        <v>65</v>
      </c>
      <c r="I44" s="58">
        <v>45295</v>
      </c>
      <c r="J44" s="67" t="s">
        <v>234</v>
      </c>
      <c r="K44" s="51">
        <v>100</v>
      </c>
      <c r="L44" s="73"/>
      <c r="M44" s="73"/>
      <c r="N44" s="73"/>
    </row>
    <row r="45" spans="1:14" ht="18.45" customHeight="1" x14ac:dyDescent="0.3">
      <c r="A45" s="51" t="s">
        <v>326</v>
      </c>
      <c r="B45" s="51" t="s">
        <v>327</v>
      </c>
      <c r="C45" s="51" t="s">
        <v>229</v>
      </c>
      <c r="D45" s="51">
        <v>17</v>
      </c>
      <c r="E45" s="58">
        <v>45288</v>
      </c>
      <c r="F45" s="58">
        <v>45288</v>
      </c>
      <c r="G45" s="67" t="s">
        <v>234</v>
      </c>
      <c r="H45" s="51" t="s">
        <v>65</v>
      </c>
      <c r="I45" s="58">
        <v>45295</v>
      </c>
      <c r="J45" s="67" t="s">
        <v>234</v>
      </c>
      <c r="K45" s="51">
        <v>200</v>
      </c>
      <c r="L45" s="73"/>
      <c r="M45" s="73"/>
      <c r="N45" s="73"/>
    </row>
    <row r="46" spans="1:14" ht="18.45" customHeight="1" x14ac:dyDescent="0.3">
      <c r="A46" s="51" t="s">
        <v>328</v>
      </c>
      <c r="B46" s="51" t="s">
        <v>329</v>
      </c>
      <c r="C46" s="51" t="s">
        <v>113</v>
      </c>
      <c r="D46" s="51">
        <v>22</v>
      </c>
      <c r="E46" s="58">
        <v>45282</v>
      </c>
      <c r="F46" s="58">
        <v>45288</v>
      </c>
      <c r="G46" s="67" t="s">
        <v>234</v>
      </c>
      <c r="H46" s="51" t="s">
        <v>65</v>
      </c>
      <c r="I46" s="58">
        <v>45295</v>
      </c>
      <c r="J46" s="67" t="s">
        <v>234</v>
      </c>
      <c r="K46" s="51">
        <v>200</v>
      </c>
      <c r="L46" s="73"/>
      <c r="M46" s="73"/>
      <c r="N46" s="73"/>
    </row>
    <row r="47" spans="1:14" ht="18.45" customHeight="1" x14ac:dyDescent="0.3">
      <c r="A47" s="51" t="s">
        <v>330</v>
      </c>
      <c r="B47" s="51" t="s">
        <v>331</v>
      </c>
      <c r="C47" s="51" t="s">
        <v>232</v>
      </c>
      <c r="D47" s="51">
        <v>29</v>
      </c>
      <c r="E47" s="58">
        <v>45289</v>
      </c>
      <c r="F47" s="58">
        <v>45290</v>
      </c>
      <c r="G47" s="67" t="s">
        <v>234</v>
      </c>
      <c r="H47" s="51" t="s">
        <v>65</v>
      </c>
      <c r="I47" s="58">
        <v>45295</v>
      </c>
      <c r="J47" s="67" t="s">
        <v>234</v>
      </c>
      <c r="K47" s="51">
        <v>150</v>
      </c>
      <c r="L47" s="73"/>
      <c r="M47" s="73"/>
      <c r="N47" s="73"/>
    </row>
    <row r="48" spans="1:14" ht="18.45" customHeight="1" x14ac:dyDescent="0.3">
      <c r="A48" s="51" t="s">
        <v>332</v>
      </c>
      <c r="B48" s="51" t="s">
        <v>333</v>
      </c>
      <c r="C48" s="51" t="s">
        <v>228</v>
      </c>
      <c r="D48" s="51">
        <v>26</v>
      </c>
      <c r="E48" s="58">
        <v>45290</v>
      </c>
      <c r="F48" s="58">
        <v>45293</v>
      </c>
      <c r="G48" s="67" t="s">
        <v>234</v>
      </c>
      <c r="H48" s="51" t="s">
        <v>65</v>
      </c>
      <c r="I48" s="58">
        <v>45295</v>
      </c>
      <c r="J48" s="67" t="s">
        <v>234</v>
      </c>
      <c r="K48" s="51">
        <v>200</v>
      </c>
      <c r="L48" s="73"/>
      <c r="M48" s="73"/>
      <c r="N48" s="73"/>
    </row>
    <row r="49" spans="1:14" ht="18.45" customHeight="1" x14ac:dyDescent="0.3">
      <c r="A49" s="48" t="s">
        <v>334</v>
      </c>
      <c r="B49" s="50" t="s">
        <v>335</v>
      </c>
      <c r="C49" s="48" t="s">
        <v>120</v>
      </c>
      <c r="D49" s="62">
        <v>26</v>
      </c>
      <c r="E49" s="54">
        <v>45287</v>
      </c>
      <c r="F49" s="54">
        <v>45288</v>
      </c>
      <c r="G49" s="67" t="s">
        <v>234</v>
      </c>
      <c r="H49" s="55" t="s">
        <v>65</v>
      </c>
      <c r="I49" s="86">
        <v>45296</v>
      </c>
      <c r="J49" s="67" t="s">
        <v>234</v>
      </c>
      <c r="K49" s="62">
        <v>150</v>
      </c>
      <c r="L49" s="73"/>
      <c r="M49" s="73"/>
      <c r="N49" s="73"/>
    </row>
    <row r="50" spans="1:14" ht="18.45" customHeight="1" x14ac:dyDescent="0.3">
      <c r="A50" s="48" t="s">
        <v>336</v>
      </c>
      <c r="B50" s="50" t="s">
        <v>337</v>
      </c>
      <c r="C50" s="48" t="s">
        <v>120</v>
      </c>
      <c r="D50" s="62">
        <v>72</v>
      </c>
      <c r="E50" s="54">
        <v>45287</v>
      </c>
      <c r="F50" s="54">
        <v>45288</v>
      </c>
      <c r="G50" s="67" t="s">
        <v>234</v>
      </c>
      <c r="H50" s="55" t="s">
        <v>65</v>
      </c>
      <c r="I50" s="86">
        <v>45296</v>
      </c>
      <c r="J50" s="67" t="s">
        <v>234</v>
      </c>
      <c r="K50" s="62">
        <v>250</v>
      </c>
      <c r="L50" s="73"/>
      <c r="M50" s="73"/>
      <c r="N50" s="73"/>
    </row>
    <row r="51" spans="1:14" ht="18.45" customHeight="1" x14ac:dyDescent="0.3">
      <c r="A51" s="48" t="s">
        <v>338</v>
      </c>
      <c r="B51" s="50" t="s">
        <v>339</v>
      </c>
      <c r="C51" s="48" t="s">
        <v>135</v>
      </c>
      <c r="D51" s="62">
        <v>47</v>
      </c>
      <c r="E51" s="54">
        <v>45290</v>
      </c>
      <c r="F51" s="54">
        <v>45293</v>
      </c>
      <c r="G51" s="67" t="s">
        <v>234</v>
      </c>
      <c r="H51" s="55" t="s">
        <v>65</v>
      </c>
      <c r="I51" s="86">
        <v>45296</v>
      </c>
      <c r="J51" s="67" t="s">
        <v>234</v>
      </c>
      <c r="K51" s="62">
        <v>200</v>
      </c>
      <c r="L51" s="73"/>
      <c r="M51" s="73"/>
      <c r="N51" s="73"/>
    </row>
    <row r="52" spans="1:14" ht="18.45" customHeight="1" x14ac:dyDescent="0.3">
      <c r="A52" s="48" t="s">
        <v>340</v>
      </c>
      <c r="B52" s="50" t="s">
        <v>341</v>
      </c>
      <c r="C52" s="48" t="s">
        <v>135</v>
      </c>
      <c r="D52" s="62">
        <v>47</v>
      </c>
      <c r="E52" s="54">
        <v>45289</v>
      </c>
      <c r="F52" s="54">
        <v>45290</v>
      </c>
      <c r="G52" s="67" t="s">
        <v>234</v>
      </c>
      <c r="H52" s="55" t="s">
        <v>65</v>
      </c>
      <c r="I52" s="86">
        <v>45296</v>
      </c>
      <c r="J52" s="67" t="s">
        <v>234</v>
      </c>
      <c r="K52" s="62">
        <v>100</v>
      </c>
      <c r="L52" s="73"/>
      <c r="M52" s="73"/>
      <c r="N52" s="73"/>
    </row>
    <row r="53" spans="1:14" ht="18.45" customHeight="1" x14ac:dyDescent="0.3">
      <c r="A53" s="48" t="s">
        <v>342</v>
      </c>
      <c r="B53" s="48" t="s">
        <v>343</v>
      </c>
      <c r="C53" s="48" t="s">
        <v>118</v>
      </c>
      <c r="D53" s="62">
        <v>18</v>
      </c>
      <c r="E53" s="56">
        <v>45278</v>
      </c>
      <c r="F53" s="56">
        <v>45279</v>
      </c>
      <c r="G53" s="67" t="s">
        <v>234</v>
      </c>
      <c r="H53" s="62" t="s">
        <v>65</v>
      </c>
      <c r="I53" s="86">
        <v>45296</v>
      </c>
      <c r="J53" s="67" t="s">
        <v>234</v>
      </c>
      <c r="K53" s="62">
        <v>250</v>
      </c>
      <c r="L53" s="73"/>
      <c r="M53" s="73"/>
      <c r="N53" s="73"/>
    </row>
    <row r="54" spans="1:14" ht="18.45" customHeight="1" x14ac:dyDescent="0.3">
      <c r="A54" s="48" t="s">
        <v>344</v>
      </c>
      <c r="B54" s="48" t="s">
        <v>345</v>
      </c>
      <c r="C54" s="48" t="s">
        <v>134</v>
      </c>
      <c r="D54" s="62">
        <v>17</v>
      </c>
      <c r="E54" s="56">
        <v>45288</v>
      </c>
      <c r="F54" s="56">
        <v>45288</v>
      </c>
      <c r="G54" s="67" t="s">
        <v>234</v>
      </c>
      <c r="H54" s="55" t="s">
        <v>65</v>
      </c>
      <c r="I54" s="86">
        <v>45296</v>
      </c>
      <c r="J54" s="67" t="s">
        <v>234</v>
      </c>
      <c r="K54" s="62">
        <v>150</v>
      </c>
      <c r="L54" s="73"/>
      <c r="M54" s="73"/>
      <c r="N54" s="73"/>
    </row>
    <row r="55" spans="1:14" ht="18.45" customHeight="1" x14ac:dyDescent="0.3">
      <c r="A55" s="48" t="s">
        <v>346</v>
      </c>
      <c r="B55" s="50" t="s">
        <v>347</v>
      </c>
      <c r="C55" s="48" t="s">
        <v>135</v>
      </c>
      <c r="D55" s="62">
        <v>58</v>
      </c>
      <c r="E55" s="54">
        <v>45283</v>
      </c>
      <c r="F55" s="54">
        <v>45287</v>
      </c>
      <c r="G55" s="67" t="s">
        <v>234</v>
      </c>
      <c r="H55" s="55" t="s">
        <v>65</v>
      </c>
      <c r="I55" s="86">
        <v>45296</v>
      </c>
      <c r="J55" s="67" t="s">
        <v>234</v>
      </c>
      <c r="K55" s="62">
        <v>300</v>
      </c>
      <c r="L55" s="73"/>
      <c r="M55" s="73"/>
      <c r="N55" s="73"/>
    </row>
    <row r="56" spans="1:14" ht="18.45" customHeight="1" x14ac:dyDescent="0.3">
      <c r="A56" s="48" t="s">
        <v>348</v>
      </c>
      <c r="B56" s="50" t="s">
        <v>349</v>
      </c>
      <c r="C56" s="62" t="s">
        <v>136</v>
      </c>
      <c r="D56" s="62">
        <v>2</v>
      </c>
      <c r="E56" s="54">
        <v>45267</v>
      </c>
      <c r="F56" s="54">
        <v>45294</v>
      </c>
      <c r="G56" s="67" t="s">
        <v>234</v>
      </c>
      <c r="H56" s="55" t="s">
        <v>65</v>
      </c>
      <c r="I56" s="86">
        <v>45296</v>
      </c>
      <c r="J56" s="67" t="s">
        <v>234</v>
      </c>
      <c r="K56" s="62">
        <v>200</v>
      </c>
      <c r="L56" s="73"/>
      <c r="M56" s="73"/>
      <c r="N56" s="73"/>
    </row>
    <row r="57" spans="1:14" ht="18.45" customHeight="1" x14ac:dyDescent="0.3">
      <c r="A57" s="48" t="s">
        <v>350</v>
      </c>
      <c r="B57" s="50" t="s">
        <v>351</v>
      </c>
      <c r="C57" s="48" t="s">
        <v>92</v>
      </c>
      <c r="D57" s="62">
        <v>3</v>
      </c>
      <c r="E57" s="54">
        <v>45291</v>
      </c>
      <c r="F57" s="54">
        <v>45293</v>
      </c>
      <c r="G57" s="67" t="s">
        <v>234</v>
      </c>
      <c r="H57" s="55" t="s">
        <v>65</v>
      </c>
      <c r="I57" s="86">
        <v>45296</v>
      </c>
      <c r="J57" s="67" t="s">
        <v>234</v>
      </c>
      <c r="K57" s="62">
        <v>550</v>
      </c>
      <c r="L57" s="73"/>
      <c r="M57" s="73"/>
      <c r="N57" s="73"/>
    </row>
    <row r="58" spans="1:14" ht="18.45" customHeight="1" x14ac:dyDescent="0.3">
      <c r="A58" s="48" t="s">
        <v>352</v>
      </c>
      <c r="B58" s="50" t="s">
        <v>353</v>
      </c>
      <c r="C58" s="48" t="s">
        <v>2477</v>
      </c>
      <c r="D58" s="62">
        <v>88</v>
      </c>
      <c r="E58" s="54">
        <v>45289</v>
      </c>
      <c r="F58" s="54">
        <v>45294</v>
      </c>
      <c r="G58" s="67" t="s">
        <v>234</v>
      </c>
      <c r="H58" s="55" t="s">
        <v>65</v>
      </c>
      <c r="I58" s="86">
        <v>45296</v>
      </c>
      <c r="J58" s="67" t="s">
        <v>234</v>
      </c>
      <c r="K58" s="62">
        <v>250</v>
      </c>
      <c r="L58" s="73"/>
      <c r="M58" s="73"/>
      <c r="N58" s="73"/>
    </row>
    <row r="59" spans="1:14" ht="18.45" customHeight="1" x14ac:dyDescent="0.3">
      <c r="A59" s="48" t="s">
        <v>354</v>
      </c>
      <c r="B59" s="50" t="s">
        <v>355</v>
      </c>
      <c r="C59" s="62" t="s">
        <v>94</v>
      </c>
      <c r="D59" s="62">
        <v>78</v>
      </c>
      <c r="E59" s="54">
        <v>45294</v>
      </c>
      <c r="F59" s="54">
        <v>45294</v>
      </c>
      <c r="G59" s="67" t="s">
        <v>234</v>
      </c>
      <c r="H59" s="55" t="s">
        <v>65</v>
      </c>
      <c r="I59" s="86">
        <v>45296</v>
      </c>
      <c r="J59" s="67" t="s">
        <v>234</v>
      </c>
      <c r="K59" s="62">
        <v>200</v>
      </c>
      <c r="L59" s="73"/>
      <c r="M59" s="73"/>
      <c r="N59" s="73"/>
    </row>
    <row r="60" spans="1:14" ht="18.45" customHeight="1" x14ac:dyDescent="0.3">
      <c r="A60" s="51" t="s">
        <v>356</v>
      </c>
      <c r="B60" s="51" t="s">
        <v>357</v>
      </c>
      <c r="C60" s="51" t="s">
        <v>226</v>
      </c>
      <c r="D60" s="51">
        <v>27</v>
      </c>
      <c r="E60" s="54">
        <v>45293</v>
      </c>
      <c r="F60" s="54">
        <v>45293</v>
      </c>
      <c r="G60" s="67" t="s">
        <v>234</v>
      </c>
      <c r="H60" s="51" t="s">
        <v>65</v>
      </c>
      <c r="I60" s="58">
        <v>45296</v>
      </c>
      <c r="J60" s="67" t="s">
        <v>234</v>
      </c>
      <c r="K60" s="51">
        <v>300</v>
      </c>
      <c r="L60" s="73"/>
      <c r="M60" s="73"/>
      <c r="N60" s="73"/>
    </row>
    <row r="61" spans="1:14" ht="18.45" customHeight="1" x14ac:dyDescent="0.3">
      <c r="A61" s="51" t="s">
        <v>358</v>
      </c>
      <c r="B61" s="51" t="s">
        <v>359</v>
      </c>
      <c r="C61" s="51" t="s">
        <v>2474</v>
      </c>
      <c r="D61" s="51">
        <v>11</v>
      </c>
      <c r="E61" s="54">
        <v>45293</v>
      </c>
      <c r="F61" s="54">
        <v>45293</v>
      </c>
      <c r="G61" s="67" t="s">
        <v>234</v>
      </c>
      <c r="H61" s="51" t="s">
        <v>65</v>
      </c>
      <c r="I61" s="58">
        <v>45296</v>
      </c>
      <c r="J61" s="67" t="s">
        <v>234</v>
      </c>
      <c r="K61" s="51">
        <v>300</v>
      </c>
      <c r="L61" s="73"/>
      <c r="M61" s="73"/>
      <c r="N61" s="73"/>
    </row>
    <row r="62" spans="1:14" ht="18.45" customHeight="1" x14ac:dyDescent="0.3">
      <c r="A62" s="51" t="s">
        <v>360</v>
      </c>
      <c r="B62" s="51" t="s">
        <v>361</v>
      </c>
      <c r="C62" s="56" t="s">
        <v>220</v>
      </c>
      <c r="D62" s="51">
        <v>20</v>
      </c>
      <c r="E62" s="54">
        <v>45293</v>
      </c>
      <c r="F62" s="54">
        <v>45294</v>
      </c>
      <c r="G62" s="67" t="s">
        <v>234</v>
      </c>
      <c r="H62" s="51" t="s">
        <v>65</v>
      </c>
      <c r="I62" s="58">
        <v>45296</v>
      </c>
      <c r="J62" s="67" t="s">
        <v>234</v>
      </c>
      <c r="K62" s="51">
        <v>200</v>
      </c>
      <c r="L62" s="73"/>
      <c r="M62" s="73"/>
      <c r="N62" s="73"/>
    </row>
    <row r="63" spans="1:14" ht="18.45" customHeight="1" x14ac:dyDescent="0.3">
      <c r="A63" s="51" t="s">
        <v>362</v>
      </c>
      <c r="B63" s="51" t="s">
        <v>363</v>
      </c>
      <c r="C63" s="56" t="s">
        <v>220</v>
      </c>
      <c r="D63" s="51">
        <v>38</v>
      </c>
      <c r="E63" s="54">
        <v>45293</v>
      </c>
      <c r="F63" s="54">
        <v>45294</v>
      </c>
      <c r="G63" s="67" t="s">
        <v>234</v>
      </c>
      <c r="H63" s="51" t="s">
        <v>65</v>
      </c>
      <c r="I63" s="58">
        <v>45296</v>
      </c>
      <c r="J63" s="67" t="s">
        <v>234</v>
      </c>
      <c r="K63" s="51">
        <v>300</v>
      </c>
      <c r="L63" s="73"/>
      <c r="M63" s="73"/>
      <c r="N63" s="73"/>
    </row>
    <row r="64" spans="1:14" ht="18.45" customHeight="1" x14ac:dyDescent="0.3">
      <c r="A64" s="51" t="s">
        <v>364</v>
      </c>
      <c r="B64" s="51" t="s">
        <v>365</v>
      </c>
      <c r="C64" s="51" t="s">
        <v>221</v>
      </c>
      <c r="D64" s="51">
        <v>33</v>
      </c>
      <c r="E64" s="54">
        <v>45293</v>
      </c>
      <c r="F64" s="54">
        <v>45294</v>
      </c>
      <c r="G64" s="67" t="s">
        <v>234</v>
      </c>
      <c r="H64" s="51" t="s">
        <v>65</v>
      </c>
      <c r="I64" s="58">
        <v>45296</v>
      </c>
      <c r="J64" s="67" t="s">
        <v>234</v>
      </c>
      <c r="K64" s="51">
        <v>500</v>
      </c>
      <c r="L64" s="73"/>
      <c r="M64" s="73"/>
      <c r="N64" s="73"/>
    </row>
    <row r="65" spans="1:14" ht="18.45" customHeight="1" x14ac:dyDescent="0.3">
      <c r="A65" s="51" t="s">
        <v>366</v>
      </c>
      <c r="B65" s="51" t="s">
        <v>367</v>
      </c>
      <c r="C65" s="51" t="s">
        <v>2475</v>
      </c>
      <c r="D65" s="51">
        <v>7</v>
      </c>
      <c r="E65" s="54">
        <v>45294</v>
      </c>
      <c r="F65" s="54">
        <v>45295</v>
      </c>
      <c r="G65" s="67" t="s">
        <v>234</v>
      </c>
      <c r="H65" s="51" t="s">
        <v>65</v>
      </c>
      <c r="I65" s="58">
        <v>45296</v>
      </c>
      <c r="J65" s="67" t="s">
        <v>234</v>
      </c>
      <c r="K65" s="51">
        <v>300</v>
      </c>
      <c r="L65" s="73"/>
      <c r="M65" s="73"/>
      <c r="N65" s="73"/>
    </row>
    <row r="66" spans="1:14" ht="18.45" customHeight="1" x14ac:dyDescent="0.3">
      <c r="A66" s="51" t="s">
        <v>368</v>
      </c>
      <c r="B66" s="51" t="s">
        <v>369</v>
      </c>
      <c r="C66" s="51" t="s">
        <v>215</v>
      </c>
      <c r="D66" s="51">
        <v>1</v>
      </c>
      <c r="E66" s="54">
        <v>45294</v>
      </c>
      <c r="F66" s="54">
        <v>45295</v>
      </c>
      <c r="G66" s="67" t="s">
        <v>234</v>
      </c>
      <c r="H66" s="51" t="s">
        <v>65</v>
      </c>
      <c r="I66" s="58">
        <v>45296</v>
      </c>
      <c r="J66" s="67" t="s">
        <v>234</v>
      </c>
      <c r="K66" s="51">
        <v>300</v>
      </c>
      <c r="L66" s="73"/>
      <c r="M66" s="73"/>
      <c r="N66" s="73"/>
    </row>
    <row r="67" spans="1:14" ht="18.45" customHeight="1" x14ac:dyDescent="0.3">
      <c r="A67" s="51" t="s">
        <v>370</v>
      </c>
      <c r="B67" s="51" t="s">
        <v>371</v>
      </c>
      <c r="C67" s="51" t="s">
        <v>221</v>
      </c>
      <c r="D67" s="51">
        <v>85</v>
      </c>
      <c r="E67" s="54">
        <v>45295</v>
      </c>
      <c r="F67" s="54">
        <v>45295</v>
      </c>
      <c r="G67" s="67" t="s">
        <v>234</v>
      </c>
      <c r="H67" s="51" t="s">
        <v>65</v>
      </c>
      <c r="I67" s="58">
        <v>45296</v>
      </c>
      <c r="J67" s="67" t="s">
        <v>234</v>
      </c>
      <c r="K67" s="51">
        <v>200</v>
      </c>
      <c r="L67" s="73"/>
      <c r="M67" s="73"/>
      <c r="N67" s="73"/>
    </row>
    <row r="68" spans="1:14" ht="18.45" customHeight="1" x14ac:dyDescent="0.3">
      <c r="A68" s="51" t="s">
        <v>372</v>
      </c>
      <c r="B68" s="51" t="s">
        <v>373</v>
      </c>
      <c r="C68" s="51" t="s">
        <v>211</v>
      </c>
      <c r="D68" s="84">
        <v>1</v>
      </c>
      <c r="E68" s="54">
        <v>45295</v>
      </c>
      <c r="F68" s="54">
        <v>45295</v>
      </c>
      <c r="G68" s="67" t="s">
        <v>234</v>
      </c>
      <c r="H68" s="51" t="s">
        <v>65</v>
      </c>
      <c r="I68" s="58">
        <v>45296</v>
      </c>
      <c r="J68" s="67" t="s">
        <v>234</v>
      </c>
      <c r="K68" s="51">
        <v>50</v>
      </c>
      <c r="L68" s="73"/>
      <c r="M68" s="73"/>
      <c r="N68" s="73"/>
    </row>
    <row r="69" spans="1:14" ht="18.45" customHeight="1" x14ac:dyDescent="0.3">
      <c r="A69" s="51" t="s">
        <v>374</v>
      </c>
      <c r="B69" s="51" t="s">
        <v>375</v>
      </c>
      <c r="C69" s="51" t="s">
        <v>230</v>
      </c>
      <c r="D69" s="51">
        <v>23</v>
      </c>
      <c r="E69" s="58">
        <v>45286</v>
      </c>
      <c r="F69" s="58">
        <v>45286</v>
      </c>
      <c r="G69" s="67" t="s">
        <v>234</v>
      </c>
      <c r="H69" s="51" t="s">
        <v>65</v>
      </c>
      <c r="I69" s="58">
        <v>45296</v>
      </c>
      <c r="J69" s="67" t="s">
        <v>234</v>
      </c>
      <c r="K69" s="51">
        <v>250</v>
      </c>
      <c r="L69" s="73"/>
      <c r="M69" s="73"/>
      <c r="N69" s="73"/>
    </row>
    <row r="70" spans="1:14" ht="18.45" customHeight="1" x14ac:dyDescent="0.3">
      <c r="A70" s="51" t="s">
        <v>376</v>
      </c>
      <c r="B70" s="51" t="s">
        <v>377</v>
      </c>
      <c r="C70" s="51" t="s">
        <v>227</v>
      </c>
      <c r="D70" s="51">
        <v>55</v>
      </c>
      <c r="E70" s="58">
        <v>45286</v>
      </c>
      <c r="F70" s="58">
        <v>45289</v>
      </c>
      <c r="G70" s="67" t="s">
        <v>234</v>
      </c>
      <c r="H70" s="51" t="s">
        <v>65</v>
      </c>
      <c r="I70" s="58">
        <v>45296</v>
      </c>
      <c r="J70" s="67" t="s">
        <v>234</v>
      </c>
      <c r="K70" s="51">
        <v>100</v>
      </c>
      <c r="L70" s="73"/>
      <c r="M70" s="73"/>
      <c r="N70" s="73"/>
    </row>
    <row r="71" spans="1:14" ht="18.45" customHeight="1" x14ac:dyDescent="0.3">
      <c r="A71" s="51" t="s">
        <v>378</v>
      </c>
      <c r="B71" s="51" t="s">
        <v>379</v>
      </c>
      <c r="C71" s="51" t="s">
        <v>232</v>
      </c>
      <c r="D71" s="51">
        <v>2</v>
      </c>
      <c r="E71" s="58">
        <v>45286</v>
      </c>
      <c r="F71" s="58">
        <v>45287</v>
      </c>
      <c r="G71" s="67" t="s">
        <v>234</v>
      </c>
      <c r="H71" s="51" t="s">
        <v>65</v>
      </c>
      <c r="I71" s="58">
        <v>45296</v>
      </c>
      <c r="J71" s="67" t="s">
        <v>234</v>
      </c>
      <c r="K71" s="51">
        <v>250</v>
      </c>
      <c r="L71" s="73"/>
      <c r="M71" s="73"/>
      <c r="N71" s="73"/>
    </row>
    <row r="72" spans="1:14" ht="18.45" customHeight="1" x14ac:dyDescent="0.3">
      <c r="A72" s="51" t="s">
        <v>380</v>
      </c>
      <c r="B72" s="51" t="s">
        <v>381</v>
      </c>
      <c r="C72" s="51" t="s">
        <v>227</v>
      </c>
      <c r="D72" s="51">
        <v>61</v>
      </c>
      <c r="E72" s="58">
        <v>45290</v>
      </c>
      <c r="F72" s="58">
        <v>45293</v>
      </c>
      <c r="G72" s="67" t="s">
        <v>234</v>
      </c>
      <c r="H72" s="51" t="s">
        <v>65</v>
      </c>
      <c r="I72" s="58">
        <v>45296</v>
      </c>
      <c r="J72" s="67" t="s">
        <v>234</v>
      </c>
      <c r="K72" s="51">
        <v>50</v>
      </c>
      <c r="L72" s="73"/>
      <c r="M72" s="73"/>
      <c r="N72" s="73"/>
    </row>
    <row r="73" spans="1:14" ht="18.45" customHeight="1" x14ac:dyDescent="0.3">
      <c r="A73" s="51" t="s">
        <v>382</v>
      </c>
      <c r="B73" s="51" t="s">
        <v>383</v>
      </c>
      <c r="C73" s="51" t="s">
        <v>228</v>
      </c>
      <c r="D73" s="51">
        <v>24</v>
      </c>
      <c r="E73" s="58">
        <v>45291</v>
      </c>
      <c r="F73" s="58">
        <v>45293</v>
      </c>
      <c r="G73" s="67" t="s">
        <v>234</v>
      </c>
      <c r="H73" s="51" t="s">
        <v>65</v>
      </c>
      <c r="I73" s="58">
        <v>45296</v>
      </c>
      <c r="J73" s="67" t="s">
        <v>234</v>
      </c>
      <c r="K73" s="51">
        <v>250</v>
      </c>
      <c r="L73" s="73"/>
      <c r="M73" s="73"/>
      <c r="N73" s="73"/>
    </row>
    <row r="74" spans="1:14" ht="18.45" customHeight="1" x14ac:dyDescent="0.3">
      <c r="A74" s="48" t="s">
        <v>384</v>
      </c>
      <c r="B74" s="48" t="s">
        <v>385</v>
      </c>
      <c r="C74" s="62" t="s">
        <v>94</v>
      </c>
      <c r="D74" s="62">
        <v>51</v>
      </c>
      <c r="E74" s="56">
        <v>45271</v>
      </c>
      <c r="F74" s="56">
        <v>45274</v>
      </c>
      <c r="G74" s="67" t="s">
        <v>234</v>
      </c>
      <c r="H74" s="62" t="s">
        <v>65</v>
      </c>
      <c r="I74" s="86">
        <v>45299</v>
      </c>
      <c r="J74" s="67" t="s">
        <v>234</v>
      </c>
      <c r="K74" s="62">
        <v>500</v>
      </c>
      <c r="L74" s="73"/>
      <c r="M74" s="73"/>
      <c r="N74" s="73"/>
    </row>
    <row r="75" spans="1:14" ht="18.45" customHeight="1" x14ac:dyDescent="0.3">
      <c r="A75" s="48" t="s">
        <v>386</v>
      </c>
      <c r="B75" s="50" t="s">
        <v>387</v>
      </c>
      <c r="C75" s="48" t="s">
        <v>92</v>
      </c>
      <c r="D75" s="62">
        <v>35</v>
      </c>
      <c r="E75" s="54">
        <v>45236</v>
      </c>
      <c r="F75" s="54">
        <v>45258</v>
      </c>
      <c r="G75" s="67" t="s">
        <v>234</v>
      </c>
      <c r="H75" s="55" t="s">
        <v>65</v>
      </c>
      <c r="I75" s="86">
        <v>45299</v>
      </c>
      <c r="J75" s="67" t="s">
        <v>234</v>
      </c>
      <c r="K75" s="62">
        <v>300</v>
      </c>
      <c r="L75" s="73"/>
      <c r="M75" s="73"/>
      <c r="N75" s="73"/>
    </row>
    <row r="76" spans="1:14" ht="18.45" customHeight="1" x14ac:dyDescent="0.3">
      <c r="A76" s="48" t="s">
        <v>388</v>
      </c>
      <c r="B76" s="50" t="s">
        <v>389</v>
      </c>
      <c r="C76" s="48" t="s">
        <v>95</v>
      </c>
      <c r="D76" s="62">
        <v>35</v>
      </c>
      <c r="E76" s="54">
        <v>45289</v>
      </c>
      <c r="F76" s="54">
        <v>45290</v>
      </c>
      <c r="G76" s="67" t="s">
        <v>234</v>
      </c>
      <c r="H76" s="55" t="s">
        <v>65</v>
      </c>
      <c r="I76" s="86">
        <v>45299</v>
      </c>
      <c r="J76" s="67" t="s">
        <v>234</v>
      </c>
      <c r="K76" s="62">
        <v>450</v>
      </c>
      <c r="L76" s="73"/>
      <c r="M76" s="73"/>
      <c r="N76" s="73"/>
    </row>
    <row r="77" spans="1:14" ht="18.45" customHeight="1" x14ac:dyDescent="0.3">
      <c r="A77" s="48" t="s">
        <v>390</v>
      </c>
      <c r="B77" s="50" t="s">
        <v>391</v>
      </c>
      <c r="C77" s="48" t="s">
        <v>134</v>
      </c>
      <c r="D77" s="62">
        <v>27</v>
      </c>
      <c r="E77" s="54">
        <v>45280</v>
      </c>
      <c r="F77" s="54">
        <v>45282</v>
      </c>
      <c r="G77" s="67" t="s">
        <v>234</v>
      </c>
      <c r="H77" s="62" t="s">
        <v>65</v>
      </c>
      <c r="I77" s="86">
        <v>45299</v>
      </c>
      <c r="J77" s="67" t="s">
        <v>234</v>
      </c>
      <c r="K77" s="62">
        <v>250</v>
      </c>
      <c r="L77" s="73"/>
      <c r="M77" s="73"/>
      <c r="N77" s="73"/>
    </row>
    <row r="78" spans="1:14" ht="18.45" customHeight="1" x14ac:dyDescent="0.3">
      <c r="A78" s="48" t="s">
        <v>392</v>
      </c>
      <c r="B78" s="50" t="s">
        <v>393</v>
      </c>
      <c r="C78" s="48" t="s">
        <v>95</v>
      </c>
      <c r="D78" s="62">
        <v>28</v>
      </c>
      <c r="E78" s="54">
        <v>45284</v>
      </c>
      <c r="F78" s="54">
        <v>45289</v>
      </c>
      <c r="G78" s="67" t="s">
        <v>234</v>
      </c>
      <c r="H78" s="55" t="s">
        <v>65</v>
      </c>
      <c r="I78" s="86">
        <v>45299</v>
      </c>
      <c r="J78" s="67" t="s">
        <v>234</v>
      </c>
      <c r="K78" s="62">
        <v>500</v>
      </c>
      <c r="L78" s="73"/>
      <c r="M78" s="73"/>
      <c r="N78" s="73"/>
    </row>
    <row r="79" spans="1:14" ht="18.45" customHeight="1" x14ac:dyDescent="0.3">
      <c r="A79" s="48" t="s">
        <v>394</v>
      </c>
      <c r="B79" s="50" t="s">
        <v>395</v>
      </c>
      <c r="C79" s="48" t="s">
        <v>135</v>
      </c>
      <c r="D79" s="62">
        <v>61</v>
      </c>
      <c r="E79" s="54">
        <v>45283</v>
      </c>
      <c r="F79" s="54">
        <v>45286</v>
      </c>
      <c r="G79" s="67" t="s">
        <v>234</v>
      </c>
      <c r="H79" s="55" t="s">
        <v>65</v>
      </c>
      <c r="I79" s="86">
        <v>45299</v>
      </c>
      <c r="J79" s="67" t="s">
        <v>234</v>
      </c>
      <c r="K79" s="62">
        <v>300</v>
      </c>
      <c r="L79" s="73"/>
      <c r="M79" s="73"/>
      <c r="N79" s="73"/>
    </row>
    <row r="80" spans="1:14" ht="18.45" customHeight="1" x14ac:dyDescent="0.3">
      <c r="A80" s="51" t="s">
        <v>396</v>
      </c>
      <c r="B80" s="51" t="s">
        <v>397</v>
      </c>
      <c r="C80" s="51" t="s">
        <v>2478</v>
      </c>
      <c r="D80" s="84">
        <v>23</v>
      </c>
      <c r="E80" s="54">
        <v>45267</v>
      </c>
      <c r="F80" s="54">
        <v>45268</v>
      </c>
      <c r="G80" s="67" t="s">
        <v>234</v>
      </c>
      <c r="H80" s="51" t="s">
        <v>65</v>
      </c>
      <c r="I80" s="58">
        <v>45299</v>
      </c>
      <c r="J80" s="67" t="s">
        <v>234</v>
      </c>
      <c r="K80" s="51">
        <v>500</v>
      </c>
      <c r="L80" s="73"/>
      <c r="M80" s="73"/>
      <c r="N80" s="73"/>
    </row>
    <row r="81" spans="1:14" ht="18.45" customHeight="1" x14ac:dyDescent="0.3">
      <c r="A81" s="51" t="s">
        <v>398</v>
      </c>
      <c r="B81" s="51" t="s">
        <v>399</v>
      </c>
      <c r="C81" s="51" t="s">
        <v>221</v>
      </c>
      <c r="D81" s="51">
        <v>98</v>
      </c>
      <c r="E81" s="54">
        <v>45288</v>
      </c>
      <c r="F81" s="54">
        <v>45290</v>
      </c>
      <c r="G81" s="67" t="s">
        <v>234</v>
      </c>
      <c r="H81" s="51" t="s">
        <v>65</v>
      </c>
      <c r="I81" s="58">
        <v>45299</v>
      </c>
      <c r="J81" s="67" t="s">
        <v>234</v>
      </c>
      <c r="K81" s="51">
        <v>500</v>
      </c>
      <c r="L81" s="73"/>
      <c r="M81" s="73"/>
      <c r="N81" s="73"/>
    </row>
    <row r="82" spans="1:14" ht="18.45" customHeight="1" x14ac:dyDescent="0.3">
      <c r="A82" s="51" t="s">
        <v>400</v>
      </c>
      <c r="B82" s="51" t="s">
        <v>401</v>
      </c>
      <c r="C82" s="51" t="s">
        <v>217</v>
      </c>
      <c r="D82" s="84">
        <v>19</v>
      </c>
      <c r="E82" s="54">
        <v>45295</v>
      </c>
      <c r="F82" s="54">
        <v>45295</v>
      </c>
      <c r="G82" s="67" t="s">
        <v>234</v>
      </c>
      <c r="H82" s="51" t="s">
        <v>65</v>
      </c>
      <c r="I82" s="58">
        <v>45299</v>
      </c>
      <c r="J82" s="67" t="s">
        <v>234</v>
      </c>
      <c r="K82" s="51">
        <v>500</v>
      </c>
      <c r="L82" s="73"/>
      <c r="M82" s="73"/>
      <c r="N82" s="73"/>
    </row>
    <row r="83" spans="1:14" ht="18.45" customHeight="1" x14ac:dyDescent="0.3">
      <c r="A83" s="51" t="s">
        <v>402</v>
      </c>
      <c r="B83" s="51" t="s">
        <v>403</v>
      </c>
      <c r="C83" s="51" t="s">
        <v>2478</v>
      </c>
      <c r="D83" s="51">
        <v>22</v>
      </c>
      <c r="E83" s="54">
        <v>45296</v>
      </c>
      <c r="F83" s="54">
        <v>45296</v>
      </c>
      <c r="G83" s="67" t="s">
        <v>234</v>
      </c>
      <c r="H83" s="51" t="s">
        <v>65</v>
      </c>
      <c r="I83" s="58">
        <v>45299</v>
      </c>
      <c r="J83" s="67" t="s">
        <v>234</v>
      </c>
      <c r="K83" s="51">
        <v>200</v>
      </c>
      <c r="L83" s="73"/>
      <c r="M83" s="73"/>
      <c r="N83" s="73"/>
    </row>
    <row r="84" spans="1:14" ht="18.45" customHeight="1" x14ac:dyDescent="0.3">
      <c r="A84" s="51" t="s">
        <v>404</v>
      </c>
      <c r="B84" s="51" t="s">
        <v>405</v>
      </c>
      <c r="C84" s="51" t="s">
        <v>2479</v>
      </c>
      <c r="D84" s="51">
        <v>8</v>
      </c>
      <c r="E84" s="54">
        <v>45063</v>
      </c>
      <c r="F84" s="54">
        <v>45065</v>
      </c>
      <c r="G84" s="67" t="s">
        <v>234</v>
      </c>
      <c r="H84" s="51" t="s">
        <v>65</v>
      </c>
      <c r="I84" s="58">
        <v>45299</v>
      </c>
      <c r="J84" s="67" t="s">
        <v>234</v>
      </c>
      <c r="K84" s="51">
        <v>400</v>
      </c>
      <c r="L84" s="73"/>
      <c r="M84" s="73"/>
      <c r="N84" s="73"/>
    </row>
    <row r="85" spans="1:14" ht="18.45" customHeight="1" x14ac:dyDescent="0.3">
      <c r="A85" s="51" t="s">
        <v>406</v>
      </c>
      <c r="B85" s="51" t="s">
        <v>407</v>
      </c>
      <c r="C85" s="51" t="s">
        <v>229</v>
      </c>
      <c r="D85" s="51">
        <v>16</v>
      </c>
      <c r="E85" s="58">
        <v>45295</v>
      </c>
      <c r="F85" s="58">
        <v>45296</v>
      </c>
      <c r="G85" s="67" t="s">
        <v>234</v>
      </c>
      <c r="H85" s="51" t="s">
        <v>65</v>
      </c>
      <c r="I85" s="58">
        <v>45299</v>
      </c>
      <c r="J85" s="67" t="s">
        <v>234</v>
      </c>
      <c r="K85" s="51">
        <v>50</v>
      </c>
      <c r="L85" s="73"/>
      <c r="M85" s="73"/>
      <c r="N85" s="73"/>
    </row>
    <row r="86" spans="1:14" ht="18.45" customHeight="1" x14ac:dyDescent="0.3">
      <c r="A86" s="51" t="s">
        <v>408</v>
      </c>
      <c r="B86" s="51" t="s">
        <v>409</v>
      </c>
      <c r="C86" s="51" t="s">
        <v>232</v>
      </c>
      <c r="D86" s="51">
        <v>23</v>
      </c>
      <c r="E86" s="58">
        <v>45295</v>
      </c>
      <c r="F86" s="58">
        <v>45296</v>
      </c>
      <c r="G86" s="67" t="s">
        <v>234</v>
      </c>
      <c r="H86" s="51" t="s">
        <v>65</v>
      </c>
      <c r="I86" s="58">
        <v>45299</v>
      </c>
      <c r="J86" s="67" t="s">
        <v>234</v>
      </c>
      <c r="K86" s="51">
        <v>200</v>
      </c>
      <c r="L86" s="73"/>
      <c r="M86" s="73"/>
      <c r="N86" s="73"/>
    </row>
    <row r="87" spans="1:14" ht="18.45" customHeight="1" x14ac:dyDescent="0.3">
      <c r="A87" s="51" t="s">
        <v>410</v>
      </c>
      <c r="B87" s="51" t="s">
        <v>411</v>
      </c>
      <c r="C87" s="51" t="s">
        <v>232</v>
      </c>
      <c r="D87" s="51">
        <v>6</v>
      </c>
      <c r="E87" s="58">
        <v>45296</v>
      </c>
      <c r="F87" s="58">
        <v>45296</v>
      </c>
      <c r="G87" s="67" t="s">
        <v>234</v>
      </c>
      <c r="H87" s="51" t="s">
        <v>65</v>
      </c>
      <c r="I87" s="58">
        <v>45299</v>
      </c>
      <c r="J87" s="67" t="s">
        <v>234</v>
      </c>
      <c r="K87" s="51">
        <v>180</v>
      </c>
      <c r="L87" s="73"/>
      <c r="M87" s="73"/>
      <c r="N87" s="73"/>
    </row>
    <row r="88" spans="1:14" ht="18.45" customHeight="1" x14ac:dyDescent="0.3">
      <c r="A88" s="51" t="s">
        <v>412</v>
      </c>
      <c r="B88" s="51" t="s">
        <v>413</v>
      </c>
      <c r="C88" s="51" t="s">
        <v>227</v>
      </c>
      <c r="D88" s="51">
        <v>6</v>
      </c>
      <c r="E88" s="58">
        <v>45290</v>
      </c>
      <c r="F88" s="58">
        <v>45293</v>
      </c>
      <c r="G88" s="67" t="s">
        <v>234</v>
      </c>
      <c r="H88" s="51" t="s">
        <v>65</v>
      </c>
      <c r="I88" s="58">
        <v>45299</v>
      </c>
      <c r="J88" s="67" t="s">
        <v>234</v>
      </c>
      <c r="K88" s="51">
        <v>150</v>
      </c>
      <c r="L88" s="73"/>
      <c r="M88" s="73"/>
      <c r="N88" s="73"/>
    </row>
    <row r="89" spans="1:14" ht="18.45" customHeight="1" x14ac:dyDescent="0.3">
      <c r="A89" s="51" t="s">
        <v>414</v>
      </c>
      <c r="B89" s="51" t="s">
        <v>415</v>
      </c>
      <c r="C89" s="51" t="s">
        <v>228</v>
      </c>
      <c r="D89" s="51">
        <v>4</v>
      </c>
      <c r="E89" s="58">
        <v>45296</v>
      </c>
      <c r="F89" s="58">
        <v>45296</v>
      </c>
      <c r="G89" s="67" t="s">
        <v>234</v>
      </c>
      <c r="H89" s="51" t="s">
        <v>65</v>
      </c>
      <c r="I89" s="58">
        <v>45299</v>
      </c>
      <c r="J89" s="67" t="s">
        <v>234</v>
      </c>
      <c r="K89" s="51">
        <v>200</v>
      </c>
      <c r="L89" s="73"/>
      <c r="M89" s="73"/>
      <c r="N89" s="73"/>
    </row>
    <row r="90" spans="1:14" ht="18.45" customHeight="1" x14ac:dyDescent="0.3">
      <c r="A90" s="51" t="s">
        <v>416</v>
      </c>
      <c r="B90" s="51" t="s">
        <v>417</v>
      </c>
      <c r="C90" s="51" t="s">
        <v>138</v>
      </c>
      <c r="D90" s="51">
        <v>44</v>
      </c>
      <c r="E90" s="58">
        <v>45296</v>
      </c>
      <c r="F90" s="58">
        <v>45296</v>
      </c>
      <c r="G90" s="67" t="s">
        <v>234</v>
      </c>
      <c r="H90" s="51" t="s">
        <v>65</v>
      </c>
      <c r="I90" s="58">
        <v>45299</v>
      </c>
      <c r="J90" s="67" t="s">
        <v>234</v>
      </c>
      <c r="K90" s="51">
        <v>60</v>
      </c>
      <c r="L90" s="73"/>
      <c r="M90" s="73"/>
      <c r="N90" s="73"/>
    </row>
    <row r="91" spans="1:14" ht="18.45" customHeight="1" x14ac:dyDescent="0.3">
      <c r="A91" s="51" t="s">
        <v>418</v>
      </c>
      <c r="B91" s="51" t="s">
        <v>419</v>
      </c>
      <c r="C91" s="51" t="s">
        <v>229</v>
      </c>
      <c r="D91" s="51">
        <v>8</v>
      </c>
      <c r="E91" s="58">
        <v>45295</v>
      </c>
      <c r="F91" s="58">
        <v>45296</v>
      </c>
      <c r="G91" s="67" t="s">
        <v>234</v>
      </c>
      <c r="H91" s="51" t="s">
        <v>65</v>
      </c>
      <c r="I91" s="58">
        <v>45299</v>
      </c>
      <c r="J91" s="67" t="s">
        <v>234</v>
      </c>
      <c r="K91" s="51">
        <v>280</v>
      </c>
      <c r="L91" s="73"/>
      <c r="M91" s="73"/>
      <c r="N91" s="73"/>
    </row>
    <row r="92" spans="1:14" ht="18.45" customHeight="1" x14ac:dyDescent="0.3">
      <c r="A92" s="48" t="s">
        <v>420</v>
      </c>
      <c r="B92" s="50" t="s">
        <v>421</v>
      </c>
      <c r="C92" s="48" t="s">
        <v>92</v>
      </c>
      <c r="D92" s="62">
        <v>34</v>
      </c>
      <c r="E92" s="54">
        <v>45287</v>
      </c>
      <c r="F92" s="54">
        <v>45288</v>
      </c>
      <c r="G92" s="67" t="s">
        <v>234</v>
      </c>
      <c r="H92" s="55" t="s">
        <v>65</v>
      </c>
      <c r="I92" s="86">
        <v>45300</v>
      </c>
      <c r="J92" s="67" t="s">
        <v>234</v>
      </c>
      <c r="K92" s="62">
        <v>550</v>
      </c>
      <c r="L92" s="73"/>
      <c r="M92" s="73"/>
      <c r="N92" s="73"/>
    </row>
    <row r="93" spans="1:14" ht="18.45" customHeight="1" x14ac:dyDescent="0.3">
      <c r="A93" s="48" t="s">
        <v>422</v>
      </c>
      <c r="B93" s="50" t="s">
        <v>423</v>
      </c>
      <c r="C93" s="48" t="s">
        <v>92</v>
      </c>
      <c r="D93" s="62">
        <v>11</v>
      </c>
      <c r="E93" s="54">
        <v>45285</v>
      </c>
      <c r="F93" s="54">
        <v>45287</v>
      </c>
      <c r="G93" s="67" t="s">
        <v>234</v>
      </c>
      <c r="H93" s="55" t="s">
        <v>65</v>
      </c>
      <c r="I93" s="86">
        <v>45300</v>
      </c>
      <c r="J93" s="67" t="s">
        <v>234</v>
      </c>
      <c r="K93" s="62">
        <v>370</v>
      </c>
      <c r="L93" s="73"/>
      <c r="M93" s="73"/>
      <c r="N93" s="73"/>
    </row>
    <row r="94" spans="1:14" ht="18.45" customHeight="1" x14ac:dyDescent="0.3">
      <c r="A94" s="48" t="s">
        <v>424</v>
      </c>
      <c r="B94" s="48" t="s">
        <v>425</v>
      </c>
      <c r="C94" s="62" t="s">
        <v>99</v>
      </c>
      <c r="D94" s="62">
        <v>77</v>
      </c>
      <c r="E94" s="56">
        <v>45295</v>
      </c>
      <c r="F94" s="56">
        <v>45296</v>
      </c>
      <c r="G94" s="67" t="s">
        <v>234</v>
      </c>
      <c r="H94" s="55" t="s">
        <v>65</v>
      </c>
      <c r="I94" s="86">
        <v>45300</v>
      </c>
      <c r="J94" s="67" t="s">
        <v>234</v>
      </c>
      <c r="K94" s="62">
        <v>200</v>
      </c>
      <c r="L94" s="73"/>
      <c r="M94" s="73"/>
      <c r="N94" s="73"/>
    </row>
    <row r="95" spans="1:14" ht="18.45" customHeight="1" x14ac:dyDescent="0.3">
      <c r="A95" s="62" t="s">
        <v>426</v>
      </c>
      <c r="B95" s="55" t="s">
        <v>427</v>
      </c>
      <c r="C95" s="62" t="s">
        <v>136</v>
      </c>
      <c r="D95" s="55">
        <v>64</v>
      </c>
      <c r="E95" s="86">
        <v>45211</v>
      </c>
      <c r="F95" s="86">
        <v>45238</v>
      </c>
      <c r="G95" s="67" t="s">
        <v>234</v>
      </c>
      <c r="H95" s="55" t="s">
        <v>65</v>
      </c>
      <c r="I95" s="86">
        <v>45300</v>
      </c>
      <c r="J95" s="67" t="s">
        <v>234</v>
      </c>
      <c r="K95" s="55">
        <v>350</v>
      </c>
      <c r="L95" s="73"/>
      <c r="M95" s="73"/>
      <c r="N95" s="73"/>
    </row>
    <row r="96" spans="1:14" ht="18.45" customHeight="1" x14ac:dyDescent="0.3">
      <c r="A96" s="48" t="s">
        <v>428</v>
      </c>
      <c r="B96" s="50" t="s">
        <v>429</v>
      </c>
      <c r="C96" s="48" t="s">
        <v>2477</v>
      </c>
      <c r="D96" s="62">
        <v>43</v>
      </c>
      <c r="E96" s="54">
        <v>45289</v>
      </c>
      <c r="F96" s="54">
        <v>45294</v>
      </c>
      <c r="G96" s="67" t="s">
        <v>234</v>
      </c>
      <c r="H96" s="55" t="s">
        <v>65</v>
      </c>
      <c r="I96" s="86">
        <v>45300</v>
      </c>
      <c r="J96" s="67" t="s">
        <v>234</v>
      </c>
      <c r="K96" s="62">
        <v>350</v>
      </c>
      <c r="L96" s="73"/>
      <c r="M96" s="73"/>
      <c r="N96" s="73"/>
    </row>
    <row r="97" spans="1:14" ht="18.45" customHeight="1" x14ac:dyDescent="0.3">
      <c r="A97" s="48" t="s">
        <v>430</v>
      </c>
      <c r="B97" s="50" t="s">
        <v>431</v>
      </c>
      <c r="C97" s="48" t="s">
        <v>120</v>
      </c>
      <c r="D97" s="62">
        <v>198</v>
      </c>
      <c r="E97" s="54">
        <v>45289</v>
      </c>
      <c r="F97" s="54">
        <v>45290</v>
      </c>
      <c r="G97" s="67" t="s">
        <v>234</v>
      </c>
      <c r="H97" s="55" t="s">
        <v>65</v>
      </c>
      <c r="I97" s="86">
        <v>45300</v>
      </c>
      <c r="J97" s="67" t="s">
        <v>234</v>
      </c>
      <c r="K97" s="62">
        <v>400</v>
      </c>
      <c r="L97" s="73"/>
      <c r="M97" s="73"/>
      <c r="N97" s="73"/>
    </row>
    <row r="98" spans="1:14" ht="18.45" customHeight="1" x14ac:dyDescent="0.3">
      <c r="A98" s="48" t="s">
        <v>432</v>
      </c>
      <c r="B98" s="48" t="s">
        <v>433</v>
      </c>
      <c r="C98" s="48" t="s">
        <v>120</v>
      </c>
      <c r="D98" s="62">
        <v>429</v>
      </c>
      <c r="E98" s="56">
        <v>45294</v>
      </c>
      <c r="F98" s="56">
        <v>45295</v>
      </c>
      <c r="G98" s="67" t="s">
        <v>234</v>
      </c>
      <c r="H98" s="55" t="s">
        <v>65</v>
      </c>
      <c r="I98" s="86">
        <v>45300</v>
      </c>
      <c r="J98" s="67" t="s">
        <v>234</v>
      </c>
      <c r="K98" s="62">
        <v>200</v>
      </c>
      <c r="L98" s="73"/>
      <c r="M98" s="73"/>
      <c r="N98" s="73"/>
    </row>
    <row r="99" spans="1:14" ht="18.45" customHeight="1" x14ac:dyDescent="0.3">
      <c r="A99" s="62" t="s">
        <v>434</v>
      </c>
      <c r="B99" s="55" t="s">
        <v>435</v>
      </c>
      <c r="C99" s="62" t="s">
        <v>136</v>
      </c>
      <c r="D99" s="55">
        <v>67</v>
      </c>
      <c r="E99" s="86">
        <v>45085</v>
      </c>
      <c r="F99" s="86">
        <v>45087</v>
      </c>
      <c r="G99" s="67" t="s">
        <v>234</v>
      </c>
      <c r="H99" s="55" t="s">
        <v>65</v>
      </c>
      <c r="I99" s="86">
        <v>45300</v>
      </c>
      <c r="J99" s="67" t="s">
        <v>234</v>
      </c>
      <c r="K99" s="55">
        <v>250</v>
      </c>
      <c r="L99" s="73"/>
      <c r="M99" s="73"/>
      <c r="N99" s="73"/>
    </row>
    <row r="100" spans="1:14" ht="18.45" customHeight="1" x14ac:dyDescent="0.3">
      <c r="A100" s="51" t="s">
        <v>436</v>
      </c>
      <c r="B100" s="51" t="s">
        <v>437</v>
      </c>
      <c r="C100" s="51" t="s">
        <v>226</v>
      </c>
      <c r="D100" s="84">
        <v>6</v>
      </c>
      <c r="E100" s="54">
        <v>45288</v>
      </c>
      <c r="F100" s="54">
        <v>45288</v>
      </c>
      <c r="G100" s="67" t="s">
        <v>234</v>
      </c>
      <c r="H100" s="51" t="s">
        <v>65</v>
      </c>
      <c r="I100" s="58">
        <v>45300</v>
      </c>
      <c r="J100" s="67" t="s">
        <v>234</v>
      </c>
      <c r="K100" s="51">
        <v>200</v>
      </c>
      <c r="L100" s="73"/>
      <c r="M100" s="73"/>
      <c r="N100" s="73"/>
    </row>
    <row r="101" spans="1:14" ht="18.45" customHeight="1" x14ac:dyDescent="0.3">
      <c r="A101" s="51" t="s">
        <v>438</v>
      </c>
      <c r="B101" s="51" t="s">
        <v>439</v>
      </c>
      <c r="C101" s="56" t="s">
        <v>220</v>
      </c>
      <c r="D101" s="51">
        <v>76</v>
      </c>
      <c r="E101" s="54">
        <v>45298</v>
      </c>
      <c r="F101" s="54">
        <v>45299</v>
      </c>
      <c r="G101" s="67" t="s">
        <v>234</v>
      </c>
      <c r="H101" s="51" t="s">
        <v>65</v>
      </c>
      <c r="I101" s="58">
        <v>45300</v>
      </c>
      <c r="J101" s="67" t="s">
        <v>234</v>
      </c>
      <c r="K101" s="51">
        <v>200</v>
      </c>
      <c r="L101" s="73"/>
      <c r="M101" s="73"/>
      <c r="N101" s="73"/>
    </row>
    <row r="102" spans="1:14" ht="18.45" customHeight="1" x14ac:dyDescent="0.3">
      <c r="A102" s="51" t="s">
        <v>440</v>
      </c>
      <c r="B102" s="51" t="s">
        <v>441</v>
      </c>
      <c r="C102" s="51" t="s">
        <v>221</v>
      </c>
      <c r="D102" s="51">
        <v>6</v>
      </c>
      <c r="E102" s="54">
        <v>45298</v>
      </c>
      <c r="F102" s="54">
        <v>45299</v>
      </c>
      <c r="G102" s="67" t="s">
        <v>234</v>
      </c>
      <c r="H102" s="51" t="s">
        <v>65</v>
      </c>
      <c r="I102" s="58">
        <v>45300</v>
      </c>
      <c r="J102" s="67" t="s">
        <v>234</v>
      </c>
      <c r="K102" s="51">
        <v>500</v>
      </c>
      <c r="L102" s="73"/>
      <c r="M102" s="73"/>
      <c r="N102" s="73"/>
    </row>
    <row r="103" spans="1:14" ht="18.45" customHeight="1" x14ac:dyDescent="0.3">
      <c r="A103" s="51" t="s">
        <v>442</v>
      </c>
      <c r="B103" s="51" t="s">
        <v>443</v>
      </c>
      <c r="C103" s="51" t="s">
        <v>229</v>
      </c>
      <c r="D103" s="51">
        <v>11</v>
      </c>
      <c r="E103" s="58">
        <v>45293</v>
      </c>
      <c r="F103" s="58">
        <v>45294</v>
      </c>
      <c r="G103" s="67" t="s">
        <v>234</v>
      </c>
      <c r="H103" s="51" t="s">
        <v>65</v>
      </c>
      <c r="I103" s="58">
        <v>45300</v>
      </c>
      <c r="J103" s="67" t="s">
        <v>234</v>
      </c>
      <c r="K103" s="51">
        <v>200</v>
      </c>
      <c r="L103" s="73"/>
      <c r="M103" s="73"/>
      <c r="N103" s="73"/>
    </row>
    <row r="104" spans="1:14" ht="18.45" customHeight="1" x14ac:dyDescent="0.3">
      <c r="A104" s="51" t="s">
        <v>444</v>
      </c>
      <c r="B104" s="51" t="s">
        <v>445</v>
      </c>
      <c r="C104" s="51" t="s">
        <v>228</v>
      </c>
      <c r="D104" s="51">
        <v>14</v>
      </c>
      <c r="E104" s="58">
        <v>45289</v>
      </c>
      <c r="F104" s="58">
        <v>45289</v>
      </c>
      <c r="G104" s="67" t="s">
        <v>234</v>
      </c>
      <c r="H104" s="51" t="s">
        <v>65</v>
      </c>
      <c r="I104" s="58">
        <v>45300</v>
      </c>
      <c r="J104" s="67" t="s">
        <v>234</v>
      </c>
      <c r="K104" s="51">
        <v>150</v>
      </c>
      <c r="L104" s="73"/>
      <c r="M104" s="73"/>
      <c r="N104" s="73"/>
    </row>
    <row r="105" spans="1:14" ht="18.45" customHeight="1" x14ac:dyDescent="0.3">
      <c r="A105" s="51" t="s">
        <v>446</v>
      </c>
      <c r="B105" s="51" t="s">
        <v>447</v>
      </c>
      <c r="C105" s="51" t="s">
        <v>2480</v>
      </c>
      <c r="D105" s="51">
        <v>62</v>
      </c>
      <c r="E105" s="58">
        <v>45295</v>
      </c>
      <c r="F105" s="58">
        <v>45296</v>
      </c>
      <c r="G105" s="67" t="s">
        <v>234</v>
      </c>
      <c r="H105" s="51" t="s">
        <v>65</v>
      </c>
      <c r="I105" s="58">
        <v>45300</v>
      </c>
      <c r="J105" s="67" t="s">
        <v>234</v>
      </c>
      <c r="K105" s="51">
        <v>80</v>
      </c>
      <c r="L105" s="73"/>
      <c r="M105" s="73"/>
      <c r="N105" s="73"/>
    </row>
    <row r="106" spans="1:14" ht="18.45" customHeight="1" x14ac:dyDescent="0.3">
      <c r="A106" s="48" t="s">
        <v>448</v>
      </c>
      <c r="B106" s="50" t="s">
        <v>449</v>
      </c>
      <c r="C106" s="48" t="s">
        <v>235</v>
      </c>
      <c r="D106" s="62">
        <v>39</v>
      </c>
      <c r="E106" s="54">
        <v>45287</v>
      </c>
      <c r="F106" s="54">
        <v>45288</v>
      </c>
      <c r="G106" s="67" t="s">
        <v>234</v>
      </c>
      <c r="H106" s="55" t="s">
        <v>65</v>
      </c>
      <c r="I106" s="86">
        <v>45301</v>
      </c>
      <c r="J106" s="67" t="s">
        <v>234</v>
      </c>
      <c r="K106" s="62">
        <v>600</v>
      </c>
      <c r="L106" s="73"/>
      <c r="M106" s="73"/>
      <c r="N106" s="73"/>
    </row>
    <row r="107" spans="1:14" ht="18.45" customHeight="1" x14ac:dyDescent="0.3">
      <c r="A107" s="48" t="s">
        <v>450</v>
      </c>
      <c r="B107" s="50" t="s">
        <v>451</v>
      </c>
      <c r="C107" s="48" t="s">
        <v>92</v>
      </c>
      <c r="D107" s="62">
        <v>33</v>
      </c>
      <c r="E107" s="54">
        <v>45291</v>
      </c>
      <c r="F107" s="54">
        <v>45293</v>
      </c>
      <c r="G107" s="67" t="s">
        <v>234</v>
      </c>
      <c r="H107" s="55" t="s">
        <v>65</v>
      </c>
      <c r="I107" s="86">
        <v>45301</v>
      </c>
      <c r="J107" s="67" t="s">
        <v>234</v>
      </c>
      <c r="K107" s="62">
        <v>300</v>
      </c>
      <c r="L107" s="73"/>
      <c r="M107" s="73"/>
      <c r="N107" s="73"/>
    </row>
    <row r="108" spans="1:14" ht="18.45" customHeight="1" x14ac:dyDescent="0.3">
      <c r="A108" s="48" t="s">
        <v>452</v>
      </c>
      <c r="B108" s="50" t="s">
        <v>453</v>
      </c>
      <c r="C108" s="48" t="s">
        <v>95</v>
      </c>
      <c r="D108" s="62">
        <v>45</v>
      </c>
      <c r="E108" s="54">
        <v>45289</v>
      </c>
      <c r="F108" s="54">
        <v>45290</v>
      </c>
      <c r="G108" s="67" t="s">
        <v>234</v>
      </c>
      <c r="H108" s="55" t="s">
        <v>65</v>
      </c>
      <c r="I108" s="86">
        <v>45301</v>
      </c>
      <c r="J108" s="67" t="s">
        <v>234</v>
      </c>
      <c r="K108" s="62">
        <v>500</v>
      </c>
      <c r="L108" s="73"/>
      <c r="M108" s="73"/>
      <c r="N108" s="73"/>
    </row>
    <row r="109" spans="1:14" ht="18.45" customHeight="1" x14ac:dyDescent="0.3">
      <c r="A109" s="71"/>
      <c r="B109" s="71" t="s">
        <v>454</v>
      </c>
      <c r="C109" s="62" t="s">
        <v>94</v>
      </c>
      <c r="D109" s="71">
        <v>36</v>
      </c>
      <c r="E109" s="87">
        <v>45300</v>
      </c>
      <c r="F109" s="87">
        <v>45301</v>
      </c>
      <c r="G109" s="67" t="s">
        <v>234</v>
      </c>
      <c r="H109" s="71" t="s">
        <v>65</v>
      </c>
      <c r="I109" s="87">
        <v>45301</v>
      </c>
      <c r="J109" s="67" t="s">
        <v>234</v>
      </c>
      <c r="K109" s="71">
        <v>200</v>
      </c>
      <c r="L109" s="73"/>
      <c r="M109" s="73"/>
      <c r="N109" s="73"/>
    </row>
    <row r="110" spans="1:14" ht="18.45" customHeight="1" x14ac:dyDescent="0.3">
      <c r="A110" s="48" t="s">
        <v>455</v>
      </c>
      <c r="B110" s="48" t="s">
        <v>456</v>
      </c>
      <c r="C110" s="48" t="s">
        <v>134</v>
      </c>
      <c r="D110" s="62">
        <v>24</v>
      </c>
      <c r="E110" s="56">
        <v>45276</v>
      </c>
      <c r="F110" s="56">
        <v>45278</v>
      </c>
      <c r="G110" s="67" t="s">
        <v>234</v>
      </c>
      <c r="H110" s="62" t="s">
        <v>65</v>
      </c>
      <c r="I110" s="86">
        <v>45301</v>
      </c>
      <c r="J110" s="67" t="s">
        <v>234</v>
      </c>
      <c r="K110" s="62">
        <v>560</v>
      </c>
      <c r="L110" s="73"/>
      <c r="M110" s="73"/>
      <c r="N110" s="73"/>
    </row>
    <row r="111" spans="1:14" ht="18.45" customHeight="1" x14ac:dyDescent="0.3">
      <c r="A111" s="48" t="s">
        <v>457</v>
      </c>
      <c r="B111" s="50" t="s">
        <v>458</v>
      </c>
      <c r="C111" s="48" t="s">
        <v>2477</v>
      </c>
      <c r="D111" s="62">
        <v>24</v>
      </c>
      <c r="E111" s="54">
        <v>45255</v>
      </c>
      <c r="F111" s="54">
        <v>44928</v>
      </c>
      <c r="G111" s="67" t="s">
        <v>234</v>
      </c>
      <c r="H111" s="55" t="s">
        <v>65</v>
      </c>
      <c r="I111" s="86">
        <v>45301</v>
      </c>
      <c r="J111" s="67" t="s">
        <v>234</v>
      </c>
      <c r="K111" s="62">
        <v>350</v>
      </c>
      <c r="L111" s="73"/>
      <c r="M111" s="73"/>
      <c r="N111" s="73"/>
    </row>
    <row r="112" spans="1:14" ht="18.45" customHeight="1" x14ac:dyDescent="0.3">
      <c r="A112" s="48" t="s">
        <v>459</v>
      </c>
      <c r="B112" s="48" t="s">
        <v>460</v>
      </c>
      <c r="C112" s="48" t="s">
        <v>2477</v>
      </c>
      <c r="D112" s="62">
        <v>24</v>
      </c>
      <c r="E112" s="56">
        <v>45281</v>
      </c>
      <c r="F112" s="56">
        <v>45282</v>
      </c>
      <c r="G112" s="67" t="s">
        <v>234</v>
      </c>
      <c r="H112" s="62" t="s">
        <v>65</v>
      </c>
      <c r="I112" s="86">
        <v>45301</v>
      </c>
      <c r="J112" s="67" t="s">
        <v>234</v>
      </c>
      <c r="K112" s="62">
        <v>530</v>
      </c>
      <c r="L112" s="73"/>
      <c r="M112" s="73"/>
      <c r="N112" s="73"/>
    </row>
    <row r="113" spans="1:14" ht="18.45" customHeight="1" x14ac:dyDescent="0.3">
      <c r="A113" s="51" t="s">
        <v>461</v>
      </c>
      <c r="B113" s="51" t="s">
        <v>462</v>
      </c>
      <c r="C113" s="51" t="s">
        <v>223</v>
      </c>
      <c r="D113" s="84">
        <v>25</v>
      </c>
      <c r="E113" s="54">
        <v>45300</v>
      </c>
      <c r="F113" s="54">
        <v>45300</v>
      </c>
      <c r="G113" s="67" t="s">
        <v>234</v>
      </c>
      <c r="H113" s="51" t="s">
        <v>65</v>
      </c>
      <c r="I113" s="58">
        <v>45301</v>
      </c>
      <c r="J113" s="67" t="s">
        <v>234</v>
      </c>
      <c r="K113" s="51">
        <v>200</v>
      </c>
      <c r="L113" s="73"/>
      <c r="M113" s="73"/>
      <c r="N113" s="73"/>
    </row>
    <row r="114" spans="1:14" ht="18.45" customHeight="1" x14ac:dyDescent="0.3">
      <c r="A114" s="51" t="s">
        <v>463</v>
      </c>
      <c r="B114" s="51" t="s">
        <v>464</v>
      </c>
      <c r="C114" s="51" t="s">
        <v>2481</v>
      </c>
      <c r="D114" s="84">
        <v>2</v>
      </c>
      <c r="E114" s="54">
        <v>45300</v>
      </c>
      <c r="F114" s="54">
        <v>45300</v>
      </c>
      <c r="G114" s="67" t="s">
        <v>234</v>
      </c>
      <c r="H114" s="51" t="s">
        <v>65</v>
      </c>
      <c r="I114" s="58">
        <v>45301</v>
      </c>
      <c r="J114" s="67" t="s">
        <v>234</v>
      </c>
      <c r="K114" s="51">
        <v>300</v>
      </c>
      <c r="L114" s="73"/>
      <c r="M114" s="73"/>
      <c r="N114" s="73"/>
    </row>
    <row r="115" spans="1:14" ht="18.45" customHeight="1" x14ac:dyDescent="0.3">
      <c r="A115" s="51" t="s">
        <v>465</v>
      </c>
      <c r="B115" s="51" t="s">
        <v>466</v>
      </c>
      <c r="C115" s="51" t="s">
        <v>223</v>
      </c>
      <c r="D115" s="84">
        <v>22</v>
      </c>
      <c r="E115" s="54">
        <v>45300</v>
      </c>
      <c r="F115" s="54">
        <v>45300</v>
      </c>
      <c r="G115" s="67" t="s">
        <v>234</v>
      </c>
      <c r="H115" s="51" t="s">
        <v>65</v>
      </c>
      <c r="I115" s="58">
        <v>45301</v>
      </c>
      <c r="J115" s="67" t="s">
        <v>234</v>
      </c>
      <c r="K115" s="51">
        <v>300</v>
      </c>
      <c r="L115" s="73"/>
      <c r="M115" s="73"/>
      <c r="N115" s="73"/>
    </row>
    <row r="116" spans="1:14" ht="18.45" customHeight="1" x14ac:dyDescent="0.3">
      <c r="A116" s="51" t="s">
        <v>467</v>
      </c>
      <c r="B116" s="51" t="s">
        <v>468</v>
      </c>
      <c r="C116" s="51" t="s">
        <v>223</v>
      </c>
      <c r="D116" s="84">
        <v>50</v>
      </c>
      <c r="E116" s="54">
        <v>45300</v>
      </c>
      <c r="F116" s="54">
        <v>45300</v>
      </c>
      <c r="G116" s="67" t="s">
        <v>234</v>
      </c>
      <c r="H116" s="51" t="s">
        <v>65</v>
      </c>
      <c r="I116" s="58">
        <v>45301</v>
      </c>
      <c r="J116" s="67" t="s">
        <v>234</v>
      </c>
      <c r="K116" s="51">
        <v>300</v>
      </c>
      <c r="L116" s="73"/>
      <c r="M116" s="73"/>
      <c r="N116" s="73"/>
    </row>
    <row r="117" spans="1:14" ht="18.45" customHeight="1" x14ac:dyDescent="0.3">
      <c r="A117" s="51" t="s">
        <v>469</v>
      </c>
      <c r="B117" s="51" t="s">
        <v>470</v>
      </c>
      <c r="C117" s="51" t="s">
        <v>217</v>
      </c>
      <c r="D117" s="84">
        <v>19</v>
      </c>
      <c r="E117" s="54">
        <v>45300</v>
      </c>
      <c r="F117" s="54">
        <v>45300</v>
      </c>
      <c r="G117" s="67" t="s">
        <v>234</v>
      </c>
      <c r="H117" s="51" t="s">
        <v>65</v>
      </c>
      <c r="I117" s="58">
        <v>45301</v>
      </c>
      <c r="J117" s="67" t="s">
        <v>234</v>
      </c>
      <c r="K117" s="51">
        <v>300</v>
      </c>
      <c r="L117" s="73"/>
      <c r="M117" s="73"/>
      <c r="N117" s="73"/>
    </row>
    <row r="118" spans="1:14" ht="18.45" customHeight="1" x14ac:dyDescent="0.3">
      <c r="A118" s="51" t="s">
        <v>471</v>
      </c>
      <c r="B118" s="51" t="s">
        <v>472</v>
      </c>
      <c r="C118" s="51" t="s">
        <v>222</v>
      </c>
      <c r="D118" s="84">
        <v>21</v>
      </c>
      <c r="E118" s="54">
        <v>45300</v>
      </c>
      <c r="F118" s="54">
        <v>45300</v>
      </c>
      <c r="G118" s="67" t="s">
        <v>234</v>
      </c>
      <c r="H118" s="51" t="s">
        <v>65</v>
      </c>
      <c r="I118" s="58">
        <v>45301</v>
      </c>
      <c r="J118" s="67" t="s">
        <v>234</v>
      </c>
      <c r="K118" s="51">
        <v>300</v>
      </c>
      <c r="L118" s="73"/>
      <c r="M118" s="73"/>
      <c r="N118" s="73"/>
    </row>
    <row r="119" spans="1:14" ht="18.45" customHeight="1" x14ac:dyDescent="0.3">
      <c r="A119" s="51" t="s">
        <v>473</v>
      </c>
      <c r="B119" s="51" t="s">
        <v>474</v>
      </c>
      <c r="C119" s="51" t="s">
        <v>228</v>
      </c>
      <c r="D119" s="51">
        <v>8</v>
      </c>
      <c r="E119" s="58">
        <v>45287</v>
      </c>
      <c r="F119" s="58">
        <v>45287</v>
      </c>
      <c r="G119" s="67" t="s">
        <v>234</v>
      </c>
      <c r="H119" s="51" t="s">
        <v>65</v>
      </c>
      <c r="I119" s="58">
        <v>45301</v>
      </c>
      <c r="J119" s="67" t="s">
        <v>234</v>
      </c>
      <c r="K119" s="51">
        <v>200</v>
      </c>
      <c r="L119" s="73"/>
      <c r="M119" s="73"/>
      <c r="N119" s="73"/>
    </row>
    <row r="120" spans="1:14" ht="18.45" customHeight="1" x14ac:dyDescent="0.3">
      <c r="A120" s="51" t="s">
        <v>475</v>
      </c>
      <c r="B120" s="51" t="s">
        <v>476</v>
      </c>
      <c r="C120" s="51" t="s">
        <v>229</v>
      </c>
      <c r="D120" s="51">
        <v>14</v>
      </c>
      <c r="E120" s="58">
        <v>45288</v>
      </c>
      <c r="F120" s="58">
        <v>45289</v>
      </c>
      <c r="G120" s="67" t="s">
        <v>234</v>
      </c>
      <c r="H120" s="51" t="s">
        <v>65</v>
      </c>
      <c r="I120" s="58">
        <v>45301</v>
      </c>
      <c r="J120" s="67" t="s">
        <v>234</v>
      </c>
      <c r="K120" s="51">
        <v>200</v>
      </c>
      <c r="L120" s="73"/>
      <c r="M120" s="73"/>
      <c r="N120" s="73"/>
    </row>
    <row r="121" spans="1:14" ht="18.45" customHeight="1" x14ac:dyDescent="0.3">
      <c r="A121" s="51" t="s">
        <v>477</v>
      </c>
      <c r="B121" s="51" t="s">
        <v>478</v>
      </c>
      <c r="C121" s="51" t="s">
        <v>229</v>
      </c>
      <c r="D121" s="51">
        <v>15</v>
      </c>
      <c r="E121" s="58">
        <v>45295</v>
      </c>
      <c r="F121" s="58">
        <v>45296</v>
      </c>
      <c r="G121" s="67" t="s">
        <v>234</v>
      </c>
      <c r="H121" s="51" t="s">
        <v>65</v>
      </c>
      <c r="I121" s="58">
        <v>45301</v>
      </c>
      <c r="J121" s="67" t="s">
        <v>234</v>
      </c>
      <c r="K121" s="51">
        <v>250</v>
      </c>
      <c r="L121" s="73"/>
      <c r="M121" s="73"/>
      <c r="N121" s="73"/>
    </row>
    <row r="122" spans="1:14" ht="18.45" customHeight="1" x14ac:dyDescent="0.3">
      <c r="A122" s="51" t="s">
        <v>479</v>
      </c>
      <c r="B122" s="51" t="s">
        <v>480</v>
      </c>
      <c r="C122" s="51" t="s">
        <v>232</v>
      </c>
      <c r="D122" s="51">
        <v>53</v>
      </c>
      <c r="E122" s="58">
        <v>45291</v>
      </c>
      <c r="F122" s="58">
        <v>45293</v>
      </c>
      <c r="G122" s="67" t="s">
        <v>234</v>
      </c>
      <c r="H122" s="51" t="s">
        <v>65</v>
      </c>
      <c r="I122" s="58">
        <v>45301</v>
      </c>
      <c r="J122" s="67" t="s">
        <v>234</v>
      </c>
      <c r="K122" s="51">
        <v>200</v>
      </c>
      <c r="L122" s="73"/>
      <c r="M122" s="73"/>
      <c r="N122" s="73"/>
    </row>
    <row r="123" spans="1:14" ht="18.45" customHeight="1" x14ac:dyDescent="0.3">
      <c r="A123" s="51" t="s">
        <v>481</v>
      </c>
      <c r="B123" s="51" t="s">
        <v>482</v>
      </c>
      <c r="C123" s="51" t="s">
        <v>227</v>
      </c>
      <c r="D123" s="51">
        <v>59</v>
      </c>
      <c r="E123" s="58">
        <v>45295</v>
      </c>
      <c r="F123" s="58">
        <v>45296</v>
      </c>
      <c r="G123" s="67" t="s">
        <v>234</v>
      </c>
      <c r="H123" s="51" t="s">
        <v>65</v>
      </c>
      <c r="I123" s="58">
        <v>45301</v>
      </c>
      <c r="J123" s="67" t="s">
        <v>234</v>
      </c>
      <c r="K123" s="51">
        <v>200</v>
      </c>
      <c r="L123" s="73"/>
      <c r="M123" s="73"/>
      <c r="N123" s="73"/>
    </row>
    <row r="124" spans="1:14" ht="18.45" customHeight="1" x14ac:dyDescent="0.3">
      <c r="A124" s="51" t="s">
        <v>483</v>
      </c>
      <c r="B124" s="51" t="s">
        <v>484</v>
      </c>
      <c r="C124" s="51" t="s">
        <v>227</v>
      </c>
      <c r="D124" s="51">
        <v>80</v>
      </c>
      <c r="E124" s="58">
        <v>45299</v>
      </c>
      <c r="F124" s="58">
        <v>45299</v>
      </c>
      <c r="G124" s="67" t="s">
        <v>234</v>
      </c>
      <c r="H124" s="51" t="s">
        <v>65</v>
      </c>
      <c r="I124" s="58">
        <v>45301</v>
      </c>
      <c r="J124" s="67" t="s">
        <v>234</v>
      </c>
      <c r="K124" s="51">
        <v>80</v>
      </c>
      <c r="L124" s="73"/>
      <c r="M124" s="73"/>
      <c r="N124" s="73"/>
    </row>
    <row r="125" spans="1:14" ht="18.45" customHeight="1" x14ac:dyDescent="0.3">
      <c r="A125" s="51" t="s">
        <v>485</v>
      </c>
      <c r="B125" s="51" t="s">
        <v>486</v>
      </c>
      <c r="C125" s="51" t="s">
        <v>227</v>
      </c>
      <c r="D125" s="51">
        <v>29</v>
      </c>
      <c r="E125" s="58">
        <v>45288</v>
      </c>
      <c r="F125" s="58">
        <v>45288</v>
      </c>
      <c r="G125" s="67" t="s">
        <v>234</v>
      </c>
      <c r="H125" s="51" t="s">
        <v>65</v>
      </c>
      <c r="I125" s="58">
        <v>45301</v>
      </c>
      <c r="J125" s="67" t="s">
        <v>234</v>
      </c>
      <c r="K125" s="51">
        <v>200</v>
      </c>
      <c r="L125" s="73"/>
      <c r="M125" s="73"/>
      <c r="N125" s="73"/>
    </row>
    <row r="126" spans="1:14" ht="18.45" customHeight="1" x14ac:dyDescent="0.3">
      <c r="A126" s="51" t="s">
        <v>487</v>
      </c>
      <c r="B126" s="51" t="s">
        <v>488</v>
      </c>
      <c r="C126" s="51" t="s">
        <v>227</v>
      </c>
      <c r="D126" s="51">
        <v>50</v>
      </c>
      <c r="E126" s="58">
        <v>45293</v>
      </c>
      <c r="F126" s="58">
        <v>45294</v>
      </c>
      <c r="G126" s="67" t="s">
        <v>234</v>
      </c>
      <c r="H126" s="51" t="s">
        <v>65</v>
      </c>
      <c r="I126" s="58">
        <v>45301</v>
      </c>
      <c r="J126" s="67" t="s">
        <v>234</v>
      </c>
      <c r="K126" s="51">
        <v>200</v>
      </c>
      <c r="L126" s="73"/>
      <c r="M126" s="73"/>
      <c r="N126" s="73"/>
    </row>
    <row r="127" spans="1:14" ht="18.45" customHeight="1" x14ac:dyDescent="0.3">
      <c r="A127" s="51" t="s">
        <v>489</v>
      </c>
      <c r="B127" s="51" t="s">
        <v>490</v>
      </c>
      <c r="C127" s="51" t="s">
        <v>227</v>
      </c>
      <c r="D127" s="51">
        <v>25</v>
      </c>
      <c r="E127" s="58">
        <v>45296</v>
      </c>
      <c r="F127" s="58">
        <v>45296</v>
      </c>
      <c r="G127" s="67" t="s">
        <v>234</v>
      </c>
      <c r="H127" s="51" t="s">
        <v>65</v>
      </c>
      <c r="I127" s="58">
        <v>45301</v>
      </c>
      <c r="J127" s="67" t="s">
        <v>234</v>
      </c>
      <c r="K127" s="51">
        <v>250</v>
      </c>
      <c r="L127" s="73"/>
      <c r="M127" s="73"/>
      <c r="N127" s="73"/>
    </row>
    <row r="128" spans="1:14" ht="18.45" customHeight="1" x14ac:dyDescent="0.3">
      <c r="A128" s="51" t="s">
        <v>491</v>
      </c>
      <c r="B128" s="51" t="s">
        <v>492</v>
      </c>
      <c r="C128" s="51" t="s">
        <v>229</v>
      </c>
      <c r="D128" s="51">
        <v>29</v>
      </c>
      <c r="E128" s="58">
        <v>45295</v>
      </c>
      <c r="F128" s="58">
        <v>45296</v>
      </c>
      <c r="G128" s="67" t="s">
        <v>234</v>
      </c>
      <c r="H128" s="51" t="s">
        <v>65</v>
      </c>
      <c r="I128" s="58">
        <v>45301</v>
      </c>
      <c r="J128" s="67" t="s">
        <v>234</v>
      </c>
      <c r="K128" s="51">
        <v>200</v>
      </c>
      <c r="L128" s="73"/>
      <c r="M128" s="73"/>
      <c r="N128" s="73"/>
    </row>
    <row r="129" spans="1:14" ht="18.45" customHeight="1" x14ac:dyDescent="0.3">
      <c r="A129" s="62" t="s">
        <v>493</v>
      </c>
      <c r="B129" s="62" t="s">
        <v>494</v>
      </c>
      <c r="C129" s="62" t="s">
        <v>95</v>
      </c>
      <c r="D129" s="55">
        <v>44</v>
      </c>
      <c r="E129" s="86">
        <v>45232</v>
      </c>
      <c r="F129" s="86">
        <v>45232</v>
      </c>
      <c r="G129" s="67" t="s">
        <v>234</v>
      </c>
      <c r="H129" s="55" t="s">
        <v>65</v>
      </c>
      <c r="I129" s="86">
        <v>45302</v>
      </c>
      <c r="J129" s="67" t="s">
        <v>234</v>
      </c>
      <c r="K129" s="55">
        <v>250</v>
      </c>
      <c r="L129" s="73"/>
      <c r="M129" s="73"/>
      <c r="N129" s="73"/>
    </row>
    <row r="130" spans="1:14" ht="18.45" customHeight="1" x14ac:dyDescent="0.3">
      <c r="A130" s="99" t="s">
        <v>495</v>
      </c>
      <c r="B130" s="75" t="s">
        <v>496</v>
      </c>
      <c r="C130" s="99" t="s">
        <v>2482</v>
      </c>
      <c r="D130" s="71">
        <v>444</v>
      </c>
      <c r="E130" s="85">
        <v>45299</v>
      </c>
      <c r="F130" s="85">
        <v>45301</v>
      </c>
      <c r="G130" s="67" t="s">
        <v>234</v>
      </c>
      <c r="H130" s="71" t="s">
        <v>65</v>
      </c>
      <c r="I130" s="86">
        <v>45302</v>
      </c>
      <c r="J130" s="67" t="s">
        <v>234</v>
      </c>
      <c r="K130" s="71">
        <v>350</v>
      </c>
      <c r="L130" s="73"/>
      <c r="M130" s="73"/>
      <c r="N130" s="73"/>
    </row>
    <row r="131" spans="1:14" ht="18.45" customHeight="1" x14ac:dyDescent="0.3">
      <c r="A131" s="99" t="s">
        <v>497</v>
      </c>
      <c r="B131" s="75" t="s">
        <v>498</v>
      </c>
      <c r="C131" s="99" t="s">
        <v>118</v>
      </c>
      <c r="D131" s="71">
        <v>2</v>
      </c>
      <c r="E131" s="85">
        <v>45300</v>
      </c>
      <c r="F131" s="85">
        <v>45301</v>
      </c>
      <c r="G131" s="67" t="s">
        <v>234</v>
      </c>
      <c r="H131" s="71" t="s">
        <v>65</v>
      </c>
      <c r="I131" s="92">
        <v>45302</v>
      </c>
      <c r="J131" s="67" t="s">
        <v>234</v>
      </c>
      <c r="K131" s="71">
        <v>200</v>
      </c>
      <c r="L131" s="73"/>
      <c r="M131" s="73"/>
      <c r="N131" s="73"/>
    </row>
    <row r="132" spans="1:14" ht="18.45" customHeight="1" x14ac:dyDescent="0.3">
      <c r="A132" s="99" t="s">
        <v>499</v>
      </c>
      <c r="B132" s="75" t="s">
        <v>500</v>
      </c>
      <c r="C132" s="62" t="s">
        <v>136</v>
      </c>
      <c r="D132" s="71">
        <v>29</v>
      </c>
      <c r="E132" s="85">
        <v>45299</v>
      </c>
      <c r="F132" s="85">
        <v>45301</v>
      </c>
      <c r="G132" s="67" t="s">
        <v>234</v>
      </c>
      <c r="H132" s="71" t="s">
        <v>65</v>
      </c>
      <c r="I132" s="92">
        <v>45302</v>
      </c>
      <c r="J132" s="67" t="s">
        <v>234</v>
      </c>
      <c r="K132" s="71">
        <v>200</v>
      </c>
      <c r="L132" s="73"/>
      <c r="M132" s="73"/>
      <c r="N132" s="73"/>
    </row>
    <row r="133" spans="1:14" ht="18.45" customHeight="1" x14ac:dyDescent="0.3">
      <c r="A133" s="62" t="s">
        <v>501</v>
      </c>
      <c r="B133" s="55" t="s">
        <v>502</v>
      </c>
      <c r="C133" s="48" t="s">
        <v>134</v>
      </c>
      <c r="D133" s="55">
        <v>23</v>
      </c>
      <c r="E133" s="86">
        <v>45239</v>
      </c>
      <c r="F133" s="86">
        <v>45239</v>
      </c>
      <c r="G133" s="67" t="s">
        <v>234</v>
      </c>
      <c r="H133" s="55" t="s">
        <v>65</v>
      </c>
      <c r="I133" s="86">
        <v>45302</v>
      </c>
      <c r="J133" s="67" t="s">
        <v>234</v>
      </c>
      <c r="K133" s="55">
        <v>360</v>
      </c>
      <c r="L133" s="73"/>
      <c r="M133" s="73"/>
      <c r="N133" s="73"/>
    </row>
    <row r="134" spans="1:14" ht="18.45" customHeight="1" x14ac:dyDescent="0.3">
      <c r="A134" s="48" t="s">
        <v>503</v>
      </c>
      <c r="B134" s="50" t="s">
        <v>504</v>
      </c>
      <c r="C134" s="48" t="s">
        <v>135</v>
      </c>
      <c r="D134" s="62">
        <v>12</v>
      </c>
      <c r="E134" s="54">
        <v>45267</v>
      </c>
      <c r="F134" s="54">
        <v>45269</v>
      </c>
      <c r="G134" s="67" t="s">
        <v>234</v>
      </c>
      <c r="H134" s="62" t="s">
        <v>65</v>
      </c>
      <c r="I134" s="86">
        <v>45302</v>
      </c>
      <c r="J134" s="67" t="s">
        <v>234</v>
      </c>
      <c r="K134" s="62">
        <v>250</v>
      </c>
      <c r="L134" s="73"/>
      <c r="M134" s="73"/>
      <c r="N134" s="73"/>
    </row>
    <row r="135" spans="1:14" ht="18.45" customHeight="1" x14ac:dyDescent="0.3">
      <c r="A135" s="51" t="s">
        <v>505</v>
      </c>
      <c r="B135" s="51" t="s">
        <v>506</v>
      </c>
      <c r="C135" s="51" t="s">
        <v>218</v>
      </c>
      <c r="D135" s="84">
        <v>23</v>
      </c>
      <c r="E135" s="54">
        <v>45300</v>
      </c>
      <c r="F135" s="54">
        <v>45300</v>
      </c>
      <c r="G135" s="67" t="s">
        <v>234</v>
      </c>
      <c r="H135" s="51" t="s">
        <v>65</v>
      </c>
      <c r="I135" s="58">
        <v>45302</v>
      </c>
      <c r="J135" s="67" t="s">
        <v>234</v>
      </c>
      <c r="K135" s="51">
        <v>200</v>
      </c>
      <c r="L135" s="73"/>
      <c r="M135" s="73"/>
      <c r="N135" s="73"/>
    </row>
    <row r="136" spans="1:14" ht="18.45" customHeight="1" x14ac:dyDescent="0.3">
      <c r="A136" s="51" t="s">
        <v>507</v>
      </c>
      <c r="B136" s="51" t="s">
        <v>508</v>
      </c>
      <c r="C136" s="51" t="s">
        <v>2483</v>
      </c>
      <c r="D136" s="84">
        <v>7</v>
      </c>
      <c r="E136" s="54">
        <v>45300</v>
      </c>
      <c r="F136" s="54">
        <v>45300</v>
      </c>
      <c r="G136" s="67" t="s">
        <v>234</v>
      </c>
      <c r="H136" s="51" t="s">
        <v>65</v>
      </c>
      <c r="I136" s="58">
        <v>45302</v>
      </c>
      <c r="J136" s="67" t="s">
        <v>234</v>
      </c>
      <c r="K136" s="51">
        <v>500</v>
      </c>
      <c r="L136" s="73"/>
      <c r="M136" s="73"/>
      <c r="N136" s="73"/>
    </row>
    <row r="137" spans="1:14" ht="18.45" customHeight="1" x14ac:dyDescent="0.3">
      <c r="A137" s="51" t="s">
        <v>509</v>
      </c>
      <c r="B137" s="51" t="s">
        <v>510</v>
      </c>
      <c r="C137" s="51" t="s">
        <v>211</v>
      </c>
      <c r="D137" s="84">
        <v>1</v>
      </c>
      <c r="E137" s="54">
        <v>45300</v>
      </c>
      <c r="F137" s="54">
        <v>45300</v>
      </c>
      <c r="G137" s="67" t="s">
        <v>234</v>
      </c>
      <c r="H137" s="51" t="s">
        <v>65</v>
      </c>
      <c r="I137" s="58">
        <v>45302</v>
      </c>
      <c r="J137" s="67" t="s">
        <v>234</v>
      </c>
      <c r="K137" s="51">
        <v>500</v>
      </c>
      <c r="L137" s="73"/>
      <c r="M137" s="73"/>
      <c r="N137" s="73"/>
    </row>
    <row r="138" spans="1:14" ht="18.45" customHeight="1" x14ac:dyDescent="0.3">
      <c r="A138" s="51" t="s">
        <v>511</v>
      </c>
      <c r="B138" s="51" t="s">
        <v>512</v>
      </c>
      <c r="C138" s="51" t="s">
        <v>221</v>
      </c>
      <c r="D138" s="84">
        <v>83</v>
      </c>
      <c r="E138" s="54">
        <v>45300</v>
      </c>
      <c r="F138" s="54">
        <v>45301</v>
      </c>
      <c r="G138" s="67" t="s">
        <v>234</v>
      </c>
      <c r="H138" s="51" t="s">
        <v>65</v>
      </c>
      <c r="I138" s="58">
        <v>45302</v>
      </c>
      <c r="J138" s="67" t="s">
        <v>234</v>
      </c>
      <c r="K138" s="51">
        <v>500</v>
      </c>
      <c r="L138" s="73"/>
      <c r="M138" s="73"/>
      <c r="N138" s="73"/>
    </row>
    <row r="139" spans="1:14" ht="18.45" customHeight="1" x14ac:dyDescent="0.3">
      <c r="A139" s="51" t="s">
        <v>513</v>
      </c>
      <c r="B139" s="51" t="s">
        <v>514</v>
      </c>
      <c r="C139" s="51" t="s">
        <v>2484</v>
      </c>
      <c r="D139" s="84">
        <v>1</v>
      </c>
      <c r="E139" s="54">
        <v>45301</v>
      </c>
      <c r="F139" s="54">
        <v>45301</v>
      </c>
      <c r="G139" s="67" t="s">
        <v>234</v>
      </c>
      <c r="H139" s="51" t="s">
        <v>65</v>
      </c>
      <c r="I139" s="58">
        <v>45302</v>
      </c>
      <c r="J139" s="67" t="s">
        <v>234</v>
      </c>
      <c r="K139" s="51">
        <v>300</v>
      </c>
      <c r="L139" s="73"/>
      <c r="M139" s="73"/>
      <c r="N139" s="73"/>
    </row>
    <row r="140" spans="1:14" ht="18.45" customHeight="1" x14ac:dyDescent="0.3">
      <c r="A140" s="51" t="s">
        <v>515</v>
      </c>
      <c r="B140" s="51" t="s">
        <v>516</v>
      </c>
      <c r="C140" s="51" t="s">
        <v>2485</v>
      </c>
      <c r="D140" s="84">
        <v>4</v>
      </c>
      <c r="E140" s="54">
        <v>45301</v>
      </c>
      <c r="F140" s="54">
        <v>45301</v>
      </c>
      <c r="G140" s="67" t="s">
        <v>234</v>
      </c>
      <c r="H140" s="51" t="s">
        <v>65</v>
      </c>
      <c r="I140" s="58">
        <v>45302</v>
      </c>
      <c r="J140" s="67" t="s">
        <v>234</v>
      </c>
      <c r="K140" s="51">
        <v>200</v>
      </c>
      <c r="L140" s="73"/>
      <c r="M140" s="73"/>
      <c r="N140" s="73"/>
    </row>
    <row r="141" spans="1:14" ht="18.45" customHeight="1" x14ac:dyDescent="0.3">
      <c r="A141" s="51" t="s">
        <v>517</v>
      </c>
      <c r="B141" s="51" t="s">
        <v>518</v>
      </c>
      <c r="C141" s="51" t="s">
        <v>2484</v>
      </c>
      <c r="D141" s="84">
        <v>7</v>
      </c>
      <c r="E141" s="54">
        <v>45301</v>
      </c>
      <c r="F141" s="54">
        <v>45301</v>
      </c>
      <c r="G141" s="67" t="s">
        <v>234</v>
      </c>
      <c r="H141" s="51" t="s">
        <v>65</v>
      </c>
      <c r="I141" s="58">
        <v>45302</v>
      </c>
      <c r="J141" s="67" t="s">
        <v>234</v>
      </c>
      <c r="K141" s="51">
        <v>300</v>
      </c>
      <c r="L141" s="73"/>
      <c r="M141" s="73"/>
      <c r="N141" s="73"/>
    </row>
    <row r="142" spans="1:14" ht="18.45" customHeight="1" x14ac:dyDescent="0.3">
      <c r="A142" s="51" t="s">
        <v>519</v>
      </c>
      <c r="B142" s="51" t="s">
        <v>520</v>
      </c>
      <c r="C142" s="51" t="s">
        <v>222</v>
      </c>
      <c r="D142" s="84">
        <v>15</v>
      </c>
      <c r="E142" s="54">
        <v>45301</v>
      </c>
      <c r="F142" s="54">
        <v>45301</v>
      </c>
      <c r="G142" s="67" t="s">
        <v>234</v>
      </c>
      <c r="H142" s="51" t="s">
        <v>65</v>
      </c>
      <c r="I142" s="58">
        <v>45302</v>
      </c>
      <c r="J142" s="67" t="s">
        <v>234</v>
      </c>
      <c r="K142" s="51">
        <v>300</v>
      </c>
      <c r="L142" s="73"/>
      <c r="M142" s="73"/>
      <c r="N142" s="73"/>
    </row>
    <row r="143" spans="1:14" ht="18.45" customHeight="1" x14ac:dyDescent="0.3">
      <c r="A143" s="51" t="s">
        <v>521</v>
      </c>
      <c r="B143" s="51" t="s">
        <v>522</v>
      </c>
      <c r="C143" s="51" t="s">
        <v>2480</v>
      </c>
      <c r="D143" s="51">
        <v>39</v>
      </c>
      <c r="E143" s="58">
        <v>45295</v>
      </c>
      <c r="F143" s="58">
        <v>45295</v>
      </c>
      <c r="G143" s="67" t="s">
        <v>234</v>
      </c>
      <c r="H143" s="51" t="s">
        <v>65</v>
      </c>
      <c r="I143" s="58">
        <v>45302</v>
      </c>
      <c r="J143" s="67" t="s">
        <v>234</v>
      </c>
      <c r="K143" s="51">
        <v>250</v>
      </c>
      <c r="L143" s="73"/>
      <c r="M143" s="73"/>
      <c r="N143" s="73"/>
    </row>
    <row r="144" spans="1:14" ht="18.45" customHeight="1" x14ac:dyDescent="0.3">
      <c r="A144" s="51" t="s">
        <v>523</v>
      </c>
      <c r="B144" s="51" t="s">
        <v>524</v>
      </c>
      <c r="C144" s="51" t="s">
        <v>232</v>
      </c>
      <c r="D144" s="51">
        <v>41</v>
      </c>
      <c r="E144" s="58">
        <v>45287</v>
      </c>
      <c r="F144" s="58">
        <v>45287</v>
      </c>
      <c r="G144" s="67" t="s">
        <v>234</v>
      </c>
      <c r="H144" s="51" t="s">
        <v>65</v>
      </c>
      <c r="I144" s="58">
        <v>45302</v>
      </c>
      <c r="J144" s="67" t="s">
        <v>234</v>
      </c>
      <c r="K144" s="51">
        <v>250</v>
      </c>
      <c r="L144" s="73"/>
      <c r="M144" s="73"/>
      <c r="N144" s="73"/>
    </row>
    <row r="145" spans="1:14" ht="18.45" customHeight="1" x14ac:dyDescent="0.3">
      <c r="A145" s="51" t="s">
        <v>525</v>
      </c>
      <c r="B145" s="51" t="s">
        <v>526</v>
      </c>
      <c r="C145" s="51" t="s">
        <v>228</v>
      </c>
      <c r="D145" s="51">
        <v>17</v>
      </c>
      <c r="E145" s="58">
        <v>45289</v>
      </c>
      <c r="F145" s="58">
        <v>45290</v>
      </c>
      <c r="G145" s="67" t="s">
        <v>234</v>
      </c>
      <c r="H145" s="51" t="s">
        <v>65</v>
      </c>
      <c r="I145" s="58">
        <v>45302</v>
      </c>
      <c r="J145" s="67" t="s">
        <v>234</v>
      </c>
      <c r="K145" s="51">
        <v>150</v>
      </c>
      <c r="L145" s="73"/>
      <c r="M145" s="73"/>
      <c r="N145" s="73"/>
    </row>
    <row r="146" spans="1:14" ht="18.45" customHeight="1" x14ac:dyDescent="0.3">
      <c r="A146" s="51" t="s">
        <v>527</v>
      </c>
      <c r="B146" s="51" t="s">
        <v>528</v>
      </c>
      <c r="C146" s="51" t="s">
        <v>113</v>
      </c>
      <c r="D146" s="51">
        <v>73</v>
      </c>
      <c r="E146" s="58">
        <v>45297</v>
      </c>
      <c r="F146" s="58">
        <v>45299</v>
      </c>
      <c r="G146" s="67" t="s">
        <v>234</v>
      </c>
      <c r="H146" s="51" t="s">
        <v>65</v>
      </c>
      <c r="I146" s="58">
        <v>45302</v>
      </c>
      <c r="J146" s="67" t="s">
        <v>234</v>
      </c>
      <c r="K146" s="51">
        <v>170</v>
      </c>
      <c r="L146" s="73"/>
      <c r="M146" s="73"/>
      <c r="N146" s="73"/>
    </row>
    <row r="147" spans="1:14" ht="18.45" customHeight="1" x14ac:dyDescent="0.3">
      <c r="A147" s="51" t="s">
        <v>529</v>
      </c>
      <c r="B147" s="51" t="s">
        <v>530</v>
      </c>
      <c r="C147" s="51" t="s">
        <v>113</v>
      </c>
      <c r="D147" s="51">
        <v>39</v>
      </c>
      <c r="E147" s="58">
        <v>45296</v>
      </c>
      <c r="F147" s="58">
        <v>45296</v>
      </c>
      <c r="G147" s="67" t="s">
        <v>234</v>
      </c>
      <c r="H147" s="51" t="s">
        <v>65</v>
      </c>
      <c r="I147" s="58">
        <v>45302</v>
      </c>
      <c r="J147" s="67" t="s">
        <v>234</v>
      </c>
      <c r="K147" s="51">
        <v>80</v>
      </c>
      <c r="L147" s="73"/>
      <c r="M147" s="73"/>
      <c r="N147" s="73"/>
    </row>
    <row r="148" spans="1:14" ht="18.45" customHeight="1" x14ac:dyDescent="0.3">
      <c r="A148" s="51" t="s">
        <v>531</v>
      </c>
      <c r="B148" s="51" t="s">
        <v>532</v>
      </c>
      <c r="C148" s="51" t="s">
        <v>227</v>
      </c>
      <c r="D148" s="51">
        <v>47</v>
      </c>
      <c r="E148" s="58">
        <v>45297</v>
      </c>
      <c r="F148" s="58">
        <v>45299</v>
      </c>
      <c r="G148" s="67" t="s">
        <v>234</v>
      </c>
      <c r="H148" s="51" t="s">
        <v>65</v>
      </c>
      <c r="I148" s="58">
        <v>45302</v>
      </c>
      <c r="J148" s="67" t="s">
        <v>234</v>
      </c>
      <c r="K148" s="51">
        <v>60</v>
      </c>
      <c r="L148" s="73"/>
      <c r="M148" s="73"/>
      <c r="N148" s="73"/>
    </row>
    <row r="149" spans="1:14" ht="18.45" customHeight="1" x14ac:dyDescent="0.3">
      <c r="A149" s="51" t="s">
        <v>533</v>
      </c>
      <c r="B149" s="51" t="s">
        <v>534</v>
      </c>
      <c r="C149" s="51" t="s">
        <v>227</v>
      </c>
      <c r="D149" s="51">
        <v>9</v>
      </c>
      <c r="E149" s="58">
        <v>45297</v>
      </c>
      <c r="F149" s="58">
        <v>45299</v>
      </c>
      <c r="G149" s="67" t="s">
        <v>234</v>
      </c>
      <c r="H149" s="51" t="s">
        <v>65</v>
      </c>
      <c r="I149" s="58">
        <v>45302</v>
      </c>
      <c r="J149" s="67" t="s">
        <v>234</v>
      </c>
      <c r="K149" s="51">
        <v>150</v>
      </c>
      <c r="L149" s="73"/>
      <c r="M149" s="73"/>
      <c r="N149" s="73"/>
    </row>
    <row r="150" spans="1:14" ht="18.45" customHeight="1" x14ac:dyDescent="0.3">
      <c r="A150" s="48" t="s">
        <v>535</v>
      </c>
      <c r="B150" s="50" t="s">
        <v>536</v>
      </c>
      <c r="C150" s="48" t="s">
        <v>235</v>
      </c>
      <c r="D150" s="62">
        <v>39</v>
      </c>
      <c r="E150" s="54">
        <v>45299</v>
      </c>
      <c r="F150" s="54">
        <v>45301</v>
      </c>
      <c r="G150" s="67" t="s">
        <v>234</v>
      </c>
      <c r="H150" s="62" t="s">
        <v>65</v>
      </c>
      <c r="I150" s="86">
        <v>45304</v>
      </c>
      <c r="J150" s="67" t="s">
        <v>234</v>
      </c>
      <c r="K150" s="62">
        <v>600</v>
      </c>
      <c r="L150" s="73"/>
      <c r="M150" s="73"/>
      <c r="N150" s="73"/>
    </row>
    <row r="151" spans="1:14" ht="18.45" customHeight="1" x14ac:dyDescent="0.3">
      <c r="A151" s="48" t="s">
        <v>537</v>
      </c>
      <c r="B151" s="50" t="s">
        <v>538</v>
      </c>
      <c r="C151" s="48" t="s">
        <v>92</v>
      </c>
      <c r="D151" s="62">
        <v>76</v>
      </c>
      <c r="E151" s="54">
        <v>45297</v>
      </c>
      <c r="F151" s="54">
        <v>45299</v>
      </c>
      <c r="G151" s="67" t="s">
        <v>234</v>
      </c>
      <c r="H151" s="55" t="s">
        <v>65</v>
      </c>
      <c r="I151" s="86">
        <v>45304</v>
      </c>
      <c r="J151" s="67" t="s">
        <v>234</v>
      </c>
      <c r="K151" s="62">
        <v>220</v>
      </c>
      <c r="L151" s="73"/>
      <c r="M151" s="73"/>
      <c r="N151" s="73"/>
    </row>
    <row r="152" spans="1:14" ht="18.45" customHeight="1" x14ac:dyDescent="0.3">
      <c r="A152" s="76" t="s">
        <v>539</v>
      </c>
      <c r="B152" s="76" t="s">
        <v>540</v>
      </c>
      <c r="C152" s="76" t="s">
        <v>95</v>
      </c>
      <c r="D152" s="62">
        <v>44</v>
      </c>
      <c r="E152" s="88">
        <v>45296</v>
      </c>
      <c r="F152" s="88">
        <v>45297</v>
      </c>
      <c r="G152" s="67" t="s">
        <v>234</v>
      </c>
      <c r="H152" s="62" t="s">
        <v>65</v>
      </c>
      <c r="I152" s="86">
        <v>45304</v>
      </c>
      <c r="J152" s="67" t="s">
        <v>234</v>
      </c>
      <c r="K152" s="62">
        <v>280</v>
      </c>
      <c r="L152" s="73"/>
      <c r="M152" s="73"/>
      <c r="N152" s="73"/>
    </row>
    <row r="153" spans="1:14" ht="18.45" customHeight="1" x14ac:dyDescent="0.3">
      <c r="A153" s="48" t="s">
        <v>541</v>
      </c>
      <c r="B153" s="50" t="s">
        <v>542</v>
      </c>
      <c r="C153" s="62" t="s">
        <v>94</v>
      </c>
      <c r="D153" s="62">
        <v>64</v>
      </c>
      <c r="E153" s="54">
        <v>45300</v>
      </c>
      <c r="F153" s="54">
        <v>45301</v>
      </c>
      <c r="G153" s="67" t="s">
        <v>234</v>
      </c>
      <c r="H153" s="62" t="s">
        <v>65</v>
      </c>
      <c r="I153" s="86">
        <v>45304</v>
      </c>
      <c r="J153" s="67" t="s">
        <v>234</v>
      </c>
      <c r="K153" s="62">
        <v>480</v>
      </c>
      <c r="L153" s="73"/>
      <c r="M153" s="73"/>
      <c r="N153" s="73"/>
    </row>
    <row r="154" spans="1:14" ht="18.45" customHeight="1" x14ac:dyDescent="0.3">
      <c r="A154" s="76" t="s">
        <v>543</v>
      </c>
      <c r="B154" s="60" t="s">
        <v>544</v>
      </c>
      <c r="C154" s="76" t="s">
        <v>2477</v>
      </c>
      <c r="D154" s="60">
        <v>53</v>
      </c>
      <c r="E154" s="89">
        <v>45142</v>
      </c>
      <c r="F154" s="89">
        <v>45146</v>
      </c>
      <c r="G154" s="67" t="s">
        <v>234</v>
      </c>
      <c r="H154" s="55" t="s">
        <v>65</v>
      </c>
      <c r="I154" s="86">
        <v>45304</v>
      </c>
      <c r="J154" s="67" t="s">
        <v>234</v>
      </c>
      <c r="K154" s="60">
        <v>450</v>
      </c>
      <c r="L154" s="73"/>
      <c r="M154" s="73"/>
      <c r="N154" s="73"/>
    </row>
    <row r="155" spans="1:14" ht="18.45" customHeight="1" x14ac:dyDescent="0.3">
      <c r="A155" s="48" t="s">
        <v>545</v>
      </c>
      <c r="B155" s="50" t="s">
        <v>546</v>
      </c>
      <c r="C155" s="48" t="s">
        <v>120</v>
      </c>
      <c r="D155" s="62">
        <v>16</v>
      </c>
      <c r="E155" s="54">
        <v>45287</v>
      </c>
      <c r="F155" s="54">
        <v>45287</v>
      </c>
      <c r="G155" s="67" t="s">
        <v>234</v>
      </c>
      <c r="H155" s="55" t="s">
        <v>65</v>
      </c>
      <c r="I155" s="86">
        <v>45304</v>
      </c>
      <c r="J155" s="67" t="s">
        <v>234</v>
      </c>
      <c r="K155" s="62">
        <v>50</v>
      </c>
      <c r="L155" s="73"/>
      <c r="M155" s="73"/>
      <c r="N155" s="73"/>
    </row>
    <row r="156" spans="1:14" ht="18.45" customHeight="1" x14ac:dyDescent="0.3">
      <c r="A156" s="51" t="s">
        <v>547</v>
      </c>
      <c r="B156" s="51" t="s">
        <v>548</v>
      </c>
      <c r="C156" s="56" t="s">
        <v>2486</v>
      </c>
      <c r="D156" s="84">
        <v>4</v>
      </c>
      <c r="E156" s="54">
        <v>45301</v>
      </c>
      <c r="F156" s="54">
        <v>45301</v>
      </c>
      <c r="G156" s="67" t="s">
        <v>234</v>
      </c>
      <c r="H156" s="51" t="s">
        <v>65</v>
      </c>
      <c r="I156" s="58">
        <v>45304</v>
      </c>
      <c r="J156" s="67" t="s">
        <v>234</v>
      </c>
      <c r="K156" s="51">
        <v>200</v>
      </c>
      <c r="L156" s="73"/>
      <c r="M156" s="73"/>
      <c r="N156" s="73"/>
    </row>
    <row r="157" spans="1:14" ht="18.45" customHeight="1" x14ac:dyDescent="0.3">
      <c r="A157" s="51" t="s">
        <v>549</v>
      </c>
      <c r="B157" s="51" t="s">
        <v>550</v>
      </c>
      <c r="C157" s="51" t="s">
        <v>212</v>
      </c>
      <c r="D157" s="84">
        <v>4</v>
      </c>
      <c r="E157" s="54">
        <v>45303</v>
      </c>
      <c r="F157" s="54">
        <v>45303</v>
      </c>
      <c r="G157" s="67" t="s">
        <v>234</v>
      </c>
      <c r="H157" s="51" t="s">
        <v>65</v>
      </c>
      <c r="I157" s="58">
        <v>45304</v>
      </c>
      <c r="J157" s="67" t="s">
        <v>234</v>
      </c>
      <c r="K157" s="51">
        <v>200</v>
      </c>
      <c r="L157" s="73"/>
      <c r="M157" s="73"/>
      <c r="N157" s="73"/>
    </row>
    <row r="158" spans="1:14" ht="18.45" customHeight="1" x14ac:dyDescent="0.3">
      <c r="A158" s="51" t="s">
        <v>551</v>
      </c>
      <c r="B158" s="51" t="s">
        <v>552</v>
      </c>
      <c r="C158" s="51" t="s">
        <v>227</v>
      </c>
      <c r="D158" s="51">
        <v>65</v>
      </c>
      <c r="E158" s="58">
        <v>45217</v>
      </c>
      <c r="F158" s="58">
        <v>45218</v>
      </c>
      <c r="G158" s="67" t="s">
        <v>234</v>
      </c>
      <c r="H158" s="51" t="s">
        <v>65</v>
      </c>
      <c r="I158" s="58">
        <v>45304</v>
      </c>
      <c r="J158" s="67" t="s">
        <v>234</v>
      </c>
      <c r="K158" s="51">
        <v>150</v>
      </c>
      <c r="L158" s="73"/>
      <c r="M158" s="73"/>
      <c r="N158" s="73"/>
    </row>
    <row r="159" spans="1:14" ht="18.45" customHeight="1" x14ac:dyDescent="0.3">
      <c r="A159" s="51" t="s">
        <v>553</v>
      </c>
      <c r="B159" s="51" t="s">
        <v>554</v>
      </c>
      <c r="C159" s="51" t="s">
        <v>232</v>
      </c>
      <c r="D159" s="51">
        <v>59</v>
      </c>
      <c r="E159" s="58">
        <v>45276</v>
      </c>
      <c r="F159" s="58">
        <v>45278</v>
      </c>
      <c r="G159" s="67" t="s">
        <v>234</v>
      </c>
      <c r="H159" s="51" t="s">
        <v>233</v>
      </c>
      <c r="I159" s="58">
        <v>45304</v>
      </c>
      <c r="J159" s="67" t="s">
        <v>234</v>
      </c>
      <c r="K159" s="51">
        <v>150</v>
      </c>
      <c r="L159" s="73"/>
      <c r="M159" s="73"/>
      <c r="N159" s="73"/>
    </row>
    <row r="160" spans="1:14" ht="18.45" customHeight="1" x14ac:dyDescent="0.3">
      <c r="A160" s="51" t="s">
        <v>555</v>
      </c>
      <c r="B160" s="51" t="s">
        <v>556</v>
      </c>
      <c r="C160" s="51" t="s">
        <v>232</v>
      </c>
      <c r="D160" s="51">
        <v>33</v>
      </c>
      <c r="E160" s="58">
        <v>45282</v>
      </c>
      <c r="F160" s="58">
        <v>45283</v>
      </c>
      <c r="G160" s="67" t="s">
        <v>234</v>
      </c>
      <c r="H160" s="51" t="s">
        <v>65</v>
      </c>
      <c r="I160" s="58">
        <v>45304</v>
      </c>
      <c r="J160" s="67" t="s">
        <v>234</v>
      </c>
      <c r="K160" s="51">
        <v>200</v>
      </c>
      <c r="L160" s="73"/>
      <c r="M160" s="73"/>
      <c r="N160" s="73"/>
    </row>
    <row r="161" spans="1:14" ht="18.45" customHeight="1" x14ac:dyDescent="0.3">
      <c r="A161" s="51" t="s">
        <v>557</v>
      </c>
      <c r="B161" s="51" t="s">
        <v>558</v>
      </c>
      <c r="C161" s="51" t="s">
        <v>232</v>
      </c>
      <c r="D161" s="51">
        <v>14</v>
      </c>
      <c r="E161" s="58">
        <v>45299</v>
      </c>
      <c r="F161" s="58">
        <v>45301</v>
      </c>
      <c r="G161" s="67" t="s">
        <v>234</v>
      </c>
      <c r="H161" s="51" t="s">
        <v>65</v>
      </c>
      <c r="I161" s="58">
        <v>45304</v>
      </c>
      <c r="J161" s="67" t="s">
        <v>234</v>
      </c>
      <c r="K161" s="51">
        <v>200</v>
      </c>
      <c r="L161" s="73"/>
      <c r="M161" s="73"/>
      <c r="N161" s="73"/>
    </row>
    <row r="162" spans="1:14" ht="18.45" customHeight="1" x14ac:dyDescent="0.3">
      <c r="A162" s="51" t="s">
        <v>559</v>
      </c>
      <c r="B162" s="51" t="s">
        <v>560</v>
      </c>
      <c r="C162" s="51" t="s">
        <v>232</v>
      </c>
      <c r="D162" s="51">
        <v>7</v>
      </c>
      <c r="E162" s="58">
        <v>45289</v>
      </c>
      <c r="F162" s="58">
        <v>45289</v>
      </c>
      <c r="G162" s="67" t="s">
        <v>234</v>
      </c>
      <c r="H162" s="51" t="s">
        <v>65</v>
      </c>
      <c r="I162" s="58">
        <v>45304</v>
      </c>
      <c r="J162" s="67" t="s">
        <v>234</v>
      </c>
      <c r="K162" s="51">
        <v>200</v>
      </c>
      <c r="L162" s="73"/>
      <c r="M162" s="73"/>
      <c r="N162" s="73"/>
    </row>
    <row r="163" spans="1:14" ht="18.45" customHeight="1" x14ac:dyDescent="0.3">
      <c r="A163" s="51" t="s">
        <v>561</v>
      </c>
      <c r="B163" s="51" t="s">
        <v>562</v>
      </c>
      <c r="C163" s="51" t="s">
        <v>227</v>
      </c>
      <c r="D163" s="51">
        <v>32</v>
      </c>
      <c r="E163" s="58">
        <v>45300</v>
      </c>
      <c r="F163" s="58">
        <v>45301</v>
      </c>
      <c r="G163" s="67" t="s">
        <v>234</v>
      </c>
      <c r="H163" s="51" t="s">
        <v>65</v>
      </c>
      <c r="I163" s="58">
        <v>45304</v>
      </c>
      <c r="J163" s="67" t="s">
        <v>234</v>
      </c>
      <c r="K163" s="51">
        <v>100</v>
      </c>
      <c r="L163" s="73"/>
      <c r="M163" s="73"/>
      <c r="N163" s="73"/>
    </row>
    <row r="164" spans="1:14" ht="18.45" customHeight="1" x14ac:dyDescent="0.3">
      <c r="A164" s="51" t="s">
        <v>563</v>
      </c>
      <c r="B164" s="51" t="s">
        <v>564</v>
      </c>
      <c r="C164" s="51" t="s">
        <v>227</v>
      </c>
      <c r="D164" s="51">
        <v>65</v>
      </c>
      <c r="E164" s="58">
        <v>45289</v>
      </c>
      <c r="F164" s="58">
        <v>45290</v>
      </c>
      <c r="G164" s="67" t="s">
        <v>234</v>
      </c>
      <c r="H164" s="51" t="s">
        <v>65</v>
      </c>
      <c r="I164" s="58">
        <v>45304</v>
      </c>
      <c r="J164" s="67" t="s">
        <v>234</v>
      </c>
      <c r="K164" s="51">
        <v>500</v>
      </c>
      <c r="L164" s="73"/>
      <c r="M164" s="73"/>
      <c r="N164" s="73"/>
    </row>
    <row r="165" spans="1:14" ht="18.45" customHeight="1" x14ac:dyDescent="0.3">
      <c r="A165" s="51" t="s">
        <v>565</v>
      </c>
      <c r="B165" s="51" t="s">
        <v>566</v>
      </c>
      <c r="C165" s="51" t="s">
        <v>227</v>
      </c>
      <c r="D165" s="51">
        <v>49</v>
      </c>
      <c r="E165" s="58">
        <v>45295</v>
      </c>
      <c r="F165" s="58">
        <v>45296</v>
      </c>
      <c r="G165" s="67" t="s">
        <v>234</v>
      </c>
      <c r="H165" s="51" t="s">
        <v>65</v>
      </c>
      <c r="I165" s="58">
        <v>45304</v>
      </c>
      <c r="J165" s="67" t="s">
        <v>234</v>
      </c>
      <c r="K165" s="51">
        <v>150</v>
      </c>
      <c r="L165" s="73"/>
      <c r="M165" s="73"/>
      <c r="N165" s="73"/>
    </row>
    <row r="166" spans="1:14" ht="18.45" customHeight="1" x14ac:dyDescent="0.3">
      <c r="A166" s="51" t="s">
        <v>567</v>
      </c>
      <c r="B166" s="51" t="s">
        <v>568</v>
      </c>
      <c r="C166" s="51" t="s">
        <v>227</v>
      </c>
      <c r="D166" s="51">
        <v>31</v>
      </c>
      <c r="E166" s="58">
        <v>45301</v>
      </c>
      <c r="F166" s="58">
        <v>45302</v>
      </c>
      <c r="G166" s="67" t="s">
        <v>234</v>
      </c>
      <c r="H166" s="51" t="s">
        <v>65</v>
      </c>
      <c r="I166" s="58">
        <v>45304</v>
      </c>
      <c r="J166" s="67" t="s">
        <v>234</v>
      </c>
      <c r="K166" s="51">
        <v>100</v>
      </c>
      <c r="L166" s="73"/>
      <c r="M166" s="73"/>
      <c r="N166" s="73"/>
    </row>
    <row r="167" spans="1:14" ht="18.45" customHeight="1" x14ac:dyDescent="0.3">
      <c r="A167" s="51" t="s">
        <v>569</v>
      </c>
      <c r="B167" s="51" t="s">
        <v>570</v>
      </c>
      <c r="C167" s="51" t="s">
        <v>227</v>
      </c>
      <c r="D167" s="51">
        <v>42</v>
      </c>
      <c r="E167" s="58">
        <v>45300</v>
      </c>
      <c r="F167" s="58">
        <v>45301</v>
      </c>
      <c r="G167" s="67" t="s">
        <v>234</v>
      </c>
      <c r="H167" s="51" t="s">
        <v>65</v>
      </c>
      <c r="I167" s="58">
        <v>45304</v>
      </c>
      <c r="J167" s="67" t="s">
        <v>234</v>
      </c>
      <c r="K167" s="51">
        <v>150</v>
      </c>
      <c r="L167" s="73"/>
      <c r="M167" s="73"/>
      <c r="N167" s="73"/>
    </row>
    <row r="168" spans="1:14" ht="18.45" customHeight="1" x14ac:dyDescent="0.3">
      <c r="A168" s="48" t="s">
        <v>571</v>
      </c>
      <c r="B168" s="48" t="s">
        <v>572</v>
      </c>
      <c r="C168" s="48" t="s">
        <v>92</v>
      </c>
      <c r="D168" s="62">
        <v>76</v>
      </c>
      <c r="E168" s="56">
        <v>45301</v>
      </c>
      <c r="F168" s="56">
        <v>45302</v>
      </c>
      <c r="G168" s="67" t="s">
        <v>234</v>
      </c>
      <c r="H168" s="62" t="s">
        <v>65</v>
      </c>
      <c r="I168" s="86">
        <v>45306</v>
      </c>
      <c r="J168" s="67" t="s">
        <v>234</v>
      </c>
      <c r="K168" s="62">
        <v>350</v>
      </c>
      <c r="L168" s="73"/>
      <c r="M168" s="73"/>
      <c r="N168" s="73"/>
    </row>
    <row r="169" spans="1:14" ht="18.45" customHeight="1" x14ac:dyDescent="0.3">
      <c r="A169" s="48" t="s">
        <v>573</v>
      </c>
      <c r="B169" s="50" t="s">
        <v>574</v>
      </c>
      <c r="C169" s="62" t="s">
        <v>235</v>
      </c>
      <c r="D169" s="62">
        <v>36</v>
      </c>
      <c r="E169" s="54">
        <v>45254</v>
      </c>
      <c r="F169" s="54">
        <v>45254</v>
      </c>
      <c r="G169" s="67" t="s">
        <v>234</v>
      </c>
      <c r="H169" s="62" t="s">
        <v>65</v>
      </c>
      <c r="I169" s="86">
        <v>45306</v>
      </c>
      <c r="J169" s="67" t="s">
        <v>234</v>
      </c>
      <c r="K169" s="62">
        <v>550</v>
      </c>
      <c r="L169" s="73"/>
      <c r="M169" s="73"/>
      <c r="N169" s="73"/>
    </row>
    <row r="170" spans="1:14" ht="18.45" customHeight="1" x14ac:dyDescent="0.3">
      <c r="A170" s="76" t="s">
        <v>575</v>
      </c>
      <c r="B170" s="76" t="s">
        <v>576</v>
      </c>
      <c r="C170" s="48" t="s">
        <v>134</v>
      </c>
      <c r="D170" s="62">
        <v>45</v>
      </c>
      <c r="E170" s="88">
        <v>45296</v>
      </c>
      <c r="F170" s="88">
        <v>45297</v>
      </c>
      <c r="G170" s="67" t="s">
        <v>234</v>
      </c>
      <c r="H170" s="62" t="s">
        <v>65</v>
      </c>
      <c r="I170" s="86">
        <v>45306</v>
      </c>
      <c r="J170" s="67" t="s">
        <v>234</v>
      </c>
      <c r="K170" s="62">
        <v>100</v>
      </c>
      <c r="L170" s="73"/>
      <c r="M170" s="73"/>
      <c r="N170" s="73"/>
    </row>
    <row r="171" spans="1:14" ht="18.45" customHeight="1" x14ac:dyDescent="0.3">
      <c r="A171" s="72" t="s">
        <v>577</v>
      </c>
      <c r="B171" s="72" t="s">
        <v>578</v>
      </c>
      <c r="C171" s="62" t="s">
        <v>136</v>
      </c>
      <c r="D171" s="62" t="s">
        <v>2487</v>
      </c>
      <c r="E171" s="90">
        <v>45302</v>
      </c>
      <c r="F171" s="90">
        <v>45303</v>
      </c>
      <c r="G171" s="67" t="s">
        <v>234</v>
      </c>
      <c r="H171" s="62" t="s">
        <v>65</v>
      </c>
      <c r="I171" s="87">
        <v>45306</v>
      </c>
      <c r="J171" s="67" t="s">
        <v>234</v>
      </c>
      <c r="K171" s="55">
        <v>100</v>
      </c>
      <c r="L171" s="73"/>
      <c r="M171" s="73"/>
      <c r="N171" s="73"/>
    </row>
    <row r="172" spans="1:14" ht="18.45" customHeight="1" x14ac:dyDescent="0.3">
      <c r="A172" s="51" t="s">
        <v>579</v>
      </c>
      <c r="B172" s="51" t="s">
        <v>580</v>
      </c>
      <c r="C172" s="51" t="s">
        <v>222</v>
      </c>
      <c r="D172" s="84">
        <v>24</v>
      </c>
      <c r="E172" s="54">
        <v>45302</v>
      </c>
      <c r="F172" s="54">
        <v>45303</v>
      </c>
      <c r="G172" s="67" t="s">
        <v>234</v>
      </c>
      <c r="H172" s="51" t="s">
        <v>65</v>
      </c>
      <c r="I172" s="58">
        <v>45306</v>
      </c>
      <c r="J172" s="67" t="s">
        <v>234</v>
      </c>
      <c r="K172" s="51">
        <v>200</v>
      </c>
      <c r="L172" s="73"/>
      <c r="M172" s="73"/>
      <c r="N172" s="73"/>
    </row>
    <row r="173" spans="1:14" ht="18.45" customHeight="1" x14ac:dyDescent="0.3">
      <c r="A173" s="51" t="s">
        <v>581</v>
      </c>
      <c r="B173" s="51" t="s">
        <v>582</v>
      </c>
      <c r="C173" s="51" t="s">
        <v>222</v>
      </c>
      <c r="D173" s="84">
        <v>12</v>
      </c>
      <c r="E173" s="54">
        <v>45302</v>
      </c>
      <c r="F173" s="54">
        <v>45302</v>
      </c>
      <c r="G173" s="67" t="s">
        <v>234</v>
      </c>
      <c r="H173" s="51" t="s">
        <v>65</v>
      </c>
      <c r="I173" s="58">
        <v>45306</v>
      </c>
      <c r="J173" s="67" t="s">
        <v>234</v>
      </c>
      <c r="K173" s="51">
        <v>300</v>
      </c>
      <c r="L173" s="73"/>
      <c r="M173" s="73"/>
      <c r="N173" s="73"/>
    </row>
    <row r="174" spans="1:14" ht="18.45" customHeight="1" x14ac:dyDescent="0.3">
      <c r="A174" s="51" t="s">
        <v>583</v>
      </c>
      <c r="B174" s="51" t="s">
        <v>584</v>
      </c>
      <c r="C174" s="51" t="s">
        <v>213</v>
      </c>
      <c r="D174" s="84">
        <v>1</v>
      </c>
      <c r="E174" s="54">
        <v>45302</v>
      </c>
      <c r="F174" s="54">
        <v>45303</v>
      </c>
      <c r="G174" s="67" t="s">
        <v>234</v>
      </c>
      <c r="H174" s="51" t="s">
        <v>65</v>
      </c>
      <c r="I174" s="58">
        <v>45306</v>
      </c>
      <c r="J174" s="67" t="s">
        <v>234</v>
      </c>
      <c r="K174" s="51">
        <v>300</v>
      </c>
      <c r="L174" s="73"/>
      <c r="M174" s="73"/>
      <c r="N174" s="73"/>
    </row>
    <row r="175" spans="1:14" ht="18.45" customHeight="1" x14ac:dyDescent="0.3">
      <c r="A175" s="51" t="s">
        <v>585</v>
      </c>
      <c r="B175" s="51" t="s">
        <v>586</v>
      </c>
      <c r="C175" s="51" t="s">
        <v>211</v>
      </c>
      <c r="D175" s="84">
        <v>10</v>
      </c>
      <c r="E175" s="54">
        <v>45303</v>
      </c>
      <c r="F175" s="54">
        <v>45303</v>
      </c>
      <c r="G175" s="67" t="s">
        <v>234</v>
      </c>
      <c r="H175" s="51" t="s">
        <v>65</v>
      </c>
      <c r="I175" s="58">
        <v>45306</v>
      </c>
      <c r="J175" s="67" t="s">
        <v>234</v>
      </c>
      <c r="K175" s="51">
        <v>300</v>
      </c>
      <c r="L175" s="73"/>
      <c r="M175" s="73"/>
      <c r="N175" s="73"/>
    </row>
    <row r="176" spans="1:14" ht="18.45" customHeight="1" x14ac:dyDescent="0.3">
      <c r="A176" s="51" t="s">
        <v>587</v>
      </c>
      <c r="B176" s="51" t="s">
        <v>588</v>
      </c>
      <c r="C176" s="51" t="s">
        <v>223</v>
      </c>
      <c r="D176" s="84">
        <v>22</v>
      </c>
      <c r="E176" s="54">
        <v>45303</v>
      </c>
      <c r="F176" s="54">
        <v>45303</v>
      </c>
      <c r="G176" s="67" t="s">
        <v>234</v>
      </c>
      <c r="H176" s="51" t="s">
        <v>65</v>
      </c>
      <c r="I176" s="58">
        <v>45306</v>
      </c>
      <c r="J176" s="67" t="s">
        <v>234</v>
      </c>
      <c r="K176" s="51">
        <v>300</v>
      </c>
      <c r="L176" s="73"/>
      <c r="M176" s="73"/>
      <c r="N176" s="73"/>
    </row>
    <row r="177" spans="1:14" ht="18.45" customHeight="1" x14ac:dyDescent="0.3">
      <c r="A177" s="51" t="s">
        <v>589</v>
      </c>
      <c r="B177" s="51" t="s">
        <v>590</v>
      </c>
      <c r="C177" s="51" t="s">
        <v>223</v>
      </c>
      <c r="D177" s="84">
        <v>13</v>
      </c>
      <c r="E177" s="54">
        <v>45304</v>
      </c>
      <c r="F177" s="54">
        <v>45304</v>
      </c>
      <c r="G177" s="67" t="s">
        <v>234</v>
      </c>
      <c r="H177" s="51" t="s">
        <v>65</v>
      </c>
      <c r="I177" s="58">
        <v>45306</v>
      </c>
      <c r="J177" s="67" t="s">
        <v>234</v>
      </c>
      <c r="K177" s="51">
        <v>300</v>
      </c>
      <c r="L177" s="73"/>
      <c r="M177" s="73"/>
      <c r="N177" s="73"/>
    </row>
    <row r="178" spans="1:14" ht="18.45" customHeight="1" x14ac:dyDescent="0.3">
      <c r="A178" s="51" t="s">
        <v>591</v>
      </c>
      <c r="B178" s="51" t="s">
        <v>592</v>
      </c>
      <c r="C178" s="51" t="s">
        <v>218</v>
      </c>
      <c r="D178" s="84">
        <v>25</v>
      </c>
      <c r="E178" s="54">
        <v>45304</v>
      </c>
      <c r="F178" s="54">
        <v>45306</v>
      </c>
      <c r="G178" s="67" t="s">
        <v>234</v>
      </c>
      <c r="H178" s="51" t="s">
        <v>65</v>
      </c>
      <c r="I178" s="58">
        <v>45306</v>
      </c>
      <c r="J178" s="67" t="s">
        <v>234</v>
      </c>
      <c r="K178" s="51">
        <v>300</v>
      </c>
      <c r="L178" s="73"/>
      <c r="M178" s="73"/>
      <c r="N178" s="73"/>
    </row>
    <row r="179" spans="1:14" ht="18.45" customHeight="1" x14ac:dyDescent="0.3">
      <c r="A179" s="51" t="s">
        <v>593</v>
      </c>
      <c r="B179" s="51" t="s">
        <v>594</v>
      </c>
      <c r="C179" s="51" t="s">
        <v>232</v>
      </c>
      <c r="D179" s="51">
        <v>53</v>
      </c>
      <c r="E179" s="58">
        <v>45301</v>
      </c>
      <c r="F179" s="58">
        <v>45302</v>
      </c>
      <c r="G179" s="67" t="s">
        <v>234</v>
      </c>
      <c r="H179" s="51" t="s">
        <v>65</v>
      </c>
      <c r="I179" s="58">
        <v>45306</v>
      </c>
      <c r="J179" s="67" t="s">
        <v>234</v>
      </c>
      <c r="K179" s="51">
        <v>150</v>
      </c>
      <c r="L179" s="73"/>
      <c r="M179" s="73"/>
      <c r="N179" s="73"/>
    </row>
    <row r="180" spans="1:14" ht="18.45" customHeight="1" x14ac:dyDescent="0.3">
      <c r="A180" s="51" t="s">
        <v>595</v>
      </c>
      <c r="B180" s="51" t="s">
        <v>596</v>
      </c>
      <c r="C180" s="51" t="s">
        <v>113</v>
      </c>
      <c r="D180" s="51">
        <v>37</v>
      </c>
      <c r="E180" s="58">
        <v>45294</v>
      </c>
      <c r="F180" s="58">
        <v>45295</v>
      </c>
      <c r="G180" s="67" t="s">
        <v>234</v>
      </c>
      <c r="H180" s="51" t="s">
        <v>65</v>
      </c>
      <c r="I180" s="58">
        <v>45306</v>
      </c>
      <c r="J180" s="67" t="s">
        <v>234</v>
      </c>
      <c r="K180" s="51">
        <v>300</v>
      </c>
      <c r="L180" s="73"/>
      <c r="M180" s="73"/>
      <c r="N180" s="73"/>
    </row>
    <row r="181" spans="1:14" ht="18.45" customHeight="1" x14ac:dyDescent="0.3">
      <c r="A181" s="51" t="s">
        <v>597</v>
      </c>
      <c r="B181" s="51" t="s">
        <v>598</v>
      </c>
      <c r="C181" s="51" t="s">
        <v>113</v>
      </c>
      <c r="D181" s="51">
        <v>18</v>
      </c>
      <c r="E181" s="58">
        <v>45303</v>
      </c>
      <c r="F181" s="58">
        <v>45303</v>
      </c>
      <c r="G181" s="67" t="s">
        <v>234</v>
      </c>
      <c r="H181" s="51" t="s">
        <v>65</v>
      </c>
      <c r="I181" s="58">
        <v>45306</v>
      </c>
      <c r="J181" s="67" t="s">
        <v>234</v>
      </c>
      <c r="K181" s="51">
        <v>100</v>
      </c>
      <c r="L181" s="73"/>
      <c r="M181" s="73"/>
      <c r="N181" s="73"/>
    </row>
    <row r="182" spans="1:14" ht="18.45" customHeight="1" x14ac:dyDescent="0.3">
      <c r="A182" s="51" t="s">
        <v>599</v>
      </c>
      <c r="B182" s="51" t="s">
        <v>600</v>
      </c>
      <c r="C182" s="51" t="s">
        <v>232</v>
      </c>
      <c r="D182" s="51">
        <v>25</v>
      </c>
      <c r="E182" s="58">
        <v>45296</v>
      </c>
      <c r="F182" s="58">
        <v>45296</v>
      </c>
      <c r="G182" s="67" t="s">
        <v>234</v>
      </c>
      <c r="H182" s="51" t="s">
        <v>65</v>
      </c>
      <c r="I182" s="58">
        <v>45306</v>
      </c>
      <c r="J182" s="67" t="s">
        <v>234</v>
      </c>
      <c r="K182" s="51">
        <v>350</v>
      </c>
      <c r="L182" s="73"/>
      <c r="M182" s="73"/>
      <c r="N182" s="73"/>
    </row>
    <row r="183" spans="1:14" ht="18.45" customHeight="1" x14ac:dyDescent="0.3">
      <c r="A183" s="51" t="s">
        <v>601</v>
      </c>
      <c r="B183" s="51" t="s">
        <v>602</v>
      </c>
      <c r="C183" s="51" t="s">
        <v>232</v>
      </c>
      <c r="D183" s="51">
        <v>45</v>
      </c>
      <c r="E183" s="58">
        <v>45275</v>
      </c>
      <c r="F183" s="58">
        <v>45306</v>
      </c>
      <c r="G183" s="67" t="s">
        <v>234</v>
      </c>
      <c r="H183" s="51" t="s">
        <v>65</v>
      </c>
      <c r="I183" s="58">
        <v>45306</v>
      </c>
      <c r="J183" s="67" t="s">
        <v>234</v>
      </c>
      <c r="K183" s="51">
        <v>100</v>
      </c>
      <c r="L183" s="73"/>
      <c r="M183" s="73"/>
      <c r="N183" s="73"/>
    </row>
    <row r="184" spans="1:14" ht="18.45" customHeight="1" x14ac:dyDescent="0.3">
      <c r="A184" s="62" t="s">
        <v>501</v>
      </c>
      <c r="B184" s="55" t="s">
        <v>502</v>
      </c>
      <c r="C184" s="48" t="s">
        <v>134</v>
      </c>
      <c r="D184" s="55">
        <v>23</v>
      </c>
      <c r="E184" s="86">
        <v>45239</v>
      </c>
      <c r="F184" s="86">
        <v>45239</v>
      </c>
      <c r="G184" s="67" t="s">
        <v>234</v>
      </c>
      <c r="H184" s="55" t="s">
        <v>65</v>
      </c>
      <c r="I184" s="86">
        <v>45307</v>
      </c>
      <c r="J184" s="67" t="s">
        <v>234</v>
      </c>
      <c r="K184" s="55">
        <v>360</v>
      </c>
      <c r="L184" s="73"/>
      <c r="M184" s="73"/>
      <c r="N184" s="73"/>
    </row>
    <row r="185" spans="1:14" ht="18.45" customHeight="1" x14ac:dyDescent="0.3">
      <c r="A185" s="76" t="s">
        <v>603</v>
      </c>
      <c r="B185" s="76" t="s">
        <v>604</v>
      </c>
      <c r="C185" s="62" t="s">
        <v>136</v>
      </c>
      <c r="D185" s="62" t="s">
        <v>2487</v>
      </c>
      <c r="E185" s="88">
        <v>45302</v>
      </c>
      <c r="F185" s="88">
        <v>45303</v>
      </c>
      <c r="G185" s="67" t="s">
        <v>234</v>
      </c>
      <c r="H185" s="62" t="s">
        <v>65</v>
      </c>
      <c r="I185" s="86">
        <v>45307</v>
      </c>
      <c r="J185" s="67" t="s">
        <v>234</v>
      </c>
      <c r="K185" s="62">
        <v>200</v>
      </c>
      <c r="L185" s="73"/>
      <c r="M185" s="73"/>
      <c r="N185" s="73"/>
    </row>
    <row r="186" spans="1:14" ht="18.45" customHeight="1" x14ac:dyDescent="0.3">
      <c r="A186" s="62" t="s">
        <v>605</v>
      </c>
      <c r="B186" s="62" t="s">
        <v>606</v>
      </c>
      <c r="C186" s="62" t="s">
        <v>96</v>
      </c>
      <c r="D186" s="62">
        <v>40</v>
      </c>
      <c r="E186" s="54">
        <v>45299</v>
      </c>
      <c r="F186" s="54">
        <v>45299</v>
      </c>
      <c r="G186" s="67" t="s">
        <v>234</v>
      </c>
      <c r="H186" s="62" t="s">
        <v>65</v>
      </c>
      <c r="I186" s="86">
        <v>45307</v>
      </c>
      <c r="J186" s="67" t="s">
        <v>234</v>
      </c>
      <c r="K186" s="62">
        <v>350</v>
      </c>
      <c r="L186" s="73"/>
      <c r="M186" s="73"/>
      <c r="N186" s="73"/>
    </row>
    <row r="187" spans="1:14" ht="18.45" customHeight="1" x14ac:dyDescent="0.3">
      <c r="A187" s="48" t="s">
        <v>607</v>
      </c>
      <c r="B187" s="50" t="s">
        <v>608</v>
      </c>
      <c r="C187" s="62" t="s">
        <v>136</v>
      </c>
      <c r="D187" s="62">
        <v>34</v>
      </c>
      <c r="E187" s="54">
        <v>45287</v>
      </c>
      <c r="F187" s="54">
        <v>45288</v>
      </c>
      <c r="G187" s="67" t="s">
        <v>234</v>
      </c>
      <c r="H187" s="62" t="s">
        <v>65</v>
      </c>
      <c r="I187" s="86">
        <v>45307</v>
      </c>
      <c r="J187" s="67" t="s">
        <v>234</v>
      </c>
      <c r="K187" s="62">
        <v>450</v>
      </c>
      <c r="L187" s="73"/>
      <c r="M187" s="73"/>
      <c r="N187" s="73"/>
    </row>
    <row r="188" spans="1:14" ht="18.45" customHeight="1" x14ac:dyDescent="0.3">
      <c r="A188" s="51" t="s">
        <v>609</v>
      </c>
      <c r="B188" s="51" t="s">
        <v>610</v>
      </c>
      <c r="C188" s="51" t="s">
        <v>217</v>
      </c>
      <c r="D188" s="84">
        <v>19</v>
      </c>
      <c r="E188" s="54">
        <v>45304</v>
      </c>
      <c r="F188" s="54">
        <v>45306</v>
      </c>
      <c r="G188" s="67" t="s">
        <v>234</v>
      </c>
      <c r="H188" s="51" t="s">
        <v>65</v>
      </c>
      <c r="I188" s="58">
        <v>45307</v>
      </c>
      <c r="J188" s="67" t="s">
        <v>234</v>
      </c>
      <c r="K188" s="51">
        <v>500</v>
      </c>
      <c r="L188" s="73"/>
      <c r="M188" s="73"/>
      <c r="N188" s="73"/>
    </row>
    <row r="189" spans="1:14" ht="18.45" customHeight="1" x14ac:dyDescent="0.3">
      <c r="A189" s="51" t="s">
        <v>611</v>
      </c>
      <c r="B189" s="51" t="s">
        <v>612</v>
      </c>
      <c r="C189" s="51" t="s">
        <v>223</v>
      </c>
      <c r="D189" s="84">
        <v>99</v>
      </c>
      <c r="E189" s="54">
        <v>45305</v>
      </c>
      <c r="F189" s="54">
        <v>45306</v>
      </c>
      <c r="G189" s="67" t="s">
        <v>234</v>
      </c>
      <c r="H189" s="51" t="s">
        <v>65</v>
      </c>
      <c r="I189" s="58">
        <v>45307</v>
      </c>
      <c r="J189" s="67" t="s">
        <v>234</v>
      </c>
      <c r="K189" s="51">
        <v>500</v>
      </c>
      <c r="L189" s="73"/>
      <c r="M189" s="73"/>
      <c r="N189" s="73"/>
    </row>
    <row r="190" spans="1:14" ht="18.45" customHeight="1" x14ac:dyDescent="0.3">
      <c r="A190" s="51" t="s">
        <v>613</v>
      </c>
      <c r="B190" s="51" t="s">
        <v>614</v>
      </c>
      <c r="C190" s="51" t="s">
        <v>223</v>
      </c>
      <c r="D190" s="84">
        <v>34</v>
      </c>
      <c r="E190" s="54">
        <v>45302</v>
      </c>
      <c r="F190" s="54">
        <v>45303</v>
      </c>
      <c r="G190" s="67" t="s">
        <v>234</v>
      </c>
      <c r="H190" s="51" t="s">
        <v>65</v>
      </c>
      <c r="I190" s="58">
        <v>45307</v>
      </c>
      <c r="J190" s="67" t="s">
        <v>234</v>
      </c>
      <c r="K190" s="51">
        <v>200</v>
      </c>
      <c r="L190" s="73"/>
      <c r="M190" s="73"/>
      <c r="N190" s="73"/>
    </row>
    <row r="191" spans="1:14" ht="18.45" customHeight="1" x14ac:dyDescent="0.3">
      <c r="A191" s="51" t="s">
        <v>615</v>
      </c>
      <c r="B191" s="51" t="s">
        <v>616</v>
      </c>
      <c r="C191" s="51" t="s">
        <v>211</v>
      </c>
      <c r="D191" s="84">
        <v>4</v>
      </c>
      <c r="E191" s="54">
        <v>44985</v>
      </c>
      <c r="F191" s="54">
        <v>45306</v>
      </c>
      <c r="G191" s="67" t="s">
        <v>234</v>
      </c>
      <c r="H191" s="51" t="s">
        <v>65</v>
      </c>
      <c r="I191" s="58">
        <v>45307</v>
      </c>
      <c r="J191" s="67" t="s">
        <v>234</v>
      </c>
      <c r="K191" s="51">
        <v>500</v>
      </c>
      <c r="L191" s="73"/>
      <c r="M191" s="73"/>
      <c r="N191" s="73"/>
    </row>
    <row r="192" spans="1:14" ht="18.45" customHeight="1" x14ac:dyDescent="0.3">
      <c r="A192" s="51" t="s">
        <v>617</v>
      </c>
      <c r="B192" s="51" t="s">
        <v>618</v>
      </c>
      <c r="C192" s="51" t="s">
        <v>223</v>
      </c>
      <c r="D192" s="84">
        <v>1</v>
      </c>
      <c r="E192" s="54">
        <v>45307</v>
      </c>
      <c r="F192" s="54">
        <v>45307</v>
      </c>
      <c r="G192" s="67" t="s">
        <v>234</v>
      </c>
      <c r="H192" s="51" t="s">
        <v>65</v>
      </c>
      <c r="I192" s="58">
        <v>45307</v>
      </c>
      <c r="J192" s="67" t="s">
        <v>234</v>
      </c>
      <c r="K192" s="51">
        <v>200</v>
      </c>
      <c r="L192" s="73"/>
      <c r="M192" s="73"/>
      <c r="N192" s="73"/>
    </row>
    <row r="193" spans="1:14" ht="18.45" customHeight="1" x14ac:dyDescent="0.3">
      <c r="A193" s="51" t="s">
        <v>619</v>
      </c>
      <c r="B193" s="51" t="s">
        <v>620</v>
      </c>
      <c r="C193" s="51" t="s">
        <v>227</v>
      </c>
      <c r="D193" s="51">
        <v>35</v>
      </c>
      <c r="E193" s="58">
        <v>45300</v>
      </c>
      <c r="F193" s="58">
        <v>45301</v>
      </c>
      <c r="G193" s="67" t="s">
        <v>234</v>
      </c>
      <c r="H193" s="51" t="s">
        <v>65</v>
      </c>
      <c r="I193" s="58">
        <v>45307</v>
      </c>
      <c r="J193" s="67" t="s">
        <v>234</v>
      </c>
      <c r="K193" s="51">
        <v>150</v>
      </c>
      <c r="L193" s="73"/>
      <c r="M193" s="73"/>
      <c r="N193" s="73"/>
    </row>
    <row r="194" spans="1:14" ht="18.45" customHeight="1" x14ac:dyDescent="0.3">
      <c r="A194" s="51" t="s">
        <v>621</v>
      </c>
      <c r="B194" s="51" t="s">
        <v>622</v>
      </c>
      <c r="C194" s="51" t="s">
        <v>227</v>
      </c>
      <c r="D194" s="51">
        <v>7</v>
      </c>
      <c r="E194" s="58">
        <v>45300</v>
      </c>
      <c r="F194" s="58">
        <v>45301</v>
      </c>
      <c r="G194" s="67" t="s">
        <v>234</v>
      </c>
      <c r="H194" s="51" t="s">
        <v>65</v>
      </c>
      <c r="I194" s="58">
        <v>45307</v>
      </c>
      <c r="J194" s="67" t="s">
        <v>234</v>
      </c>
      <c r="K194" s="51">
        <v>200</v>
      </c>
      <c r="L194" s="73"/>
      <c r="M194" s="73"/>
      <c r="N194" s="73"/>
    </row>
    <row r="195" spans="1:14" ht="18.45" customHeight="1" x14ac:dyDescent="0.3">
      <c r="A195" s="51" t="s">
        <v>623</v>
      </c>
      <c r="B195" s="51" t="s">
        <v>624</v>
      </c>
      <c r="C195" s="51" t="s">
        <v>113</v>
      </c>
      <c r="D195" s="51">
        <v>53</v>
      </c>
      <c r="E195" s="58">
        <v>45300</v>
      </c>
      <c r="F195" s="58">
        <v>45301</v>
      </c>
      <c r="G195" s="67" t="s">
        <v>234</v>
      </c>
      <c r="H195" s="51" t="s">
        <v>65</v>
      </c>
      <c r="I195" s="58">
        <v>45307</v>
      </c>
      <c r="J195" s="67" t="s">
        <v>234</v>
      </c>
      <c r="K195" s="51">
        <v>100</v>
      </c>
      <c r="L195" s="73"/>
      <c r="M195" s="73"/>
      <c r="N195" s="73"/>
    </row>
    <row r="196" spans="1:14" ht="18.45" customHeight="1" x14ac:dyDescent="0.3">
      <c r="A196" s="51" t="s">
        <v>625</v>
      </c>
      <c r="B196" s="51" t="s">
        <v>626</v>
      </c>
      <c r="C196" s="51" t="s">
        <v>113</v>
      </c>
      <c r="D196" s="51">
        <v>98</v>
      </c>
      <c r="E196" s="58">
        <v>45300</v>
      </c>
      <c r="F196" s="58">
        <v>45301</v>
      </c>
      <c r="G196" s="67" t="s">
        <v>234</v>
      </c>
      <c r="H196" s="51" t="s">
        <v>65</v>
      </c>
      <c r="I196" s="58">
        <v>45307</v>
      </c>
      <c r="J196" s="67" t="s">
        <v>234</v>
      </c>
      <c r="K196" s="51">
        <v>100</v>
      </c>
      <c r="L196" s="73"/>
      <c r="M196" s="73"/>
      <c r="N196" s="73"/>
    </row>
    <row r="197" spans="1:14" ht="18.45" customHeight="1" x14ac:dyDescent="0.3">
      <c r="A197" s="51" t="s">
        <v>627</v>
      </c>
      <c r="B197" s="51" t="s">
        <v>628</v>
      </c>
      <c r="C197" s="51" t="s">
        <v>113</v>
      </c>
      <c r="D197" s="51">
        <v>114</v>
      </c>
      <c r="E197" s="58">
        <v>45303</v>
      </c>
      <c r="F197" s="58">
        <v>45303</v>
      </c>
      <c r="G197" s="67" t="s">
        <v>234</v>
      </c>
      <c r="H197" s="51" t="s">
        <v>65</v>
      </c>
      <c r="I197" s="58">
        <v>45307</v>
      </c>
      <c r="J197" s="67" t="s">
        <v>234</v>
      </c>
      <c r="K197" s="51">
        <v>230</v>
      </c>
      <c r="L197" s="73"/>
      <c r="M197" s="73"/>
      <c r="N197" s="73"/>
    </row>
    <row r="198" spans="1:14" ht="18.45" customHeight="1" x14ac:dyDescent="0.3">
      <c r="A198" s="51" t="s">
        <v>629</v>
      </c>
      <c r="B198" s="51" t="s">
        <v>630</v>
      </c>
      <c r="C198" s="51" t="s">
        <v>228</v>
      </c>
      <c r="D198" s="51">
        <v>29</v>
      </c>
      <c r="E198" s="58">
        <v>45301</v>
      </c>
      <c r="F198" s="58">
        <v>45302</v>
      </c>
      <c r="G198" s="67" t="s">
        <v>234</v>
      </c>
      <c r="H198" s="51" t="s">
        <v>65</v>
      </c>
      <c r="I198" s="58">
        <v>45307</v>
      </c>
      <c r="J198" s="67" t="s">
        <v>234</v>
      </c>
      <c r="K198" s="51">
        <v>200</v>
      </c>
      <c r="L198" s="73"/>
      <c r="M198" s="73"/>
      <c r="N198" s="73"/>
    </row>
    <row r="199" spans="1:14" ht="18.45" customHeight="1" x14ac:dyDescent="0.3">
      <c r="A199" s="51" t="s">
        <v>631</v>
      </c>
      <c r="B199" s="51" t="s">
        <v>632</v>
      </c>
      <c r="C199" s="51" t="s">
        <v>229</v>
      </c>
      <c r="D199" s="51">
        <v>4</v>
      </c>
      <c r="E199" s="58">
        <v>45246</v>
      </c>
      <c r="F199" s="58">
        <v>45303</v>
      </c>
      <c r="G199" s="67" t="s">
        <v>234</v>
      </c>
      <c r="H199" s="51" t="s">
        <v>65</v>
      </c>
      <c r="I199" s="58">
        <v>45307</v>
      </c>
      <c r="J199" s="67" t="s">
        <v>234</v>
      </c>
      <c r="K199" s="51">
        <v>250</v>
      </c>
      <c r="L199" s="73"/>
      <c r="M199" s="73"/>
      <c r="N199" s="73"/>
    </row>
    <row r="200" spans="1:14" ht="18.45" customHeight="1" x14ac:dyDescent="0.3">
      <c r="A200" s="51" t="s">
        <v>633</v>
      </c>
      <c r="B200" s="51" t="s">
        <v>634</v>
      </c>
      <c r="C200" s="51" t="s">
        <v>229</v>
      </c>
      <c r="D200" s="51">
        <v>17</v>
      </c>
      <c r="E200" s="58">
        <v>45301</v>
      </c>
      <c r="F200" s="58">
        <v>45303</v>
      </c>
      <c r="G200" s="67" t="s">
        <v>234</v>
      </c>
      <c r="H200" s="51" t="s">
        <v>65</v>
      </c>
      <c r="I200" s="58">
        <v>45307</v>
      </c>
      <c r="J200" s="67" t="s">
        <v>234</v>
      </c>
      <c r="K200" s="51">
        <v>200</v>
      </c>
      <c r="L200" s="73"/>
      <c r="M200" s="73"/>
      <c r="N200" s="73"/>
    </row>
    <row r="201" spans="1:14" ht="18.45" customHeight="1" x14ac:dyDescent="0.3">
      <c r="A201" s="51" t="s">
        <v>635</v>
      </c>
      <c r="B201" s="51" t="s">
        <v>636</v>
      </c>
      <c r="C201" s="51" t="s">
        <v>228</v>
      </c>
      <c r="D201" s="51">
        <v>13</v>
      </c>
      <c r="E201" s="58">
        <v>45302</v>
      </c>
      <c r="F201" s="58">
        <v>45303</v>
      </c>
      <c r="G201" s="67" t="s">
        <v>234</v>
      </c>
      <c r="H201" s="51" t="s">
        <v>65</v>
      </c>
      <c r="I201" s="58">
        <v>45307</v>
      </c>
      <c r="J201" s="67" t="s">
        <v>234</v>
      </c>
      <c r="K201" s="51">
        <v>200</v>
      </c>
      <c r="L201" s="73"/>
      <c r="M201" s="73"/>
      <c r="N201" s="73"/>
    </row>
    <row r="202" spans="1:14" ht="18.45" customHeight="1" x14ac:dyDescent="0.3">
      <c r="A202" s="51" t="s">
        <v>637</v>
      </c>
      <c r="B202" s="51" t="s">
        <v>638</v>
      </c>
      <c r="C202" s="51" t="s">
        <v>227</v>
      </c>
      <c r="D202" s="51">
        <v>36</v>
      </c>
      <c r="E202" s="58">
        <v>45303</v>
      </c>
      <c r="F202" s="58">
        <v>45306</v>
      </c>
      <c r="G202" s="67" t="s">
        <v>234</v>
      </c>
      <c r="H202" s="51" t="s">
        <v>65</v>
      </c>
      <c r="I202" s="58">
        <v>45307</v>
      </c>
      <c r="J202" s="67" t="s">
        <v>234</v>
      </c>
      <c r="K202" s="51">
        <v>150</v>
      </c>
      <c r="L202" s="73"/>
      <c r="M202" s="73"/>
      <c r="N202" s="73"/>
    </row>
    <row r="203" spans="1:14" ht="18.45" customHeight="1" x14ac:dyDescent="0.3">
      <c r="A203" s="62" t="s">
        <v>639</v>
      </c>
      <c r="B203" s="62" t="s">
        <v>640</v>
      </c>
      <c r="C203" s="62" t="s">
        <v>96</v>
      </c>
      <c r="D203" s="62">
        <v>40</v>
      </c>
      <c r="E203" s="54">
        <v>45299</v>
      </c>
      <c r="F203" s="54">
        <v>45299</v>
      </c>
      <c r="G203" s="67" t="s">
        <v>234</v>
      </c>
      <c r="H203" s="62" t="s">
        <v>65</v>
      </c>
      <c r="I203" s="86">
        <v>45308</v>
      </c>
      <c r="J203" s="67" t="s">
        <v>234</v>
      </c>
      <c r="K203" s="62">
        <v>350</v>
      </c>
      <c r="L203" s="73"/>
      <c r="M203" s="73"/>
      <c r="N203" s="73"/>
    </row>
    <row r="204" spans="1:14" ht="18.45" customHeight="1" x14ac:dyDescent="0.3">
      <c r="A204" s="48" t="s">
        <v>641</v>
      </c>
      <c r="B204" s="50" t="s">
        <v>131</v>
      </c>
      <c r="C204" s="48" t="s">
        <v>134</v>
      </c>
      <c r="D204" s="62">
        <v>15</v>
      </c>
      <c r="E204" s="54">
        <v>45301</v>
      </c>
      <c r="F204" s="54">
        <v>45303</v>
      </c>
      <c r="G204" s="67" t="s">
        <v>234</v>
      </c>
      <c r="H204" s="62" t="s">
        <v>65</v>
      </c>
      <c r="I204" s="86">
        <v>45308</v>
      </c>
      <c r="J204" s="67" t="s">
        <v>234</v>
      </c>
      <c r="K204" s="62">
        <v>260</v>
      </c>
      <c r="L204" s="73"/>
      <c r="M204" s="73"/>
      <c r="N204" s="73"/>
    </row>
    <row r="205" spans="1:14" ht="18.45" customHeight="1" x14ac:dyDescent="0.3">
      <c r="A205" s="76" t="s">
        <v>642</v>
      </c>
      <c r="B205" s="76" t="s">
        <v>643</v>
      </c>
      <c r="C205" s="48" t="s">
        <v>134</v>
      </c>
      <c r="D205" s="62">
        <v>10</v>
      </c>
      <c r="E205" s="88">
        <v>45296</v>
      </c>
      <c r="F205" s="88">
        <v>45297</v>
      </c>
      <c r="G205" s="67" t="s">
        <v>234</v>
      </c>
      <c r="H205" s="62" t="s">
        <v>65</v>
      </c>
      <c r="I205" s="86">
        <v>45308</v>
      </c>
      <c r="J205" s="67" t="s">
        <v>234</v>
      </c>
      <c r="K205" s="62">
        <v>350</v>
      </c>
      <c r="L205" s="73"/>
      <c r="M205" s="73"/>
      <c r="N205" s="73"/>
    </row>
    <row r="206" spans="1:14" ht="18.45" customHeight="1" x14ac:dyDescent="0.3">
      <c r="A206" s="76" t="s">
        <v>644</v>
      </c>
      <c r="B206" s="76" t="s">
        <v>645</v>
      </c>
      <c r="C206" s="76" t="s">
        <v>120</v>
      </c>
      <c r="D206" s="62">
        <v>75</v>
      </c>
      <c r="E206" s="88">
        <v>45303</v>
      </c>
      <c r="F206" s="88">
        <v>45304</v>
      </c>
      <c r="G206" s="67" t="s">
        <v>234</v>
      </c>
      <c r="H206" s="62" t="s">
        <v>65</v>
      </c>
      <c r="I206" s="86">
        <v>45308</v>
      </c>
      <c r="J206" s="67" t="s">
        <v>234</v>
      </c>
      <c r="K206" s="62">
        <v>250</v>
      </c>
      <c r="L206" s="73"/>
      <c r="M206" s="73"/>
      <c r="N206" s="73"/>
    </row>
    <row r="207" spans="1:14" ht="18.45" customHeight="1" x14ac:dyDescent="0.3">
      <c r="A207" s="48" t="s">
        <v>646</v>
      </c>
      <c r="B207" s="50" t="s">
        <v>647</v>
      </c>
      <c r="C207" s="48" t="s">
        <v>120</v>
      </c>
      <c r="D207" s="62">
        <v>83</v>
      </c>
      <c r="E207" s="54">
        <v>45304</v>
      </c>
      <c r="F207" s="54">
        <v>45306</v>
      </c>
      <c r="G207" s="67" t="s">
        <v>234</v>
      </c>
      <c r="H207" s="62" t="s">
        <v>65</v>
      </c>
      <c r="I207" s="86">
        <v>45308</v>
      </c>
      <c r="J207" s="67" t="s">
        <v>234</v>
      </c>
      <c r="K207" s="62">
        <v>50</v>
      </c>
      <c r="L207" s="73"/>
      <c r="M207" s="73"/>
      <c r="N207" s="73"/>
    </row>
    <row r="208" spans="1:14" ht="18.45" customHeight="1" x14ac:dyDescent="0.3">
      <c r="A208" s="48" t="s">
        <v>648</v>
      </c>
      <c r="B208" s="50" t="s">
        <v>649</v>
      </c>
      <c r="C208" s="48" t="s">
        <v>235</v>
      </c>
      <c r="D208" s="76">
        <v>1</v>
      </c>
      <c r="E208" s="54">
        <v>45297</v>
      </c>
      <c r="F208" s="54">
        <v>45299</v>
      </c>
      <c r="G208" s="67" t="s">
        <v>234</v>
      </c>
      <c r="H208" s="62" t="s">
        <v>65</v>
      </c>
      <c r="I208" s="86">
        <v>45308</v>
      </c>
      <c r="J208" s="67" t="s">
        <v>234</v>
      </c>
      <c r="K208" s="62">
        <v>450</v>
      </c>
      <c r="L208" s="73"/>
      <c r="M208" s="73"/>
      <c r="N208" s="73"/>
    </row>
    <row r="209" spans="1:14" ht="18.45" customHeight="1" x14ac:dyDescent="0.3">
      <c r="A209" s="51" t="s">
        <v>609</v>
      </c>
      <c r="B209" s="51" t="s">
        <v>610</v>
      </c>
      <c r="C209" s="51" t="s">
        <v>217</v>
      </c>
      <c r="D209" s="84">
        <v>19</v>
      </c>
      <c r="E209" s="54">
        <v>45304</v>
      </c>
      <c r="F209" s="54">
        <v>45306</v>
      </c>
      <c r="G209" s="67" t="s">
        <v>234</v>
      </c>
      <c r="H209" s="51" t="s">
        <v>65</v>
      </c>
      <c r="I209" s="86">
        <v>45308</v>
      </c>
      <c r="J209" s="67" t="s">
        <v>234</v>
      </c>
      <c r="K209" s="51">
        <v>500</v>
      </c>
      <c r="L209" s="73"/>
      <c r="M209" s="73"/>
      <c r="N209" s="73"/>
    </row>
    <row r="210" spans="1:14" ht="18.45" customHeight="1" x14ac:dyDescent="0.3">
      <c r="A210" s="51" t="s">
        <v>611</v>
      </c>
      <c r="B210" s="51" t="s">
        <v>612</v>
      </c>
      <c r="C210" s="51" t="s">
        <v>223</v>
      </c>
      <c r="D210" s="84">
        <v>99</v>
      </c>
      <c r="E210" s="54">
        <v>45305</v>
      </c>
      <c r="F210" s="54">
        <v>45306</v>
      </c>
      <c r="G210" s="67" t="s">
        <v>234</v>
      </c>
      <c r="H210" s="51" t="s">
        <v>65</v>
      </c>
      <c r="I210" s="86">
        <v>45308</v>
      </c>
      <c r="J210" s="67" t="s">
        <v>234</v>
      </c>
      <c r="K210" s="51">
        <v>500</v>
      </c>
      <c r="L210" s="73"/>
      <c r="M210" s="73"/>
      <c r="N210" s="73"/>
    </row>
    <row r="211" spans="1:14" ht="18.45" customHeight="1" x14ac:dyDescent="0.3">
      <c r="A211" s="51" t="s">
        <v>613</v>
      </c>
      <c r="B211" s="51" t="s">
        <v>614</v>
      </c>
      <c r="C211" s="51" t="s">
        <v>223</v>
      </c>
      <c r="D211" s="84">
        <v>34</v>
      </c>
      <c r="E211" s="54">
        <v>45302</v>
      </c>
      <c r="F211" s="54">
        <v>45303</v>
      </c>
      <c r="G211" s="67" t="s">
        <v>234</v>
      </c>
      <c r="H211" s="51" t="s">
        <v>65</v>
      </c>
      <c r="I211" s="86">
        <v>45308</v>
      </c>
      <c r="J211" s="67" t="s">
        <v>234</v>
      </c>
      <c r="K211" s="51">
        <v>200</v>
      </c>
      <c r="L211" s="73"/>
      <c r="M211" s="73"/>
      <c r="N211" s="73"/>
    </row>
    <row r="212" spans="1:14" ht="18.45" customHeight="1" x14ac:dyDescent="0.3">
      <c r="A212" s="51" t="s">
        <v>615</v>
      </c>
      <c r="B212" s="51" t="s">
        <v>616</v>
      </c>
      <c r="C212" s="51" t="s">
        <v>211</v>
      </c>
      <c r="D212" s="84">
        <v>4</v>
      </c>
      <c r="E212" s="54">
        <v>44985</v>
      </c>
      <c r="F212" s="54">
        <v>45306</v>
      </c>
      <c r="G212" s="67" t="s">
        <v>234</v>
      </c>
      <c r="H212" s="51" t="s">
        <v>65</v>
      </c>
      <c r="I212" s="86">
        <v>45308</v>
      </c>
      <c r="J212" s="67" t="s">
        <v>234</v>
      </c>
      <c r="K212" s="51">
        <v>500</v>
      </c>
      <c r="L212" s="73"/>
      <c r="M212" s="73"/>
      <c r="N212" s="73"/>
    </row>
    <row r="213" spans="1:14" ht="18.45" customHeight="1" x14ac:dyDescent="0.3">
      <c r="A213" s="51" t="s">
        <v>617</v>
      </c>
      <c r="B213" s="51" t="s">
        <v>618</v>
      </c>
      <c r="C213" s="51" t="s">
        <v>223</v>
      </c>
      <c r="D213" s="84">
        <v>1</v>
      </c>
      <c r="E213" s="54">
        <v>45307</v>
      </c>
      <c r="F213" s="54">
        <v>45307</v>
      </c>
      <c r="G213" s="67" t="s">
        <v>234</v>
      </c>
      <c r="H213" s="51" t="s">
        <v>65</v>
      </c>
      <c r="I213" s="86">
        <v>45308</v>
      </c>
      <c r="J213" s="67" t="s">
        <v>234</v>
      </c>
      <c r="K213" s="51">
        <v>200</v>
      </c>
      <c r="L213" s="73"/>
      <c r="M213" s="73"/>
      <c r="N213" s="73"/>
    </row>
    <row r="214" spans="1:14" ht="18.45" customHeight="1" x14ac:dyDescent="0.3">
      <c r="A214" s="51" t="s">
        <v>650</v>
      </c>
      <c r="B214" s="51" t="s">
        <v>651</v>
      </c>
      <c r="C214" s="51" t="s">
        <v>230</v>
      </c>
      <c r="D214" s="51">
        <v>2</v>
      </c>
      <c r="E214" s="58">
        <v>45301</v>
      </c>
      <c r="F214" s="58">
        <v>45303</v>
      </c>
      <c r="G214" s="67" t="s">
        <v>234</v>
      </c>
      <c r="H214" s="51" t="s">
        <v>65</v>
      </c>
      <c r="I214" s="58">
        <v>45308</v>
      </c>
      <c r="J214" s="67" t="s">
        <v>234</v>
      </c>
      <c r="K214" s="51">
        <v>150</v>
      </c>
      <c r="L214" s="73"/>
      <c r="M214" s="73"/>
      <c r="N214" s="73"/>
    </row>
    <row r="215" spans="1:14" ht="18.45" customHeight="1" x14ac:dyDescent="0.3">
      <c r="A215" s="51" t="s">
        <v>652</v>
      </c>
      <c r="B215" s="51" t="s">
        <v>653</v>
      </c>
      <c r="C215" s="51" t="s">
        <v>232</v>
      </c>
      <c r="D215" s="51">
        <v>35</v>
      </c>
      <c r="E215" s="58">
        <v>45264</v>
      </c>
      <c r="F215" s="58">
        <v>45264</v>
      </c>
      <c r="G215" s="67" t="s">
        <v>234</v>
      </c>
      <c r="H215" s="51" t="s">
        <v>65</v>
      </c>
      <c r="I215" s="58">
        <v>45308</v>
      </c>
      <c r="J215" s="67" t="s">
        <v>234</v>
      </c>
      <c r="K215" s="51">
        <v>50</v>
      </c>
      <c r="L215" s="73"/>
      <c r="M215" s="73"/>
      <c r="N215" s="73"/>
    </row>
    <row r="216" spans="1:14" ht="18.45" customHeight="1" x14ac:dyDescent="0.3">
      <c r="A216" s="51" t="s">
        <v>654</v>
      </c>
      <c r="B216" s="51" t="s">
        <v>655</v>
      </c>
      <c r="C216" s="51" t="s">
        <v>228</v>
      </c>
      <c r="D216" s="51">
        <v>13</v>
      </c>
      <c r="E216" s="58">
        <v>45299</v>
      </c>
      <c r="F216" s="58">
        <v>45301</v>
      </c>
      <c r="G216" s="67" t="s">
        <v>234</v>
      </c>
      <c r="H216" s="51" t="s">
        <v>65</v>
      </c>
      <c r="I216" s="58">
        <v>45308</v>
      </c>
      <c r="J216" s="67" t="s">
        <v>234</v>
      </c>
      <c r="K216" s="51">
        <v>230</v>
      </c>
      <c r="L216" s="73"/>
      <c r="M216" s="73"/>
      <c r="N216" s="73"/>
    </row>
    <row r="217" spans="1:14" ht="18.45" customHeight="1" x14ac:dyDescent="0.3">
      <c r="A217" s="51" t="s">
        <v>656</v>
      </c>
      <c r="B217" s="51" t="s">
        <v>657</v>
      </c>
      <c r="C217" s="51" t="s">
        <v>228</v>
      </c>
      <c r="D217" s="51">
        <v>26</v>
      </c>
      <c r="E217" s="58">
        <v>45299</v>
      </c>
      <c r="F217" s="58">
        <v>45301</v>
      </c>
      <c r="G217" s="67" t="s">
        <v>234</v>
      </c>
      <c r="H217" s="51" t="s">
        <v>65</v>
      </c>
      <c r="I217" s="58">
        <v>45308</v>
      </c>
      <c r="J217" s="67" t="s">
        <v>234</v>
      </c>
      <c r="K217" s="51">
        <v>200</v>
      </c>
      <c r="L217" s="73"/>
      <c r="M217" s="73"/>
      <c r="N217" s="73"/>
    </row>
    <row r="218" spans="1:14" ht="18.45" customHeight="1" x14ac:dyDescent="0.3">
      <c r="A218" s="51" t="s">
        <v>658</v>
      </c>
      <c r="B218" s="51" t="s">
        <v>659</v>
      </c>
      <c r="C218" s="51" t="s">
        <v>232</v>
      </c>
      <c r="D218" s="51">
        <v>35</v>
      </c>
      <c r="E218" s="58">
        <v>45265</v>
      </c>
      <c r="F218" s="58">
        <v>45266</v>
      </c>
      <c r="G218" s="67" t="s">
        <v>234</v>
      </c>
      <c r="H218" s="51" t="s">
        <v>65</v>
      </c>
      <c r="I218" s="58">
        <v>45308</v>
      </c>
      <c r="J218" s="67" t="s">
        <v>234</v>
      </c>
      <c r="K218" s="51">
        <v>150</v>
      </c>
      <c r="L218" s="73"/>
      <c r="M218" s="73"/>
      <c r="N218" s="73"/>
    </row>
    <row r="219" spans="1:14" ht="18.45" customHeight="1" x14ac:dyDescent="0.3">
      <c r="A219" s="51" t="s">
        <v>660</v>
      </c>
      <c r="B219" s="51" t="s">
        <v>661</v>
      </c>
      <c r="C219" s="51" t="s">
        <v>232</v>
      </c>
      <c r="D219" s="51">
        <v>54</v>
      </c>
      <c r="E219" s="58">
        <v>45282</v>
      </c>
      <c r="F219" s="58">
        <v>45286</v>
      </c>
      <c r="G219" s="67" t="s">
        <v>234</v>
      </c>
      <c r="H219" s="51" t="s">
        <v>65</v>
      </c>
      <c r="I219" s="58">
        <v>45308</v>
      </c>
      <c r="J219" s="67" t="s">
        <v>234</v>
      </c>
      <c r="K219" s="51">
        <v>150</v>
      </c>
      <c r="L219" s="73"/>
      <c r="M219" s="73"/>
      <c r="N219" s="73"/>
    </row>
    <row r="220" spans="1:14" ht="18.45" customHeight="1" x14ac:dyDescent="0.3">
      <c r="A220" s="51" t="s">
        <v>662</v>
      </c>
      <c r="B220" s="51" t="s">
        <v>663</v>
      </c>
      <c r="C220" s="51" t="s">
        <v>113</v>
      </c>
      <c r="D220" s="51">
        <v>114</v>
      </c>
      <c r="E220" s="58">
        <v>45302</v>
      </c>
      <c r="F220" s="58">
        <v>45303</v>
      </c>
      <c r="G220" s="67" t="s">
        <v>234</v>
      </c>
      <c r="H220" s="51" t="s">
        <v>65</v>
      </c>
      <c r="I220" s="58">
        <v>45308</v>
      </c>
      <c r="J220" s="67" t="s">
        <v>234</v>
      </c>
      <c r="K220" s="51">
        <v>100</v>
      </c>
      <c r="L220" s="73"/>
      <c r="M220" s="73"/>
      <c r="N220" s="73"/>
    </row>
    <row r="221" spans="1:14" ht="18.45" customHeight="1" x14ac:dyDescent="0.3">
      <c r="A221" s="51" t="s">
        <v>664</v>
      </c>
      <c r="B221" s="51" t="s">
        <v>665</v>
      </c>
      <c r="C221" s="51" t="s">
        <v>113</v>
      </c>
      <c r="D221" s="51">
        <v>114</v>
      </c>
      <c r="E221" s="58">
        <v>45302</v>
      </c>
      <c r="F221" s="58">
        <v>45303</v>
      </c>
      <c r="G221" s="67" t="s">
        <v>234</v>
      </c>
      <c r="H221" s="51" t="s">
        <v>65</v>
      </c>
      <c r="I221" s="58">
        <v>45308</v>
      </c>
      <c r="J221" s="67" t="s">
        <v>234</v>
      </c>
      <c r="K221" s="51">
        <v>400</v>
      </c>
      <c r="L221" s="73"/>
      <c r="M221" s="73"/>
      <c r="N221" s="73"/>
    </row>
    <row r="222" spans="1:14" ht="18.45" customHeight="1" x14ac:dyDescent="0.3">
      <c r="A222" s="51" t="s">
        <v>666</v>
      </c>
      <c r="B222" s="51" t="s">
        <v>667</v>
      </c>
      <c r="C222" s="51" t="s">
        <v>227</v>
      </c>
      <c r="D222" s="51">
        <v>56</v>
      </c>
      <c r="E222" s="58">
        <v>45305</v>
      </c>
      <c r="F222" s="58">
        <v>45306</v>
      </c>
      <c r="G222" s="67" t="s">
        <v>234</v>
      </c>
      <c r="H222" s="51" t="s">
        <v>65</v>
      </c>
      <c r="I222" s="58">
        <v>45308</v>
      </c>
      <c r="J222" s="67" t="s">
        <v>234</v>
      </c>
      <c r="K222" s="51">
        <v>200</v>
      </c>
      <c r="L222" s="73"/>
      <c r="M222" s="73"/>
      <c r="N222" s="73"/>
    </row>
    <row r="223" spans="1:14" ht="18.45" customHeight="1" x14ac:dyDescent="0.3">
      <c r="A223" s="51" t="s">
        <v>668</v>
      </c>
      <c r="B223" s="51" t="s">
        <v>669</v>
      </c>
      <c r="C223" s="51" t="s">
        <v>227</v>
      </c>
      <c r="D223" s="51">
        <v>49</v>
      </c>
      <c r="E223" s="58">
        <v>45303</v>
      </c>
      <c r="F223" s="58">
        <v>45303</v>
      </c>
      <c r="G223" s="67" t="s">
        <v>234</v>
      </c>
      <c r="H223" s="51" t="s">
        <v>65</v>
      </c>
      <c r="I223" s="58">
        <v>45308</v>
      </c>
      <c r="J223" s="67" t="s">
        <v>234</v>
      </c>
      <c r="K223" s="51">
        <v>50</v>
      </c>
      <c r="L223" s="73"/>
      <c r="M223" s="73"/>
      <c r="N223" s="73"/>
    </row>
    <row r="224" spans="1:14" ht="18.45" customHeight="1" x14ac:dyDescent="0.3">
      <c r="A224" s="76" t="s">
        <v>670</v>
      </c>
      <c r="B224" s="76" t="s">
        <v>671</v>
      </c>
      <c r="C224" s="62" t="s">
        <v>99</v>
      </c>
      <c r="D224" s="62">
        <v>18</v>
      </c>
      <c r="E224" s="88">
        <v>45302</v>
      </c>
      <c r="F224" s="88">
        <v>45303</v>
      </c>
      <c r="G224" s="67" t="s">
        <v>234</v>
      </c>
      <c r="H224" s="55" t="s">
        <v>65</v>
      </c>
      <c r="I224" s="86">
        <v>45309</v>
      </c>
      <c r="J224" s="67" t="s">
        <v>234</v>
      </c>
      <c r="K224" s="62">
        <v>270</v>
      </c>
      <c r="L224" s="73"/>
      <c r="M224" s="73"/>
      <c r="N224" s="73"/>
    </row>
    <row r="225" spans="1:14" ht="18.45" customHeight="1" x14ac:dyDescent="0.3">
      <c r="A225" s="62" t="s">
        <v>672</v>
      </c>
      <c r="B225" s="55" t="s">
        <v>673</v>
      </c>
      <c r="C225" s="62" t="s">
        <v>94</v>
      </c>
      <c r="D225" s="55">
        <v>57</v>
      </c>
      <c r="E225" s="86">
        <v>45111</v>
      </c>
      <c r="F225" s="86">
        <v>45190</v>
      </c>
      <c r="G225" s="67" t="s">
        <v>234</v>
      </c>
      <c r="H225" s="62" t="s">
        <v>65</v>
      </c>
      <c r="I225" s="86">
        <v>45309</v>
      </c>
      <c r="J225" s="67" t="s">
        <v>234</v>
      </c>
      <c r="K225" s="55">
        <v>200</v>
      </c>
      <c r="L225" s="73"/>
      <c r="M225" s="73"/>
      <c r="N225" s="73"/>
    </row>
    <row r="226" spans="1:14" ht="18.45" customHeight="1" x14ac:dyDescent="0.3">
      <c r="A226" s="48" t="s">
        <v>674</v>
      </c>
      <c r="B226" s="50" t="s">
        <v>675</v>
      </c>
      <c r="C226" s="48" t="s">
        <v>94</v>
      </c>
      <c r="D226" s="62">
        <v>57</v>
      </c>
      <c r="E226" s="54">
        <v>45287</v>
      </c>
      <c r="F226" s="54">
        <v>45288</v>
      </c>
      <c r="G226" s="67" t="s">
        <v>234</v>
      </c>
      <c r="H226" s="62" t="s">
        <v>65</v>
      </c>
      <c r="I226" s="86">
        <v>45309</v>
      </c>
      <c r="J226" s="67" t="s">
        <v>234</v>
      </c>
      <c r="K226" s="62">
        <v>100</v>
      </c>
      <c r="L226" s="73"/>
      <c r="M226" s="73"/>
      <c r="N226" s="73"/>
    </row>
    <row r="227" spans="1:14" ht="18.45" customHeight="1" x14ac:dyDescent="0.3">
      <c r="A227" s="76" t="s">
        <v>676</v>
      </c>
      <c r="B227" s="76" t="s">
        <v>677</v>
      </c>
      <c r="C227" s="62" t="s">
        <v>2488</v>
      </c>
      <c r="D227" s="62">
        <v>2</v>
      </c>
      <c r="E227" s="88">
        <v>45302</v>
      </c>
      <c r="F227" s="88">
        <v>45304</v>
      </c>
      <c r="G227" s="67" t="s">
        <v>234</v>
      </c>
      <c r="H227" s="55" t="s">
        <v>65</v>
      </c>
      <c r="I227" s="86">
        <v>45309</v>
      </c>
      <c r="J227" s="67" t="s">
        <v>234</v>
      </c>
      <c r="K227" s="62">
        <v>150</v>
      </c>
      <c r="L227" s="73"/>
      <c r="M227" s="73"/>
      <c r="N227" s="73"/>
    </row>
    <row r="228" spans="1:14" ht="18.45" customHeight="1" x14ac:dyDescent="0.3">
      <c r="A228" s="48" t="s">
        <v>678</v>
      </c>
      <c r="B228" s="50" t="s">
        <v>679</v>
      </c>
      <c r="C228" s="62" t="s">
        <v>136</v>
      </c>
      <c r="D228" s="62">
        <v>31</v>
      </c>
      <c r="E228" s="54">
        <v>45304</v>
      </c>
      <c r="F228" s="54">
        <v>45306</v>
      </c>
      <c r="G228" s="67" t="s">
        <v>234</v>
      </c>
      <c r="H228" s="62" t="s">
        <v>65</v>
      </c>
      <c r="I228" s="86">
        <v>45309</v>
      </c>
      <c r="J228" s="67" t="s">
        <v>234</v>
      </c>
      <c r="K228" s="62">
        <v>370</v>
      </c>
      <c r="L228" s="73"/>
      <c r="M228" s="73"/>
      <c r="N228" s="73"/>
    </row>
    <row r="229" spans="1:14" ht="18.45" customHeight="1" x14ac:dyDescent="0.3">
      <c r="A229" s="76" t="s">
        <v>680</v>
      </c>
      <c r="B229" s="76" t="s">
        <v>681</v>
      </c>
      <c r="C229" s="48" t="s">
        <v>134</v>
      </c>
      <c r="D229" s="62">
        <v>8</v>
      </c>
      <c r="E229" s="88">
        <v>45296</v>
      </c>
      <c r="F229" s="88">
        <v>45297</v>
      </c>
      <c r="G229" s="67" t="s">
        <v>234</v>
      </c>
      <c r="H229" s="62" t="s">
        <v>65</v>
      </c>
      <c r="I229" s="86">
        <v>45309</v>
      </c>
      <c r="J229" s="67" t="s">
        <v>234</v>
      </c>
      <c r="K229" s="62">
        <v>350</v>
      </c>
      <c r="L229" s="73"/>
      <c r="M229" s="73"/>
      <c r="N229" s="73"/>
    </row>
    <row r="230" spans="1:14" ht="18.45" customHeight="1" x14ac:dyDescent="0.3">
      <c r="A230" s="51" t="s">
        <v>682</v>
      </c>
      <c r="B230" s="51" t="s">
        <v>683</v>
      </c>
      <c r="C230" s="51" t="s">
        <v>223</v>
      </c>
      <c r="D230" s="84">
        <v>70</v>
      </c>
      <c r="E230" s="54">
        <v>45308</v>
      </c>
      <c r="F230" s="54">
        <v>45308</v>
      </c>
      <c r="G230" s="67" t="s">
        <v>234</v>
      </c>
      <c r="H230" s="51" t="s">
        <v>65</v>
      </c>
      <c r="I230" s="58">
        <v>45309</v>
      </c>
      <c r="J230" s="67" t="s">
        <v>234</v>
      </c>
      <c r="K230" s="51">
        <v>300</v>
      </c>
      <c r="L230" s="73"/>
      <c r="M230" s="73"/>
      <c r="N230" s="73"/>
    </row>
    <row r="231" spans="1:14" ht="18.45" customHeight="1" x14ac:dyDescent="0.3">
      <c r="A231" s="51" t="s">
        <v>684</v>
      </c>
      <c r="B231" s="51" t="s">
        <v>685</v>
      </c>
      <c r="C231" s="51" t="s">
        <v>223</v>
      </c>
      <c r="D231" s="84">
        <v>106</v>
      </c>
      <c r="E231" s="54">
        <v>45308</v>
      </c>
      <c r="F231" s="54">
        <v>45308</v>
      </c>
      <c r="G231" s="67" t="s">
        <v>234</v>
      </c>
      <c r="H231" s="51" t="s">
        <v>65</v>
      </c>
      <c r="I231" s="58">
        <v>45309</v>
      </c>
      <c r="J231" s="67" t="s">
        <v>234</v>
      </c>
      <c r="K231" s="51">
        <v>500</v>
      </c>
      <c r="L231" s="73"/>
      <c r="M231" s="73"/>
      <c r="N231" s="73"/>
    </row>
    <row r="232" spans="1:14" ht="18.45" customHeight="1" x14ac:dyDescent="0.3">
      <c r="A232" s="51" t="s">
        <v>686</v>
      </c>
      <c r="B232" s="51" t="s">
        <v>687</v>
      </c>
      <c r="C232" s="51" t="s">
        <v>113</v>
      </c>
      <c r="D232" s="51">
        <v>37</v>
      </c>
      <c r="E232" s="58">
        <v>45294</v>
      </c>
      <c r="F232" s="58">
        <v>45295</v>
      </c>
      <c r="G232" s="67" t="s">
        <v>234</v>
      </c>
      <c r="H232" s="51" t="s">
        <v>65</v>
      </c>
      <c r="I232" s="58">
        <v>45309</v>
      </c>
      <c r="J232" s="67" t="s">
        <v>234</v>
      </c>
      <c r="K232" s="51">
        <v>350</v>
      </c>
      <c r="L232" s="73"/>
      <c r="M232" s="73"/>
      <c r="N232" s="73"/>
    </row>
    <row r="233" spans="1:14" ht="18.45" customHeight="1" x14ac:dyDescent="0.3">
      <c r="A233" s="51" t="s">
        <v>688</v>
      </c>
      <c r="B233" s="51" t="s">
        <v>689</v>
      </c>
      <c r="C233" s="51" t="s">
        <v>113</v>
      </c>
      <c r="D233" s="51">
        <v>33</v>
      </c>
      <c r="E233" s="58">
        <v>45303</v>
      </c>
      <c r="F233" s="58">
        <v>45306</v>
      </c>
      <c r="G233" s="67" t="s">
        <v>234</v>
      </c>
      <c r="H233" s="51" t="s">
        <v>65</v>
      </c>
      <c r="I233" s="58">
        <v>45309</v>
      </c>
      <c r="J233" s="67" t="s">
        <v>234</v>
      </c>
      <c r="K233" s="51">
        <v>300</v>
      </c>
      <c r="L233" s="73"/>
      <c r="M233" s="73"/>
      <c r="N233" s="73"/>
    </row>
    <row r="234" spans="1:14" ht="18.45" customHeight="1" x14ac:dyDescent="0.3">
      <c r="A234" s="51" t="s">
        <v>690</v>
      </c>
      <c r="B234" s="51" t="s">
        <v>691</v>
      </c>
      <c r="C234" s="51" t="s">
        <v>113</v>
      </c>
      <c r="D234" s="51">
        <v>17</v>
      </c>
      <c r="E234" s="58">
        <v>45303</v>
      </c>
      <c r="F234" s="58">
        <v>45306</v>
      </c>
      <c r="G234" s="67" t="s">
        <v>234</v>
      </c>
      <c r="H234" s="51" t="s">
        <v>65</v>
      </c>
      <c r="I234" s="58">
        <v>45309</v>
      </c>
      <c r="J234" s="67" t="s">
        <v>234</v>
      </c>
      <c r="K234" s="51">
        <v>150</v>
      </c>
      <c r="L234" s="73"/>
      <c r="M234" s="73"/>
      <c r="N234" s="73"/>
    </row>
    <row r="235" spans="1:14" ht="18.45" customHeight="1" x14ac:dyDescent="0.3">
      <c r="A235" s="51" t="s">
        <v>692</v>
      </c>
      <c r="B235" s="51" t="s">
        <v>693</v>
      </c>
      <c r="C235" s="51" t="s">
        <v>232</v>
      </c>
      <c r="D235" s="51">
        <v>46</v>
      </c>
      <c r="E235" s="58">
        <v>45284</v>
      </c>
      <c r="F235" s="58">
        <v>45286</v>
      </c>
      <c r="G235" s="67" t="s">
        <v>234</v>
      </c>
      <c r="H235" s="51" t="s">
        <v>65</v>
      </c>
      <c r="I235" s="58">
        <v>45309</v>
      </c>
      <c r="J235" s="67" t="s">
        <v>234</v>
      </c>
      <c r="K235" s="51">
        <v>250</v>
      </c>
      <c r="L235" s="73"/>
      <c r="M235" s="73"/>
      <c r="N235" s="73"/>
    </row>
    <row r="236" spans="1:14" ht="18.45" customHeight="1" x14ac:dyDescent="0.3">
      <c r="A236" s="51" t="s">
        <v>694</v>
      </c>
      <c r="B236" s="51" t="s">
        <v>695</v>
      </c>
      <c r="C236" s="51" t="s">
        <v>232</v>
      </c>
      <c r="D236" s="51">
        <v>50</v>
      </c>
      <c r="E236" s="58">
        <v>45284</v>
      </c>
      <c r="F236" s="58">
        <v>45286</v>
      </c>
      <c r="G236" s="67" t="s">
        <v>234</v>
      </c>
      <c r="H236" s="51" t="s">
        <v>65</v>
      </c>
      <c r="I236" s="58">
        <v>45309</v>
      </c>
      <c r="J236" s="67" t="s">
        <v>234</v>
      </c>
      <c r="K236" s="51">
        <v>100</v>
      </c>
      <c r="L236" s="73"/>
      <c r="M236" s="73"/>
      <c r="N236" s="73"/>
    </row>
    <row r="237" spans="1:14" ht="18.45" customHeight="1" x14ac:dyDescent="0.3">
      <c r="A237" s="51" t="s">
        <v>696</v>
      </c>
      <c r="B237" s="51" t="s">
        <v>697</v>
      </c>
      <c r="C237" s="51" t="s">
        <v>232</v>
      </c>
      <c r="D237" s="51">
        <v>57</v>
      </c>
      <c r="E237" s="58">
        <v>45272</v>
      </c>
      <c r="F237" s="58">
        <v>45274</v>
      </c>
      <c r="G237" s="67" t="s">
        <v>234</v>
      </c>
      <c r="H237" s="51" t="s">
        <v>65</v>
      </c>
      <c r="I237" s="58">
        <v>45309</v>
      </c>
      <c r="J237" s="67" t="s">
        <v>234</v>
      </c>
      <c r="K237" s="51">
        <v>350</v>
      </c>
      <c r="L237" s="73"/>
      <c r="M237" s="73"/>
      <c r="N237" s="73"/>
    </row>
    <row r="238" spans="1:14" ht="18.45" customHeight="1" x14ac:dyDescent="0.3">
      <c r="A238" s="51" t="s">
        <v>698</v>
      </c>
      <c r="B238" s="51" t="s">
        <v>699</v>
      </c>
      <c r="C238" s="51" t="s">
        <v>227</v>
      </c>
      <c r="D238" s="51">
        <v>31</v>
      </c>
      <c r="E238" s="58">
        <v>45303</v>
      </c>
      <c r="F238" s="58">
        <v>45303</v>
      </c>
      <c r="G238" s="67" t="s">
        <v>234</v>
      </c>
      <c r="H238" s="51" t="s">
        <v>65</v>
      </c>
      <c r="I238" s="58">
        <v>45309</v>
      </c>
      <c r="J238" s="67" t="s">
        <v>234</v>
      </c>
      <c r="K238" s="51">
        <v>150</v>
      </c>
      <c r="L238" s="73"/>
      <c r="M238" s="73"/>
      <c r="N238" s="73"/>
    </row>
    <row r="239" spans="1:14" ht="18.45" customHeight="1" x14ac:dyDescent="0.3">
      <c r="A239" s="51" t="s">
        <v>700</v>
      </c>
      <c r="B239" s="51" t="s">
        <v>701</v>
      </c>
      <c r="C239" s="51" t="s">
        <v>113</v>
      </c>
      <c r="D239" s="51">
        <v>81</v>
      </c>
      <c r="E239" s="58">
        <v>45306</v>
      </c>
      <c r="F239" s="58">
        <v>45307</v>
      </c>
      <c r="G239" s="67" t="s">
        <v>234</v>
      </c>
      <c r="H239" s="51" t="s">
        <v>65</v>
      </c>
      <c r="I239" s="58">
        <v>45309</v>
      </c>
      <c r="J239" s="67" t="s">
        <v>234</v>
      </c>
      <c r="K239" s="51">
        <v>150</v>
      </c>
      <c r="L239" s="73"/>
      <c r="M239" s="73"/>
      <c r="N239" s="73"/>
    </row>
    <row r="240" spans="1:14" ht="18.45" customHeight="1" x14ac:dyDescent="0.3">
      <c r="A240" s="51" t="s">
        <v>702</v>
      </c>
      <c r="B240" s="51" t="s">
        <v>703</v>
      </c>
      <c r="C240" s="51" t="s">
        <v>113</v>
      </c>
      <c r="D240" s="51">
        <v>73</v>
      </c>
      <c r="E240" s="58">
        <v>45303</v>
      </c>
      <c r="F240" s="58">
        <v>45303</v>
      </c>
      <c r="G240" s="67" t="s">
        <v>234</v>
      </c>
      <c r="H240" s="51" t="s">
        <v>65</v>
      </c>
      <c r="I240" s="58">
        <v>45309</v>
      </c>
      <c r="J240" s="67" t="s">
        <v>234</v>
      </c>
      <c r="K240" s="51">
        <v>200</v>
      </c>
      <c r="L240" s="73"/>
      <c r="M240" s="73"/>
      <c r="N240" s="73"/>
    </row>
    <row r="241" spans="1:14" ht="18.45" customHeight="1" x14ac:dyDescent="0.3">
      <c r="A241" s="51" t="s">
        <v>704</v>
      </c>
      <c r="B241" s="51" t="s">
        <v>705</v>
      </c>
      <c r="C241" s="51" t="s">
        <v>113</v>
      </c>
      <c r="D241" s="51">
        <v>122</v>
      </c>
      <c r="E241" s="58">
        <v>45303</v>
      </c>
      <c r="F241" s="58">
        <v>45306</v>
      </c>
      <c r="G241" s="67" t="s">
        <v>234</v>
      </c>
      <c r="H241" s="51" t="s">
        <v>65</v>
      </c>
      <c r="I241" s="58">
        <v>45309</v>
      </c>
      <c r="J241" s="67" t="s">
        <v>234</v>
      </c>
      <c r="K241" s="51">
        <v>200</v>
      </c>
      <c r="L241" s="73"/>
      <c r="M241" s="73"/>
      <c r="N241" s="73"/>
    </row>
    <row r="242" spans="1:14" ht="18.45" customHeight="1" x14ac:dyDescent="0.3">
      <c r="A242" s="76" t="s">
        <v>680</v>
      </c>
      <c r="B242" s="76" t="s">
        <v>681</v>
      </c>
      <c r="C242" s="48" t="s">
        <v>134</v>
      </c>
      <c r="D242" s="62">
        <v>8</v>
      </c>
      <c r="E242" s="88">
        <v>45296</v>
      </c>
      <c r="F242" s="88">
        <v>45297</v>
      </c>
      <c r="G242" s="67" t="s">
        <v>234</v>
      </c>
      <c r="H242" s="62" t="s">
        <v>65</v>
      </c>
      <c r="I242" s="86">
        <v>45310</v>
      </c>
      <c r="J242" s="67" t="s">
        <v>234</v>
      </c>
      <c r="K242" s="62">
        <v>350</v>
      </c>
      <c r="L242" s="73"/>
      <c r="M242" s="73"/>
      <c r="N242" s="73"/>
    </row>
    <row r="243" spans="1:14" ht="18.45" customHeight="1" x14ac:dyDescent="0.3">
      <c r="A243" s="48" t="s">
        <v>706</v>
      </c>
      <c r="B243" s="50" t="s">
        <v>707</v>
      </c>
      <c r="C243" s="48" t="s">
        <v>134</v>
      </c>
      <c r="D243" s="62">
        <v>23</v>
      </c>
      <c r="E243" s="54">
        <v>45302</v>
      </c>
      <c r="F243" s="54">
        <v>45306</v>
      </c>
      <c r="G243" s="67" t="s">
        <v>234</v>
      </c>
      <c r="H243" s="62" t="s">
        <v>65</v>
      </c>
      <c r="I243" s="86">
        <v>45310</v>
      </c>
      <c r="J243" s="67" t="s">
        <v>234</v>
      </c>
      <c r="K243" s="62">
        <v>350</v>
      </c>
      <c r="L243" s="73"/>
      <c r="M243" s="73"/>
      <c r="N243" s="73"/>
    </row>
    <row r="244" spans="1:14" ht="18.45" customHeight="1" x14ac:dyDescent="0.3">
      <c r="A244" s="76" t="s">
        <v>708</v>
      </c>
      <c r="B244" s="76" t="s">
        <v>709</v>
      </c>
      <c r="C244" s="76" t="s">
        <v>92</v>
      </c>
      <c r="D244" s="62">
        <v>72</v>
      </c>
      <c r="E244" s="88">
        <v>45308</v>
      </c>
      <c r="F244" s="88">
        <v>45308</v>
      </c>
      <c r="G244" s="67" t="s">
        <v>234</v>
      </c>
      <c r="H244" s="55" t="s">
        <v>65</v>
      </c>
      <c r="I244" s="86">
        <v>45310</v>
      </c>
      <c r="J244" s="67" t="s">
        <v>234</v>
      </c>
      <c r="K244" s="62">
        <v>150</v>
      </c>
      <c r="L244" s="73"/>
      <c r="M244" s="73"/>
      <c r="N244" s="73"/>
    </row>
    <row r="245" spans="1:14" ht="18.45" customHeight="1" x14ac:dyDescent="0.3">
      <c r="A245" s="76" t="s">
        <v>710</v>
      </c>
      <c r="B245" s="76" t="s">
        <v>711</v>
      </c>
      <c r="C245" s="62" t="s">
        <v>2477</v>
      </c>
      <c r="D245" s="62">
        <v>88</v>
      </c>
      <c r="E245" s="88">
        <v>45302</v>
      </c>
      <c r="F245" s="88">
        <v>45303</v>
      </c>
      <c r="G245" s="67" t="s">
        <v>234</v>
      </c>
      <c r="H245" s="62" t="s">
        <v>65</v>
      </c>
      <c r="I245" s="86">
        <v>45310</v>
      </c>
      <c r="J245" s="67" t="s">
        <v>234</v>
      </c>
      <c r="K245" s="62">
        <v>400</v>
      </c>
      <c r="L245" s="73"/>
      <c r="M245" s="73"/>
      <c r="N245" s="73"/>
    </row>
    <row r="246" spans="1:14" ht="18.45" customHeight="1" x14ac:dyDescent="0.3">
      <c r="A246" s="76" t="s">
        <v>712</v>
      </c>
      <c r="B246" s="76" t="s">
        <v>713</v>
      </c>
      <c r="C246" s="48" t="s">
        <v>134</v>
      </c>
      <c r="D246" s="62">
        <v>23</v>
      </c>
      <c r="E246" s="88">
        <v>45302</v>
      </c>
      <c r="F246" s="88">
        <v>45303</v>
      </c>
      <c r="G246" s="67" t="s">
        <v>234</v>
      </c>
      <c r="H246" s="62" t="s">
        <v>65</v>
      </c>
      <c r="I246" s="92">
        <v>45310</v>
      </c>
      <c r="J246" s="67" t="s">
        <v>234</v>
      </c>
      <c r="K246" s="62">
        <v>350</v>
      </c>
      <c r="L246" s="73"/>
      <c r="M246" s="73"/>
      <c r="N246" s="73"/>
    </row>
    <row r="247" spans="1:14" ht="18.45" customHeight="1" x14ac:dyDescent="0.3">
      <c r="A247" s="76" t="s">
        <v>714</v>
      </c>
      <c r="B247" s="76" t="s">
        <v>715</v>
      </c>
      <c r="C247" s="76" t="s">
        <v>135</v>
      </c>
      <c r="D247" s="62">
        <v>13</v>
      </c>
      <c r="E247" s="88">
        <v>45302</v>
      </c>
      <c r="F247" s="88">
        <v>45303</v>
      </c>
      <c r="G247" s="67" t="s">
        <v>234</v>
      </c>
      <c r="H247" s="55" t="s">
        <v>65</v>
      </c>
      <c r="I247" s="92">
        <v>45310</v>
      </c>
      <c r="J247" s="67" t="s">
        <v>234</v>
      </c>
      <c r="K247" s="62">
        <v>350</v>
      </c>
      <c r="L247" s="73"/>
      <c r="M247" s="73"/>
      <c r="N247" s="73"/>
    </row>
    <row r="248" spans="1:14" ht="18.45" customHeight="1" x14ac:dyDescent="0.3">
      <c r="A248" s="51" t="s">
        <v>716</v>
      </c>
      <c r="B248" s="51" t="s">
        <v>717</v>
      </c>
      <c r="C248" s="51" t="s">
        <v>217</v>
      </c>
      <c r="D248" s="84">
        <v>19</v>
      </c>
      <c r="E248" s="54">
        <v>45308</v>
      </c>
      <c r="F248" s="54">
        <v>45309</v>
      </c>
      <c r="G248" s="67" t="s">
        <v>234</v>
      </c>
      <c r="H248" s="51" t="s">
        <v>65</v>
      </c>
      <c r="I248" s="58">
        <v>45310</v>
      </c>
      <c r="J248" s="67" t="s">
        <v>234</v>
      </c>
      <c r="K248" s="51">
        <v>300</v>
      </c>
      <c r="L248" s="73"/>
      <c r="M248" s="73"/>
      <c r="N248" s="73"/>
    </row>
    <row r="249" spans="1:14" ht="18.45" customHeight="1" x14ac:dyDescent="0.3">
      <c r="A249" s="51" t="s">
        <v>718</v>
      </c>
      <c r="B249" s="51" t="s">
        <v>719</v>
      </c>
      <c r="C249" s="51" t="s">
        <v>223</v>
      </c>
      <c r="D249" s="84">
        <v>30</v>
      </c>
      <c r="E249" s="54">
        <v>45309</v>
      </c>
      <c r="F249" s="54">
        <v>45309</v>
      </c>
      <c r="G249" s="67" t="s">
        <v>234</v>
      </c>
      <c r="H249" s="51" t="s">
        <v>65</v>
      </c>
      <c r="I249" s="58">
        <v>45310</v>
      </c>
      <c r="J249" s="67" t="s">
        <v>234</v>
      </c>
      <c r="K249" s="51">
        <v>200</v>
      </c>
      <c r="L249" s="73"/>
      <c r="M249" s="73"/>
      <c r="N249" s="73"/>
    </row>
    <row r="250" spans="1:14" ht="18.45" customHeight="1" x14ac:dyDescent="0.3">
      <c r="A250" s="51" t="s">
        <v>720</v>
      </c>
      <c r="B250" s="51" t="s">
        <v>721</v>
      </c>
      <c r="C250" s="51" t="s">
        <v>227</v>
      </c>
      <c r="D250" s="51">
        <v>18</v>
      </c>
      <c r="E250" s="58">
        <v>45280</v>
      </c>
      <c r="F250" s="58">
        <v>45281</v>
      </c>
      <c r="G250" s="67" t="s">
        <v>234</v>
      </c>
      <c r="H250" s="51" t="s">
        <v>65</v>
      </c>
      <c r="I250" s="58">
        <v>45310</v>
      </c>
      <c r="J250" s="67" t="s">
        <v>234</v>
      </c>
      <c r="K250" s="51">
        <v>200</v>
      </c>
      <c r="L250" s="73"/>
      <c r="M250" s="73"/>
      <c r="N250" s="73"/>
    </row>
    <row r="251" spans="1:14" ht="18.45" customHeight="1" x14ac:dyDescent="0.3">
      <c r="A251" s="51" t="s">
        <v>722</v>
      </c>
      <c r="B251" s="51" t="s">
        <v>723</v>
      </c>
      <c r="C251" s="51" t="s">
        <v>227</v>
      </c>
      <c r="D251" s="51">
        <v>80</v>
      </c>
      <c r="E251" s="58">
        <v>45289</v>
      </c>
      <c r="F251" s="58">
        <v>45293</v>
      </c>
      <c r="G251" s="67" t="s">
        <v>234</v>
      </c>
      <c r="H251" s="51" t="s">
        <v>65</v>
      </c>
      <c r="I251" s="58">
        <v>45310</v>
      </c>
      <c r="J251" s="67" t="s">
        <v>234</v>
      </c>
      <c r="K251" s="51">
        <v>500</v>
      </c>
      <c r="L251" s="73"/>
      <c r="M251" s="73"/>
      <c r="N251" s="73"/>
    </row>
    <row r="252" spans="1:14" ht="18.45" customHeight="1" x14ac:dyDescent="0.3">
      <c r="A252" s="51" t="s">
        <v>724</v>
      </c>
      <c r="B252" s="51" t="s">
        <v>725</v>
      </c>
      <c r="C252" s="51" t="s">
        <v>232</v>
      </c>
      <c r="D252" s="51">
        <v>21</v>
      </c>
      <c r="E252" s="58">
        <v>45303</v>
      </c>
      <c r="F252" s="58">
        <v>45306</v>
      </c>
      <c r="G252" s="67" t="s">
        <v>234</v>
      </c>
      <c r="H252" s="51" t="s">
        <v>65</v>
      </c>
      <c r="I252" s="58">
        <v>45310</v>
      </c>
      <c r="J252" s="67" t="s">
        <v>234</v>
      </c>
      <c r="K252" s="51">
        <v>100</v>
      </c>
      <c r="L252" s="73"/>
      <c r="M252" s="73"/>
      <c r="N252" s="73"/>
    </row>
    <row r="253" spans="1:14" ht="18.45" customHeight="1" x14ac:dyDescent="0.3">
      <c r="A253" s="51" t="s">
        <v>726</v>
      </c>
      <c r="B253" s="51" t="s">
        <v>727</v>
      </c>
      <c r="C253" s="51" t="s">
        <v>227</v>
      </c>
      <c r="D253" s="51">
        <v>5</v>
      </c>
      <c r="E253" s="58">
        <v>45303</v>
      </c>
      <c r="F253" s="58">
        <v>45306</v>
      </c>
      <c r="G253" s="67" t="s">
        <v>234</v>
      </c>
      <c r="H253" s="51" t="s">
        <v>65</v>
      </c>
      <c r="I253" s="58">
        <v>45310</v>
      </c>
      <c r="J253" s="67" t="s">
        <v>234</v>
      </c>
      <c r="K253" s="51">
        <v>200</v>
      </c>
      <c r="L253" s="73"/>
      <c r="M253" s="73"/>
      <c r="N253" s="73"/>
    </row>
    <row r="254" spans="1:14" ht="18.45" customHeight="1" x14ac:dyDescent="0.3">
      <c r="A254" s="51" t="s">
        <v>728</v>
      </c>
      <c r="B254" s="51" t="s">
        <v>729</v>
      </c>
      <c r="C254" s="51" t="s">
        <v>232</v>
      </c>
      <c r="D254" s="51">
        <v>39</v>
      </c>
      <c r="E254" s="58">
        <v>45303</v>
      </c>
      <c r="F254" s="58">
        <v>45303</v>
      </c>
      <c r="G254" s="67" t="s">
        <v>234</v>
      </c>
      <c r="H254" s="51" t="s">
        <v>65</v>
      </c>
      <c r="I254" s="58">
        <v>45310</v>
      </c>
      <c r="J254" s="67" t="s">
        <v>234</v>
      </c>
      <c r="K254" s="51">
        <v>230</v>
      </c>
      <c r="L254" s="73"/>
      <c r="M254" s="73"/>
      <c r="N254" s="73"/>
    </row>
    <row r="255" spans="1:14" ht="18.45" customHeight="1" x14ac:dyDescent="0.3">
      <c r="A255" s="51" t="s">
        <v>730</v>
      </c>
      <c r="B255" s="51" t="s">
        <v>731</v>
      </c>
      <c r="C255" s="51" t="s">
        <v>232</v>
      </c>
      <c r="D255" s="51">
        <v>38</v>
      </c>
      <c r="E255" s="58">
        <v>45302</v>
      </c>
      <c r="F255" s="58">
        <v>45303</v>
      </c>
      <c r="G255" s="67" t="s">
        <v>234</v>
      </c>
      <c r="H255" s="51" t="s">
        <v>65</v>
      </c>
      <c r="I255" s="58">
        <v>45310</v>
      </c>
      <c r="J255" s="67" t="s">
        <v>234</v>
      </c>
      <c r="K255" s="51">
        <v>80</v>
      </c>
      <c r="L255" s="73"/>
      <c r="M255" s="73"/>
      <c r="N255" s="73"/>
    </row>
    <row r="256" spans="1:14" ht="18.45" customHeight="1" x14ac:dyDescent="0.3">
      <c r="A256" s="51" t="s">
        <v>732</v>
      </c>
      <c r="B256" s="51" t="s">
        <v>733</v>
      </c>
      <c r="C256" s="51" t="s">
        <v>227</v>
      </c>
      <c r="D256" s="51">
        <v>28</v>
      </c>
      <c r="E256" s="58">
        <v>45308</v>
      </c>
      <c r="F256" s="58">
        <v>45309</v>
      </c>
      <c r="G256" s="67" t="s">
        <v>234</v>
      </c>
      <c r="H256" s="51" t="s">
        <v>65</v>
      </c>
      <c r="I256" s="58">
        <v>45310</v>
      </c>
      <c r="J256" s="67" t="s">
        <v>234</v>
      </c>
      <c r="K256" s="51">
        <v>200</v>
      </c>
      <c r="L256" s="73"/>
      <c r="M256" s="73"/>
      <c r="N256" s="73"/>
    </row>
    <row r="257" spans="1:14" ht="18.45" customHeight="1" x14ac:dyDescent="0.3">
      <c r="A257" s="51" t="s">
        <v>734</v>
      </c>
      <c r="B257" s="51" t="s">
        <v>735</v>
      </c>
      <c r="C257" s="51" t="s">
        <v>227</v>
      </c>
      <c r="D257" s="51">
        <v>92</v>
      </c>
      <c r="E257" s="58">
        <v>45301</v>
      </c>
      <c r="F257" s="58">
        <v>45303</v>
      </c>
      <c r="G257" s="67" t="s">
        <v>234</v>
      </c>
      <c r="H257" s="51" t="s">
        <v>65</v>
      </c>
      <c r="I257" s="58">
        <v>45310</v>
      </c>
      <c r="J257" s="67" t="s">
        <v>234</v>
      </c>
      <c r="K257" s="51">
        <v>200</v>
      </c>
      <c r="L257" s="73"/>
      <c r="M257" s="73"/>
      <c r="N257" s="73"/>
    </row>
    <row r="258" spans="1:14" ht="18.45" customHeight="1" x14ac:dyDescent="0.3">
      <c r="A258" s="51" t="s">
        <v>736</v>
      </c>
      <c r="B258" s="51" t="s">
        <v>737</v>
      </c>
      <c r="C258" s="51" t="s">
        <v>228</v>
      </c>
      <c r="D258" s="51">
        <v>12</v>
      </c>
      <c r="E258" s="58">
        <v>45303</v>
      </c>
      <c r="F258" s="58">
        <v>45303</v>
      </c>
      <c r="G258" s="67" t="s">
        <v>234</v>
      </c>
      <c r="H258" s="51" t="s">
        <v>65</v>
      </c>
      <c r="I258" s="58">
        <v>45310</v>
      </c>
      <c r="J258" s="67" t="s">
        <v>234</v>
      </c>
      <c r="K258" s="51">
        <v>150</v>
      </c>
      <c r="L258" s="73"/>
      <c r="M258" s="73"/>
      <c r="N258" s="73"/>
    </row>
    <row r="259" spans="1:14" ht="18.45" customHeight="1" x14ac:dyDescent="0.3">
      <c r="A259" s="51" t="s">
        <v>738</v>
      </c>
      <c r="B259" s="51" t="s">
        <v>739</v>
      </c>
      <c r="C259" s="51" t="s">
        <v>232</v>
      </c>
      <c r="D259" s="51">
        <v>18</v>
      </c>
      <c r="E259" s="58">
        <v>45303</v>
      </c>
      <c r="F259" s="58">
        <v>45306</v>
      </c>
      <c r="G259" s="67" t="s">
        <v>234</v>
      </c>
      <c r="H259" s="51" t="s">
        <v>65</v>
      </c>
      <c r="I259" s="58">
        <v>45310</v>
      </c>
      <c r="J259" s="67" t="s">
        <v>234</v>
      </c>
      <c r="K259" s="51">
        <v>300</v>
      </c>
      <c r="L259" s="73"/>
      <c r="M259" s="73"/>
      <c r="N259" s="73"/>
    </row>
    <row r="260" spans="1:14" ht="18.45" customHeight="1" x14ac:dyDescent="0.3">
      <c r="A260" s="51" t="s">
        <v>740</v>
      </c>
      <c r="B260" s="51" t="s">
        <v>741</v>
      </c>
      <c r="C260" s="51" t="s">
        <v>228</v>
      </c>
      <c r="D260" s="51">
        <v>28</v>
      </c>
      <c r="E260" s="58">
        <v>45308</v>
      </c>
      <c r="F260" s="58">
        <v>45309</v>
      </c>
      <c r="G260" s="67" t="s">
        <v>234</v>
      </c>
      <c r="H260" s="51" t="s">
        <v>65</v>
      </c>
      <c r="I260" s="58">
        <v>45310</v>
      </c>
      <c r="J260" s="67" t="s">
        <v>234</v>
      </c>
      <c r="K260" s="51">
        <v>150</v>
      </c>
      <c r="L260" s="73"/>
      <c r="M260" s="73"/>
      <c r="N260" s="73"/>
    </row>
    <row r="261" spans="1:14" ht="18.45" customHeight="1" x14ac:dyDescent="0.3">
      <c r="A261" s="48" t="s">
        <v>742</v>
      </c>
      <c r="B261" s="50" t="s">
        <v>743</v>
      </c>
      <c r="C261" s="48" t="s">
        <v>135</v>
      </c>
      <c r="D261" s="62">
        <v>51</v>
      </c>
      <c r="E261" s="54">
        <v>45299</v>
      </c>
      <c r="F261" s="54">
        <v>45301</v>
      </c>
      <c r="G261" s="67" t="s">
        <v>234</v>
      </c>
      <c r="H261" s="62" t="s">
        <v>65</v>
      </c>
      <c r="I261" s="86">
        <v>45311</v>
      </c>
      <c r="J261" s="67" t="s">
        <v>234</v>
      </c>
      <c r="K261" s="62">
        <v>200</v>
      </c>
      <c r="L261" s="73"/>
      <c r="M261" s="73"/>
      <c r="N261" s="73"/>
    </row>
    <row r="262" spans="1:14" ht="18.45" customHeight="1" x14ac:dyDescent="0.3">
      <c r="A262" s="51" t="s">
        <v>744</v>
      </c>
      <c r="B262" s="51" t="s">
        <v>745</v>
      </c>
      <c r="C262" s="51" t="s">
        <v>223</v>
      </c>
      <c r="D262" s="84">
        <v>70</v>
      </c>
      <c r="E262" s="54">
        <v>45310</v>
      </c>
      <c r="F262" s="54">
        <v>45310</v>
      </c>
      <c r="G262" s="67" t="s">
        <v>234</v>
      </c>
      <c r="H262" s="51" t="s">
        <v>65</v>
      </c>
      <c r="I262" s="58">
        <v>45311</v>
      </c>
      <c r="J262" s="67" t="s">
        <v>234</v>
      </c>
      <c r="K262" s="51">
        <v>300</v>
      </c>
      <c r="L262" s="73"/>
      <c r="M262" s="73"/>
      <c r="N262" s="73"/>
    </row>
    <row r="263" spans="1:14" ht="18.45" customHeight="1" x14ac:dyDescent="0.3">
      <c r="A263" s="51" t="s">
        <v>746</v>
      </c>
      <c r="B263" s="51" t="s">
        <v>747</v>
      </c>
      <c r="C263" s="51" t="s">
        <v>212</v>
      </c>
      <c r="D263" s="84">
        <v>4</v>
      </c>
      <c r="E263" s="54">
        <v>45310</v>
      </c>
      <c r="F263" s="54">
        <v>45310</v>
      </c>
      <c r="G263" s="67" t="s">
        <v>234</v>
      </c>
      <c r="H263" s="51" t="s">
        <v>65</v>
      </c>
      <c r="I263" s="58">
        <v>45311</v>
      </c>
      <c r="J263" s="67" t="s">
        <v>234</v>
      </c>
      <c r="K263" s="51">
        <v>500</v>
      </c>
      <c r="L263" s="73"/>
      <c r="M263" s="73"/>
      <c r="N263" s="73"/>
    </row>
    <row r="264" spans="1:14" ht="18.45" customHeight="1" x14ac:dyDescent="0.3">
      <c r="A264" s="51" t="s">
        <v>748</v>
      </c>
      <c r="B264" s="51" t="s">
        <v>749</v>
      </c>
      <c r="C264" s="51" t="s">
        <v>113</v>
      </c>
      <c r="D264" s="51">
        <v>25</v>
      </c>
      <c r="E264" s="58">
        <v>45306</v>
      </c>
      <c r="F264" s="58">
        <v>45307</v>
      </c>
      <c r="G264" s="67" t="s">
        <v>234</v>
      </c>
      <c r="H264" s="51" t="s">
        <v>65</v>
      </c>
      <c r="I264" s="58">
        <v>45311</v>
      </c>
      <c r="J264" s="67" t="s">
        <v>234</v>
      </c>
      <c r="K264" s="51">
        <v>150</v>
      </c>
      <c r="L264" s="73"/>
      <c r="M264" s="73"/>
      <c r="N264" s="73"/>
    </row>
    <row r="265" spans="1:14" ht="18.45" customHeight="1" x14ac:dyDescent="0.3">
      <c r="A265" s="51" t="s">
        <v>750</v>
      </c>
      <c r="B265" s="51" t="s">
        <v>751</v>
      </c>
      <c r="C265" s="51" t="s">
        <v>227</v>
      </c>
      <c r="D265" s="51">
        <v>65</v>
      </c>
      <c r="E265" s="58">
        <v>45308</v>
      </c>
      <c r="F265" s="58">
        <v>45309</v>
      </c>
      <c r="G265" s="67" t="s">
        <v>234</v>
      </c>
      <c r="H265" s="51" t="s">
        <v>65</v>
      </c>
      <c r="I265" s="58">
        <v>45311</v>
      </c>
      <c r="J265" s="67" t="s">
        <v>234</v>
      </c>
      <c r="K265" s="51">
        <v>300</v>
      </c>
      <c r="L265" s="73"/>
      <c r="M265" s="73"/>
      <c r="N265" s="73"/>
    </row>
    <row r="266" spans="1:14" ht="18.45" customHeight="1" x14ac:dyDescent="0.3">
      <c r="A266" s="51" t="s">
        <v>752</v>
      </c>
      <c r="B266" s="51" t="s">
        <v>753</v>
      </c>
      <c r="C266" s="51" t="s">
        <v>113</v>
      </c>
      <c r="D266" s="51">
        <v>10</v>
      </c>
      <c r="E266" s="58">
        <v>45308</v>
      </c>
      <c r="F266" s="58">
        <v>45309</v>
      </c>
      <c r="G266" s="67" t="s">
        <v>234</v>
      </c>
      <c r="H266" s="51" t="s">
        <v>65</v>
      </c>
      <c r="I266" s="58">
        <v>45311</v>
      </c>
      <c r="J266" s="67" t="s">
        <v>234</v>
      </c>
      <c r="K266" s="51">
        <v>100</v>
      </c>
      <c r="L266" s="73"/>
      <c r="M266" s="73"/>
      <c r="N266" s="73"/>
    </row>
    <row r="267" spans="1:14" ht="18.45" customHeight="1" x14ac:dyDescent="0.3">
      <c r="A267" s="51" t="s">
        <v>754</v>
      </c>
      <c r="B267" s="51" t="s">
        <v>755</v>
      </c>
      <c r="C267" s="51" t="s">
        <v>113</v>
      </c>
      <c r="D267" s="51">
        <v>114</v>
      </c>
      <c r="E267" s="58">
        <v>45308</v>
      </c>
      <c r="F267" s="58">
        <v>45309</v>
      </c>
      <c r="G267" s="67" t="s">
        <v>234</v>
      </c>
      <c r="H267" s="51" t="s">
        <v>65</v>
      </c>
      <c r="I267" s="58">
        <v>45311</v>
      </c>
      <c r="J267" s="67" t="s">
        <v>234</v>
      </c>
      <c r="K267" s="51">
        <v>250</v>
      </c>
      <c r="L267" s="73"/>
      <c r="M267" s="73"/>
      <c r="N267" s="73"/>
    </row>
    <row r="268" spans="1:14" ht="18.45" customHeight="1" x14ac:dyDescent="0.3">
      <c r="A268" s="51" t="s">
        <v>756</v>
      </c>
      <c r="B268" s="51" t="s">
        <v>757</v>
      </c>
      <c r="C268" s="51" t="s">
        <v>113</v>
      </c>
      <c r="D268" s="51">
        <v>114</v>
      </c>
      <c r="E268" s="58">
        <v>45308</v>
      </c>
      <c r="F268" s="58">
        <v>45309</v>
      </c>
      <c r="G268" s="67" t="s">
        <v>234</v>
      </c>
      <c r="H268" s="51" t="s">
        <v>65</v>
      </c>
      <c r="I268" s="58">
        <v>45311</v>
      </c>
      <c r="J268" s="67" t="s">
        <v>234</v>
      </c>
      <c r="K268" s="51">
        <v>300</v>
      </c>
      <c r="L268" s="73"/>
      <c r="M268" s="73"/>
      <c r="N268" s="73"/>
    </row>
    <row r="269" spans="1:14" ht="18.45" customHeight="1" x14ac:dyDescent="0.3">
      <c r="A269" s="51" t="s">
        <v>758</v>
      </c>
      <c r="B269" s="51" t="s">
        <v>759</v>
      </c>
      <c r="C269" s="51" t="s">
        <v>113</v>
      </c>
      <c r="D269" s="51">
        <v>46</v>
      </c>
      <c r="E269" s="58">
        <v>45308</v>
      </c>
      <c r="F269" s="58">
        <v>45309</v>
      </c>
      <c r="G269" s="67" t="s">
        <v>234</v>
      </c>
      <c r="H269" s="51" t="s">
        <v>65</v>
      </c>
      <c r="I269" s="58">
        <v>45311</v>
      </c>
      <c r="J269" s="67" t="s">
        <v>234</v>
      </c>
      <c r="K269" s="51">
        <v>100</v>
      </c>
      <c r="L269" s="73"/>
      <c r="M269" s="73"/>
      <c r="N269" s="73"/>
    </row>
    <row r="270" spans="1:14" ht="18.45" customHeight="1" x14ac:dyDescent="0.3">
      <c r="A270" s="51" t="s">
        <v>760</v>
      </c>
      <c r="B270" s="51" t="s">
        <v>761</v>
      </c>
      <c r="C270" s="51" t="s">
        <v>113</v>
      </c>
      <c r="D270" s="51">
        <v>66</v>
      </c>
      <c r="E270" s="58">
        <v>45309</v>
      </c>
      <c r="F270" s="58">
        <v>45309</v>
      </c>
      <c r="G270" s="67" t="s">
        <v>234</v>
      </c>
      <c r="H270" s="51" t="s">
        <v>65</v>
      </c>
      <c r="I270" s="58">
        <v>45311</v>
      </c>
      <c r="J270" s="67" t="s">
        <v>234</v>
      </c>
      <c r="K270" s="51">
        <v>100</v>
      </c>
      <c r="L270" s="73"/>
      <c r="M270" s="73"/>
      <c r="N270" s="73"/>
    </row>
    <row r="271" spans="1:14" ht="18.45" customHeight="1" x14ac:dyDescent="0.3">
      <c r="A271" s="51" t="s">
        <v>762</v>
      </c>
      <c r="B271" s="51" t="s">
        <v>763</v>
      </c>
      <c r="C271" s="51" t="s">
        <v>232</v>
      </c>
      <c r="D271" s="51">
        <v>2</v>
      </c>
      <c r="E271" s="58">
        <v>45302</v>
      </c>
      <c r="F271" s="58">
        <v>45303</v>
      </c>
      <c r="G271" s="67" t="s">
        <v>234</v>
      </c>
      <c r="H271" s="51" t="s">
        <v>65</v>
      </c>
      <c r="I271" s="58">
        <v>45311</v>
      </c>
      <c r="J271" s="67" t="s">
        <v>234</v>
      </c>
      <c r="K271" s="51">
        <v>200</v>
      </c>
      <c r="L271" s="73"/>
      <c r="M271" s="73"/>
      <c r="N271" s="73"/>
    </row>
    <row r="272" spans="1:14" ht="18.45" customHeight="1" x14ac:dyDescent="0.3">
      <c r="A272" s="51" t="s">
        <v>764</v>
      </c>
      <c r="B272" s="51" t="s">
        <v>765</v>
      </c>
      <c r="C272" s="51" t="s">
        <v>227</v>
      </c>
      <c r="D272" s="51">
        <v>73</v>
      </c>
      <c r="E272" s="58">
        <v>45308</v>
      </c>
      <c r="F272" s="58">
        <v>45309</v>
      </c>
      <c r="G272" s="67" t="s">
        <v>234</v>
      </c>
      <c r="H272" s="51" t="s">
        <v>65</v>
      </c>
      <c r="I272" s="58">
        <v>45311</v>
      </c>
      <c r="J272" s="67" t="s">
        <v>234</v>
      </c>
      <c r="K272" s="51">
        <v>200</v>
      </c>
      <c r="L272" s="73"/>
      <c r="M272" s="73"/>
      <c r="N272" s="73"/>
    </row>
    <row r="273" spans="1:14" ht="18.45" customHeight="1" x14ac:dyDescent="0.3">
      <c r="A273" s="51" t="s">
        <v>766</v>
      </c>
      <c r="B273" s="51" t="s">
        <v>767</v>
      </c>
      <c r="C273" s="51" t="s">
        <v>113</v>
      </c>
      <c r="D273" s="51">
        <v>37</v>
      </c>
      <c r="E273" s="58">
        <v>45307</v>
      </c>
      <c r="F273" s="58">
        <v>45309</v>
      </c>
      <c r="G273" s="67" t="s">
        <v>234</v>
      </c>
      <c r="H273" s="51" t="s">
        <v>65</v>
      </c>
      <c r="I273" s="58">
        <v>45311</v>
      </c>
      <c r="J273" s="67" t="s">
        <v>234</v>
      </c>
      <c r="K273" s="51">
        <v>100</v>
      </c>
      <c r="L273" s="73"/>
      <c r="M273" s="73"/>
      <c r="N273" s="73"/>
    </row>
    <row r="274" spans="1:14" ht="18.45" customHeight="1" x14ac:dyDescent="0.3">
      <c r="A274" s="51" t="s">
        <v>768</v>
      </c>
      <c r="B274" s="51" t="s">
        <v>769</v>
      </c>
      <c r="C274" s="51" t="s">
        <v>113</v>
      </c>
      <c r="D274" s="51">
        <v>33</v>
      </c>
      <c r="E274" s="58">
        <v>45308</v>
      </c>
      <c r="F274" s="58">
        <v>45309</v>
      </c>
      <c r="G274" s="67" t="s">
        <v>234</v>
      </c>
      <c r="H274" s="51" t="s">
        <v>65</v>
      </c>
      <c r="I274" s="58">
        <v>45311</v>
      </c>
      <c r="J274" s="67" t="s">
        <v>234</v>
      </c>
      <c r="K274" s="51">
        <v>200</v>
      </c>
      <c r="L274" s="73"/>
      <c r="M274" s="73"/>
      <c r="N274" s="73"/>
    </row>
    <row r="275" spans="1:14" ht="18.45" customHeight="1" x14ac:dyDescent="0.3">
      <c r="A275" s="76" t="s">
        <v>770</v>
      </c>
      <c r="B275" s="76" t="s">
        <v>771</v>
      </c>
      <c r="C275" s="48" t="s">
        <v>134</v>
      </c>
      <c r="D275" s="62">
        <v>40</v>
      </c>
      <c r="E275" s="88">
        <v>45302</v>
      </c>
      <c r="F275" s="88">
        <v>45304</v>
      </c>
      <c r="G275" s="67" t="s">
        <v>234</v>
      </c>
      <c r="H275" s="62" t="s">
        <v>65</v>
      </c>
      <c r="I275" s="86">
        <v>45313</v>
      </c>
      <c r="J275" s="67" t="s">
        <v>234</v>
      </c>
      <c r="K275" s="62">
        <v>300</v>
      </c>
      <c r="L275" s="73"/>
      <c r="M275" s="73"/>
      <c r="N275" s="73"/>
    </row>
    <row r="276" spans="1:14" ht="18.45" customHeight="1" x14ac:dyDescent="0.3">
      <c r="A276" s="48" t="s">
        <v>772</v>
      </c>
      <c r="B276" s="48" t="s">
        <v>773</v>
      </c>
      <c r="C276" s="62" t="s">
        <v>2488</v>
      </c>
      <c r="D276" s="62">
        <v>44</v>
      </c>
      <c r="E276" s="56">
        <v>45294</v>
      </c>
      <c r="F276" s="56">
        <v>45296</v>
      </c>
      <c r="G276" s="67" t="s">
        <v>234</v>
      </c>
      <c r="H276" s="55" t="s">
        <v>65</v>
      </c>
      <c r="I276" s="86">
        <v>45313</v>
      </c>
      <c r="J276" s="67" t="s">
        <v>234</v>
      </c>
      <c r="K276" s="62">
        <v>150</v>
      </c>
      <c r="L276" s="73"/>
      <c r="M276" s="73"/>
      <c r="N276" s="73"/>
    </row>
    <row r="277" spans="1:14" ht="18.45" customHeight="1" x14ac:dyDescent="0.3">
      <c r="A277" s="62" t="s">
        <v>774</v>
      </c>
      <c r="B277" s="55" t="s">
        <v>775</v>
      </c>
      <c r="C277" s="62" t="s">
        <v>2477</v>
      </c>
      <c r="D277" s="55">
        <v>74</v>
      </c>
      <c r="E277" s="86">
        <v>45236</v>
      </c>
      <c r="F277" s="86">
        <v>45237</v>
      </c>
      <c r="G277" s="67" t="s">
        <v>234</v>
      </c>
      <c r="H277" s="62" t="s">
        <v>65</v>
      </c>
      <c r="I277" s="86">
        <v>45313</v>
      </c>
      <c r="J277" s="67" t="s">
        <v>234</v>
      </c>
      <c r="K277" s="55">
        <v>380</v>
      </c>
      <c r="L277" s="73"/>
      <c r="M277" s="73"/>
      <c r="N277" s="73"/>
    </row>
    <row r="278" spans="1:14" ht="18.45" customHeight="1" x14ac:dyDescent="0.3">
      <c r="A278" s="76" t="s">
        <v>776</v>
      </c>
      <c r="B278" s="76" t="s">
        <v>777</v>
      </c>
      <c r="C278" s="62" t="s">
        <v>2477</v>
      </c>
      <c r="D278" s="62">
        <v>88</v>
      </c>
      <c r="E278" s="88">
        <v>45308</v>
      </c>
      <c r="F278" s="88">
        <v>45308</v>
      </c>
      <c r="G278" s="67" t="s">
        <v>234</v>
      </c>
      <c r="H278" s="55" t="s">
        <v>65</v>
      </c>
      <c r="I278" s="86">
        <v>45313</v>
      </c>
      <c r="J278" s="67" t="s">
        <v>234</v>
      </c>
      <c r="K278" s="62">
        <v>200</v>
      </c>
      <c r="L278" s="73"/>
      <c r="M278" s="73"/>
      <c r="N278" s="73"/>
    </row>
    <row r="279" spans="1:14" ht="18.45" customHeight="1" x14ac:dyDescent="0.3">
      <c r="A279" s="48" t="s">
        <v>778</v>
      </c>
      <c r="B279" s="50" t="s">
        <v>779</v>
      </c>
      <c r="C279" s="48" t="s">
        <v>92</v>
      </c>
      <c r="D279" s="62">
        <v>17</v>
      </c>
      <c r="E279" s="54">
        <v>45307</v>
      </c>
      <c r="F279" s="54">
        <v>45309</v>
      </c>
      <c r="G279" s="67" t="s">
        <v>234</v>
      </c>
      <c r="H279" s="55" t="s">
        <v>65</v>
      </c>
      <c r="I279" s="92">
        <v>45313</v>
      </c>
      <c r="J279" s="67" t="s">
        <v>234</v>
      </c>
      <c r="K279" s="62">
        <v>50</v>
      </c>
      <c r="L279" s="73"/>
      <c r="M279" s="73"/>
      <c r="N279" s="73"/>
    </row>
    <row r="280" spans="1:14" ht="18.45" customHeight="1" x14ac:dyDescent="0.3">
      <c r="A280" s="51" t="s">
        <v>780</v>
      </c>
      <c r="B280" s="51" t="s">
        <v>781</v>
      </c>
      <c r="C280" s="51" t="s">
        <v>218</v>
      </c>
      <c r="D280" s="84">
        <v>24</v>
      </c>
      <c r="E280" s="54">
        <v>45309</v>
      </c>
      <c r="F280" s="54">
        <v>45309</v>
      </c>
      <c r="G280" s="67" t="s">
        <v>234</v>
      </c>
      <c r="H280" s="51" t="s">
        <v>65</v>
      </c>
      <c r="I280" s="58">
        <v>45313</v>
      </c>
      <c r="J280" s="67" t="s">
        <v>234</v>
      </c>
      <c r="K280" s="51">
        <v>200</v>
      </c>
      <c r="L280" s="73"/>
      <c r="M280" s="73"/>
      <c r="N280" s="73"/>
    </row>
    <row r="281" spans="1:14" ht="18.45" customHeight="1" x14ac:dyDescent="0.3">
      <c r="A281" s="51" t="s">
        <v>782</v>
      </c>
      <c r="B281" s="51" t="s">
        <v>783</v>
      </c>
      <c r="C281" s="51" t="s">
        <v>113</v>
      </c>
      <c r="D281" s="51">
        <v>73</v>
      </c>
      <c r="E281" s="58">
        <v>45296</v>
      </c>
      <c r="F281" s="58">
        <v>45309</v>
      </c>
      <c r="G281" s="67" t="s">
        <v>234</v>
      </c>
      <c r="H281" s="51" t="s">
        <v>65</v>
      </c>
      <c r="I281" s="58">
        <v>45313</v>
      </c>
      <c r="J281" s="67" t="s">
        <v>234</v>
      </c>
      <c r="K281" s="51">
        <v>50</v>
      </c>
      <c r="L281" s="73"/>
      <c r="M281" s="73"/>
      <c r="N281" s="73"/>
    </row>
    <row r="282" spans="1:14" ht="18.45" customHeight="1" x14ac:dyDescent="0.3">
      <c r="A282" s="51" t="s">
        <v>784</v>
      </c>
      <c r="B282" s="51" t="s">
        <v>785</v>
      </c>
      <c r="C282" s="51" t="s">
        <v>113</v>
      </c>
      <c r="D282" s="51">
        <v>9</v>
      </c>
      <c r="E282" s="58">
        <v>45308</v>
      </c>
      <c r="F282" s="58">
        <v>45309</v>
      </c>
      <c r="G282" s="67" t="s">
        <v>234</v>
      </c>
      <c r="H282" s="51" t="s">
        <v>65</v>
      </c>
      <c r="I282" s="58">
        <v>45313</v>
      </c>
      <c r="J282" s="67" t="s">
        <v>234</v>
      </c>
      <c r="K282" s="51">
        <v>200</v>
      </c>
      <c r="L282" s="73"/>
      <c r="M282" s="73"/>
      <c r="N282" s="73"/>
    </row>
    <row r="283" spans="1:14" ht="18.45" customHeight="1" x14ac:dyDescent="0.3">
      <c r="A283" s="51" t="s">
        <v>786</v>
      </c>
      <c r="B283" s="51" t="s">
        <v>787</v>
      </c>
      <c r="C283" s="51" t="s">
        <v>2480</v>
      </c>
      <c r="D283" s="51">
        <v>3</v>
      </c>
      <c r="E283" s="58">
        <v>45309</v>
      </c>
      <c r="F283" s="58">
        <v>45309</v>
      </c>
      <c r="G283" s="67" t="s">
        <v>234</v>
      </c>
      <c r="H283" s="51" t="s">
        <v>65</v>
      </c>
      <c r="I283" s="58">
        <v>45313</v>
      </c>
      <c r="J283" s="67" t="s">
        <v>234</v>
      </c>
      <c r="K283" s="51">
        <v>50</v>
      </c>
      <c r="L283" s="73"/>
      <c r="M283" s="73"/>
      <c r="N283" s="73"/>
    </row>
    <row r="284" spans="1:14" ht="18.45" customHeight="1" x14ac:dyDescent="0.3">
      <c r="A284" s="51" t="s">
        <v>788</v>
      </c>
      <c r="B284" s="51" t="s">
        <v>789</v>
      </c>
      <c r="C284" s="51" t="s">
        <v>113</v>
      </c>
      <c r="D284" s="51">
        <v>1</v>
      </c>
      <c r="E284" s="58">
        <v>45308</v>
      </c>
      <c r="F284" s="58">
        <v>45309</v>
      </c>
      <c r="G284" s="67" t="s">
        <v>234</v>
      </c>
      <c r="H284" s="51" t="s">
        <v>65</v>
      </c>
      <c r="I284" s="58">
        <v>45313</v>
      </c>
      <c r="J284" s="67" t="s">
        <v>234</v>
      </c>
      <c r="K284" s="51">
        <v>150</v>
      </c>
      <c r="L284" s="73"/>
      <c r="M284" s="73"/>
      <c r="N284" s="73"/>
    </row>
    <row r="285" spans="1:14" ht="18.45" customHeight="1" x14ac:dyDescent="0.3">
      <c r="A285" s="51" t="s">
        <v>790</v>
      </c>
      <c r="B285" s="51" t="s">
        <v>791</v>
      </c>
      <c r="C285" s="51" t="s">
        <v>232</v>
      </c>
      <c r="D285" s="51">
        <v>33</v>
      </c>
      <c r="E285" s="58">
        <v>45308</v>
      </c>
      <c r="F285" s="58">
        <v>45309</v>
      </c>
      <c r="G285" s="67" t="s">
        <v>234</v>
      </c>
      <c r="H285" s="51" t="s">
        <v>65</v>
      </c>
      <c r="I285" s="58">
        <v>45313</v>
      </c>
      <c r="J285" s="67" t="s">
        <v>234</v>
      </c>
      <c r="K285" s="51">
        <v>100</v>
      </c>
      <c r="L285" s="73"/>
      <c r="M285" s="73"/>
      <c r="N285" s="73"/>
    </row>
    <row r="286" spans="1:14" ht="18.45" customHeight="1" x14ac:dyDescent="0.3">
      <c r="A286" s="51" t="s">
        <v>792</v>
      </c>
      <c r="B286" s="51" t="s">
        <v>793</v>
      </c>
      <c r="C286" s="51" t="s">
        <v>113</v>
      </c>
      <c r="D286" s="51">
        <v>122</v>
      </c>
      <c r="E286" s="58">
        <v>45303</v>
      </c>
      <c r="F286" s="58">
        <v>45303</v>
      </c>
      <c r="G286" s="67" t="s">
        <v>234</v>
      </c>
      <c r="H286" s="51" t="s">
        <v>65</v>
      </c>
      <c r="I286" s="58">
        <v>45313</v>
      </c>
      <c r="J286" s="67" t="s">
        <v>234</v>
      </c>
      <c r="K286" s="51">
        <v>80</v>
      </c>
      <c r="L286" s="73"/>
      <c r="M286" s="73"/>
      <c r="N286" s="73"/>
    </row>
    <row r="287" spans="1:14" ht="18.45" customHeight="1" x14ac:dyDescent="0.3">
      <c r="A287" s="51" t="s">
        <v>794</v>
      </c>
      <c r="B287" s="51" t="s">
        <v>795</v>
      </c>
      <c r="C287" s="51" t="s">
        <v>232</v>
      </c>
      <c r="D287" s="51">
        <v>34</v>
      </c>
      <c r="E287" s="58">
        <v>45308</v>
      </c>
      <c r="F287" s="58">
        <v>45310</v>
      </c>
      <c r="G287" s="67" t="s">
        <v>234</v>
      </c>
      <c r="H287" s="51" t="s">
        <v>65</v>
      </c>
      <c r="I287" s="58">
        <v>45313</v>
      </c>
      <c r="J287" s="67" t="s">
        <v>234</v>
      </c>
      <c r="K287" s="51">
        <v>100</v>
      </c>
      <c r="L287" s="73"/>
      <c r="M287" s="73"/>
      <c r="N287" s="73"/>
    </row>
    <row r="288" spans="1:14" ht="18.45" customHeight="1" x14ac:dyDescent="0.3">
      <c r="A288" s="51" t="s">
        <v>796</v>
      </c>
      <c r="B288" s="51" t="s">
        <v>797</v>
      </c>
      <c r="C288" s="51" t="s">
        <v>232</v>
      </c>
      <c r="D288" s="51">
        <v>25</v>
      </c>
      <c r="E288" s="58">
        <v>45310</v>
      </c>
      <c r="F288" s="58">
        <v>45310</v>
      </c>
      <c r="G288" s="67" t="s">
        <v>234</v>
      </c>
      <c r="H288" s="51" t="s">
        <v>65</v>
      </c>
      <c r="I288" s="58">
        <v>45313</v>
      </c>
      <c r="J288" s="67" t="s">
        <v>234</v>
      </c>
      <c r="K288" s="51">
        <v>250</v>
      </c>
      <c r="L288" s="73"/>
      <c r="M288" s="73"/>
      <c r="N288" s="73"/>
    </row>
    <row r="289" spans="1:14" ht="18.45" customHeight="1" x14ac:dyDescent="0.3">
      <c r="A289" s="51" t="s">
        <v>798</v>
      </c>
      <c r="B289" s="51" t="s">
        <v>799</v>
      </c>
      <c r="C289" s="51" t="s">
        <v>230</v>
      </c>
      <c r="D289" s="51">
        <v>6</v>
      </c>
      <c r="E289" s="58">
        <v>45308</v>
      </c>
      <c r="F289" s="58">
        <v>45309</v>
      </c>
      <c r="G289" s="67" t="s">
        <v>234</v>
      </c>
      <c r="H289" s="51" t="s">
        <v>65</v>
      </c>
      <c r="I289" s="58">
        <v>45313</v>
      </c>
      <c r="J289" s="67" t="s">
        <v>234</v>
      </c>
      <c r="K289" s="51">
        <v>400</v>
      </c>
      <c r="L289" s="73"/>
      <c r="M289" s="73"/>
      <c r="N289" s="73"/>
    </row>
    <row r="290" spans="1:14" ht="18.45" customHeight="1" x14ac:dyDescent="0.3">
      <c r="A290" s="48" t="s">
        <v>800</v>
      </c>
      <c r="B290" s="50" t="s">
        <v>801</v>
      </c>
      <c r="C290" s="48" t="s">
        <v>94</v>
      </c>
      <c r="D290" s="62">
        <v>77</v>
      </c>
      <c r="E290" s="54">
        <v>45267</v>
      </c>
      <c r="F290" s="54">
        <v>45269</v>
      </c>
      <c r="G290" s="67" t="s">
        <v>234</v>
      </c>
      <c r="H290" s="62" t="s">
        <v>65</v>
      </c>
      <c r="I290" s="86">
        <v>45314</v>
      </c>
      <c r="J290" s="67" t="s">
        <v>234</v>
      </c>
      <c r="K290" s="62">
        <v>500</v>
      </c>
      <c r="L290" s="73"/>
      <c r="M290" s="73"/>
      <c r="N290" s="73"/>
    </row>
    <row r="291" spans="1:14" ht="18.45" customHeight="1" x14ac:dyDescent="0.3">
      <c r="A291" s="48" t="s">
        <v>802</v>
      </c>
      <c r="B291" s="77" t="s">
        <v>803</v>
      </c>
      <c r="C291" s="48" t="s">
        <v>135</v>
      </c>
      <c r="D291" s="62">
        <v>55</v>
      </c>
      <c r="E291" s="54">
        <v>45307</v>
      </c>
      <c r="F291" s="54">
        <v>45309</v>
      </c>
      <c r="G291" s="67" t="s">
        <v>234</v>
      </c>
      <c r="H291" s="55" t="s">
        <v>65</v>
      </c>
      <c r="I291" s="86">
        <v>45314</v>
      </c>
      <c r="J291" s="67" t="s">
        <v>234</v>
      </c>
      <c r="K291" s="62">
        <v>300</v>
      </c>
      <c r="L291" s="73"/>
      <c r="M291" s="73"/>
      <c r="N291" s="73"/>
    </row>
    <row r="292" spans="1:14" ht="18.45" customHeight="1" x14ac:dyDescent="0.3">
      <c r="A292" s="76" t="s">
        <v>804</v>
      </c>
      <c r="B292" s="76" t="s">
        <v>805</v>
      </c>
      <c r="C292" s="76" t="s">
        <v>135</v>
      </c>
      <c r="D292" s="62">
        <v>63</v>
      </c>
      <c r="E292" s="88">
        <v>45307</v>
      </c>
      <c r="F292" s="88">
        <v>45308</v>
      </c>
      <c r="G292" s="67" t="s">
        <v>234</v>
      </c>
      <c r="H292" s="55" t="s">
        <v>65</v>
      </c>
      <c r="I292" s="86">
        <v>45314</v>
      </c>
      <c r="J292" s="67" t="s">
        <v>234</v>
      </c>
      <c r="K292" s="62">
        <v>300</v>
      </c>
      <c r="L292" s="73"/>
      <c r="M292" s="73"/>
      <c r="N292" s="73"/>
    </row>
    <row r="293" spans="1:14" ht="18.45" customHeight="1" x14ac:dyDescent="0.3">
      <c r="A293" s="48" t="s">
        <v>806</v>
      </c>
      <c r="B293" s="50" t="s">
        <v>807</v>
      </c>
      <c r="C293" s="62" t="s">
        <v>2488</v>
      </c>
      <c r="D293" s="62">
        <v>28</v>
      </c>
      <c r="E293" s="54">
        <v>45306</v>
      </c>
      <c r="F293" s="54">
        <v>45307</v>
      </c>
      <c r="G293" s="67" t="s">
        <v>234</v>
      </c>
      <c r="H293" s="55" t="s">
        <v>65</v>
      </c>
      <c r="I293" s="86">
        <v>45314</v>
      </c>
      <c r="J293" s="67" t="s">
        <v>234</v>
      </c>
      <c r="K293" s="62">
        <v>250</v>
      </c>
      <c r="L293" s="73"/>
      <c r="M293" s="73"/>
      <c r="N293" s="73"/>
    </row>
    <row r="294" spans="1:14" ht="18.45" customHeight="1" x14ac:dyDescent="0.3">
      <c r="A294" s="76" t="s">
        <v>808</v>
      </c>
      <c r="B294" s="76" t="s">
        <v>809</v>
      </c>
      <c r="C294" s="76" t="s">
        <v>135</v>
      </c>
      <c r="D294" s="62">
        <v>13</v>
      </c>
      <c r="E294" s="88">
        <v>45303</v>
      </c>
      <c r="F294" s="88">
        <v>45304</v>
      </c>
      <c r="G294" s="67" t="s">
        <v>234</v>
      </c>
      <c r="H294" s="55" t="s">
        <v>65</v>
      </c>
      <c r="I294" s="86">
        <v>45314</v>
      </c>
      <c r="J294" s="67" t="s">
        <v>234</v>
      </c>
      <c r="K294" s="62">
        <v>250</v>
      </c>
      <c r="L294" s="73"/>
      <c r="M294" s="73"/>
      <c r="N294" s="73"/>
    </row>
    <row r="295" spans="1:14" ht="18.45" customHeight="1" x14ac:dyDescent="0.3">
      <c r="A295" s="139" t="s">
        <v>810</v>
      </c>
      <c r="B295" s="50" t="s">
        <v>811</v>
      </c>
      <c r="C295" s="100" t="s">
        <v>92</v>
      </c>
      <c r="D295" s="62">
        <v>76</v>
      </c>
      <c r="E295" s="54">
        <v>44907</v>
      </c>
      <c r="F295" s="54">
        <v>45311</v>
      </c>
      <c r="G295" s="67" t="s">
        <v>234</v>
      </c>
      <c r="H295" s="55" t="s">
        <v>65</v>
      </c>
      <c r="I295" s="86">
        <v>45314</v>
      </c>
      <c r="J295" s="67" t="s">
        <v>234</v>
      </c>
      <c r="K295" s="62">
        <v>220</v>
      </c>
      <c r="L295" s="73"/>
      <c r="M295" s="73"/>
      <c r="N295" s="73"/>
    </row>
    <row r="296" spans="1:14" ht="18.45" customHeight="1" x14ac:dyDescent="0.3">
      <c r="A296" s="80" t="s">
        <v>812</v>
      </c>
      <c r="B296" s="78" t="s">
        <v>813</v>
      </c>
      <c r="C296" s="62" t="s">
        <v>2477</v>
      </c>
      <c r="D296" s="62">
        <v>23</v>
      </c>
      <c r="E296" s="91">
        <v>45189</v>
      </c>
      <c r="F296" s="91">
        <v>45306</v>
      </c>
      <c r="G296" s="67" t="s">
        <v>234</v>
      </c>
      <c r="H296" s="55" t="s">
        <v>65</v>
      </c>
      <c r="I296" s="86">
        <v>45314</v>
      </c>
      <c r="J296" s="67" t="s">
        <v>234</v>
      </c>
      <c r="K296" s="62">
        <v>200</v>
      </c>
      <c r="L296" s="73"/>
      <c r="M296" s="73"/>
      <c r="N296" s="73"/>
    </row>
    <row r="297" spans="1:14" ht="18.45" customHeight="1" x14ac:dyDescent="0.3">
      <c r="A297" s="51" t="s">
        <v>814</v>
      </c>
      <c r="B297" s="51" t="s">
        <v>815</v>
      </c>
      <c r="C297" s="51" t="s">
        <v>223</v>
      </c>
      <c r="D297" s="84">
        <v>19</v>
      </c>
      <c r="E297" s="54">
        <v>45293</v>
      </c>
      <c r="F297" s="54">
        <v>45313</v>
      </c>
      <c r="G297" s="67" t="s">
        <v>234</v>
      </c>
      <c r="H297" s="51" t="s">
        <v>65</v>
      </c>
      <c r="I297" s="58">
        <v>45314</v>
      </c>
      <c r="J297" s="67" t="s">
        <v>234</v>
      </c>
      <c r="K297" s="51">
        <v>500</v>
      </c>
      <c r="L297" s="73"/>
      <c r="M297" s="73"/>
      <c r="N297" s="73"/>
    </row>
    <row r="298" spans="1:14" ht="18.45" customHeight="1" x14ac:dyDescent="0.3">
      <c r="A298" s="51" t="s">
        <v>816</v>
      </c>
      <c r="B298" s="51" t="s">
        <v>817</v>
      </c>
      <c r="C298" s="56" t="s">
        <v>220</v>
      </c>
      <c r="D298" s="84">
        <v>12</v>
      </c>
      <c r="E298" s="54">
        <v>45291</v>
      </c>
      <c r="F298" s="54">
        <v>45293</v>
      </c>
      <c r="G298" s="67" t="s">
        <v>234</v>
      </c>
      <c r="H298" s="51" t="s">
        <v>65</v>
      </c>
      <c r="I298" s="58">
        <v>45314</v>
      </c>
      <c r="J298" s="67" t="s">
        <v>234</v>
      </c>
      <c r="K298" s="51">
        <v>200</v>
      </c>
      <c r="L298" s="73"/>
      <c r="M298" s="73"/>
      <c r="N298" s="73"/>
    </row>
    <row r="299" spans="1:14" ht="18.45" customHeight="1" x14ac:dyDescent="0.3">
      <c r="A299" s="51" t="s">
        <v>818</v>
      </c>
      <c r="B299" s="51" t="s">
        <v>819</v>
      </c>
      <c r="C299" s="51" t="s">
        <v>223</v>
      </c>
      <c r="D299" s="84">
        <v>6</v>
      </c>
      <c r="E299" s="54">
        <v>45313</v>
      </c>
      <c r="F299" s="54">
        <v>45314</v>
      </c>
      <c r="G299" s="67" t="s">
        <v>234</v>
      </c>
      <c r="H299" s="51" t="s">
        <v>65</v>
      </c>
      <c r="I299" s="58">
        <v>45314</v>
      </c>
      <c r="J299" s="67" t="s">
        <v>234</v>
      </c>
      <c r="K299" s="51">
        <v>300</v>
      </c>
      <c r="L299" s="73"/>
      <c r="M299" s="73"/>
      <c r="N299" s="73"/>
    </row>
    <row r="300" spans="1:14" ht="18.45" customHeight="1" x14ac:dyDescent="0.3">
      <c r="A300" s="51" t="s">
        <v>820</v>
      </c>
      <c r="B300" s="51" t="s">
        <v>821</v>
      </c>
      <c r="C300" s="51" t="s">
        <v>232</v>
      </c>
      <c r="D300" s="51">
        <v>14</v>
      </c>
      <c r="E300" s="58">
        <v>45301</v>
      </c>
      <c r="F300" s="58">
        <v>45303</v>
      </c>
      <c r="G300" s="67" t="s">
        <v>234</v>
      </c>
      <c r="H300" s="51" t="s">
        <v>65</v>
      </c>
      <c r="I300" s="58">
        <v>45314</v>
      </c>
      <c r="J300" s="67" t="s">
        <v>234</v>
      </c>
      <c r="K300" s="51">
        <v>250</v>
      </c>
      <c r="L300" s="73"/>
      <c r="M300" s="73"/>
      <c r="N300" s="73"/>
    </row>
    <row r="301" spans="1:14" ht="18.45" customHeight="1" x14ac:dyDescent="0.3">
      <c r="A301" s="51" t="s">
        <v>822</v>
      </c>
      <c r="B301" s="51" t="s">
        <v>823</v>
      </c>
      <c r="C301" s="51" t="s">
        <v>227</v>
      </c>
      <c r="D301" s="51">
        <v>76</v>
      </c>
      <c r="E301" s="58">
        <v>45308</v>
      </c>
      <c r="F301" s="58">
        <v>45309</v>
      </c>
      <c r="G301" s="67" t="s">
        <v>234</v>
      </c>
      <c r="H301" s="51" t="s">
        <v>65</v>
      </c>
      <c r="I301" s="58">
        <v>45314</v>
      </c>
      <c r="J301" s="67" t="s">
        <v>234</v>
      </c>
      <c r="K301" s="51">
        <v>150</v>
      </c>
      <c r="L301" s="73"/>
      <c r="M301" s="73"/>
      <c r="N301" s="73"/>
    </row>
    <row r="302" spans="1:14" ht="18.45" customHeight="1" x14ac:dyDescent="0.3">
      <c r="A302" s="51" t="s">
        <v>824</v>
      </c>
      <c r="B302" s="51" t="s">
        <v>825</v>
      </c>
      <c r="C302" s="51" t="s">
        <v>138</v>
      </c>
      <c r="D302" s="51">
        <v>34</v>
      </c>
      <c r="E302" s="58">
        <v>45310</v>
      </c>
      <c r="F302" s="58">
        <v>45310</v>
      </c>
      <c r="G302" s="67" t="s">
        <v>234</v>
      </c>
      <c r="H302" s="51" t="s">
        <v>65</v>
      </c>
      <c r="I302" s="58">
        <v>45314</v>
      </c>
      <c r="J302" s="67" t="s">
        <v>234</v>
      </c>
      <c r="K302" s="51">
        <v>50</v>
      </c>
      <c r="L302" s="73"/>
      <c r="M302" s="73"/>
      <c r="N302" s="73"/>
    </row>
    <row r="303" spans="1:14" ht="18.45" customHeight="1" x14ac:dyDescent="0.3">
      <c r="A303" s="51" t="s">
        <v>826</v>
      </c>
      <c r="B303" s="51" t="s">
        <v>827</v>
      </c>
      <c r="C303" s="51" t="s">
        <v>232</v>
      </c>
      <c r="D303" s="51">
        <v>53</v>
      </c>
      <c r="E303" s="58">
        <v>45310</v>
      </c>
      <c r="F303" s="58">
        <v>45310</v>
      </c>
      <c r="G303" s="67" t="s">
        <v>234</v>
      </c>
      <c r="H303" s="51" t="s">
        <v>65</v>
      </c>
      <c r="I303" s="58">
        <v>45314</v>
      </c>
      <c r="J303" s="67" t="s">
        <v>234</v>
      </c>
      <c r="K303" s="51">
        <v>400</v>
      </c>
      <c r="L303" s="73"/>
      <c r="M303" s="73"/>
      <c r="N303" s="73"/>
    </row>
    <row r="304" spans="1:14" ht="18.45" customHeight="1" x14ac:dyDescent="0.3">
      <c r="A304" s="51" t="s">
        <v>828</v>
      </c>
      <c r="B304" s="51" t="s">
        <v>829</v>
      </c>
      <c r="C304" s="51" t="s">
        <v>232</v>
      </c>
      <c r="D304" s="51">
        <v>26</v>
      </c>
      <c r="E304" s="58">
        <v>45309</v>
      </c>
      <c r="F304" s="58">
        <v>45309</v>
      </c>
      <c r="G304" s="67" t="s">
        <v>234</v>
      </c>
      <c r="H304" s="51" t="s">
        <v>65</v>
      </c>
      <c r="I304" s="58">
        <v>45314</v>
      </c>
      <c r="J304" s="67" t="s">
        <v>234</v>
      </c>
      <c r="K304" s="51">
        <v>200</v>
      </c>
      <c r="L304" s="73"/>
      <c r="M304" s="73"/>
      <c r="N304" s="73"/>
    </row>
    <row r="305" spans="1:14" ht="18.45" customHeight="1" x14ac:dyDescent="0.3">
      <c r="A305" s="51" t="s">
        <v>830</v>
      </c>
      <c r="B305" s="51" t="s">
        <v>831</v>
      </c>
      <c r="C305" s="51" t="s">
        <v>2480</v>
      </c>
      <c r="D305" s="51">
        <v>11</v>
      </c>
      <c r="E305" s="58">
        <v>45309</v>
      </c>
      <c r="F305" s="58">
        <v>45309</v>
      </c>
      <c r="G305" s="67" t="s">
        <v>234</v>
      </c>
      <c r="H305" s="51" t="s">
        <v>65</v>
      </c>
      <c r="I305" s="58">
        <v>45314</v>
      </c>
      <c r="J305" s="67" t="s">
        <v>234</v>
      </c>
      <c r="K305" s="51">
        <v>200</v>
      </c>
      <c r="L305" s="73"/>
      <c r="M305" s="73"/>
      <c r="N305" s="73"/>
    </row>
    <row r="306" spans="1:14" ht="18.45" customHeight="1" x14ac:dyDescent="0.3">
      <c r="A306" s="51" t="s">
        <v>832</v>
      </c>
      <c r="B306" s="51" t="s">
        <v>833</v>
      </c>
      <c r="C306" s="51" t="s">
        <v>232</v>
      </c>
      <c r="D306" s="51">
        <v>14</v>
      </c>
      <c r="E306" s="58">
        <v>45309</v>
      </c>
      <c r="F306" s="58">
        <v>45310</v>
      </c>
      <c r="G306" s="67" t="s">
        <v>234</v>
      </c>
      <c r="H306" s="51" t="s">
        <v>65</v>
      </c>
      <c r="I306" s="58">
        <v>45314</v>
      </c>
      <c r="J306" s="67" t="s">
        <v>234</v>
      </c>
      <c r="K306" s="51">
        <v>200</v>
      </c>
      <c r="L306" s="73"/>
      <c r="M306" s="73"/>
      <c r="N306" s="73"/>
    </row>
    <row r="307" spans="1:14" ht="18.45" customHeight="1" x14ac:dyDescent="0.3">
      <c r="A307" s="51" t="s">
        <v>834</v>
      </c>
      <c r="B307" s="51" t="s">
        <v>835</v>
      </c>
      <c r="C307" s="51" t="s">
        <v>228</v>
      </c>
      <c r="D307" s="51">
        <v>31</v>
      </c>
      <c r="E307" s="58">
        <v>45309</v>
      </c>
      <c r="F307" s="58">
        <v>45309</v>
      </c>
      <c r="G307" s="67" t="s">
        <v>234</v>
      </c>
      <c r="H307" s="51" t="s">
        <v>65</v>
      </c>
      <c r="I307" s="58">
        <v>45314</v>
      </c>
      <c r="J307" s="67" t="s">
        <v>234</v>
      </c>
      <c r="K307" s="51">
        <v>250</v>
      </c>
      <c r="L307" s="73"/>
      <c r="M307" s="73"/>
      <c r="N307" s="73"/>
    </row>
    <row r="308" spans="1:14" ht="18.45" customHeight="1" x14ac:dyDescent="0.3">
      <c r="A308" s="51" t="s">
        <v>836</v>
      </c>
      <c r="B308" s="51" t="s">
        <v>837</v>
      </c>
      <c r="C308" s="51" t="s">
        <v>229</v>
      </c>
      <c r="D308" s="51">
        <v>26</v>
      </c>
      <c r="E308" s="58">
        <v>45308</v>
      </c>
      <c r="F308" s="58">
        <v>45309</v>
      </c>
      <c r="G308" s="67" t="s">
        <v>234</v>
      </c>
      <c r="H308" s="51" t="s">
        <v>65</v>
      </c>
      <c r="I308" s="58">
        <v>45314</v>
      </c>
      <c r="J308" s="67" t="s">
        <v>234</v>
      </c>
      <c r="K308" s="51">
        <v>200</v>
      </c>
      <c r="L308" s="73"/>
      <c r="M308" s="73"/>
      <c r="N308" s="73"/>
    </row>
    <row r="309" spans="1:14" ht="18.45" customHeight="1" x14ac:dyDescent="0.3">
      <c r="A309" s="51" t="s">
        <v>838</v>
      </c>
      <c r="B309" s="51" t="s">
        <v>839</v>
      </c>
      <c r="C309" s="51" t="s">
        <v>229</v>
      </c>
      <c r="D309" s="51">
        <v>23</v>
      </c>
      <c r="E309" s="58">
        <v>45303</v>
      </c>
      <c r="F309" s="58">
        <v>45303</v>
      </c>
      <c r="G309" s="67" t="s">
        <v>234</v>
      </c>
      <c r="H309" s="51" t="s">
        <v>65</v>
      </c>
      <c r="I309" s="58">
        <v>45314</v>
      </c>
      <c r="J309" s="67" t="s">
        <v>234</v>
      </c>
      <c r="K309" s="51">
        <v>50</v>
      </c>
      <c r="L309" s="73"/>
      <c r="M309" s="73"/>
      <c r="N309" s="73"/>
    </row>
    <row r="310" spans="1:14" ht="18.45" customHeight="1" x14ac:dyDescent="0.3">
      <c r="A310" s="51" t="s">
        <v>840</v>
      </c>
      <c r="B310" s="51" t="s">
        <v>841</v>
      </c>
      <c r="C310" s="51" t="s">
        <v>227</v>
      </c>
      <c r="D310" s="51">
        <v>54</v>
      </c>
      <c r="E310" s="58">
        <v>45302</v>
      </c>
      <c r="F310" s="58">
        <v>45303</v>
      </c>
      <c r="G310" s="67" t="s">
        <v>234</v>
      </c>
      <c r="H310" s="51" t="s">
        <v>65</v>
      </c>
      <c r="I310" s="58">
        <v>45314</v>
      </c>
      <c r="J310" s="67" t="s">
        <v>234</v>
      </c>
      <c r="K310" s="51">
        <v>200</v>
      </c>
      <c r="L310" s="73"/>
      <c r="M310" s="73"/>
      <c r="N310" s="73"/>
    </row>
    <row r="311" spans="1:14" ht="18.45" customHeight="1" x14ac:dyDescent="0.3">
      <c r="A311" s="51" t="s">
        <v>842</v>
      </c>
      <c r="B311" s="51" t="s">
        <v>843</v>
      </c>
      <c r="C311" s="51" t="s">
        <v>229</v>
      </c>
      <c r="D311" s="51">
        <v>20</v>
      </c>
      <c r="E311" s="58">
        <v>45309</v>
      </c>
      <c r="F311" s="58">
        <v>45309</v>
      </c>
      <c r="G311" s="67" t="s">
        <v>234</v>
      </c>
      <c r="H311" s="51" t="s">
        <v>65</v>
      </c>
      <c r="I311" s="58">
        <v>45314</v>
      </c>
      <c r="J311" s="67" t="s">
        <v>234</v>
      </c>
      <c r="K311" s="51">
        <v>300</v>
      </c>
      <c r="L311" s="73"/>
      <c r="M311" s="73"/>
      <c r="N311" s="73"/>
    </row>
    <row r="312" spans="1:14" ht="18.45" customHeight="1" x14ac:dyDescent="0.3">
      <c r="A312" s="48" t="s">
        <v>844</v>
      </c>
      <c r="B312" s="50" t="s">
        <v>845</v>
      </c>
      <c r="C312" s="62" t="s">
        <v>136</v>
      </c>
      <c r="D312" s="62">
        <v>28</v>
      </c>
      <c r="E312" s="54">
        <v>45308</v>
      </c>
      <c r="F312" s="54">
        <v>45309</v>
      </c>
      <c r="G312" s="67" t="s">
        <v>234</v>
      </c>
      <c r="H312" s="55" t="s">
        <v>65</v>
      </c>
      <c r="I312" s="86">
        <v>45315</v>
      </c>
      <c r="J312" s="67" t="s">
        <v>234</v>
      </c>
      <c r="K312" s="62">
        <v>150</v>
      </c>
      <c r="L312" s="73"/>
      <c r="M312" s="73"/>
      <c r="N312" s="73"/>
    </row>
    <row r="313" spans="1:14" ht="18.45" customHeight="1" x14ac:dyDescent="0.3">
      <c r="A313" s="76" t="s">
        <v>846</v>
      </c>
      <c r="B313" s="76" t="s">
        <v>847</v>
      </c>
      <c r="C313" s="76" t="s">
        <v>135</v>
      </c>
      <c r="D313" s="62">
        <v>12</v>
      </c>
      <c r="E313" s="88">
        <v>45302</v>
      </c>
      <c r="F313" s="88">
        <v>45303</v>
      </c>
      <c r="G313" s="67" t="s">
        <v>234</v>
      </c>
      <c r="H313" s="55" t="s">
        <v>65</v>
      </c>
      <c r="I313" s="86">
        <v>45315</v>
      </c>
      <c r="J313" s="67" t="s">
        <v>234</v>
      </c>
      <c r="K313" s="62">
        <v>380</v>
      </c>
      <c r="L313" s="73"/>
      <c r="M313" s="73"/>
      <c r="N313" s="73"/>
    </row>
    <row r="314" spans="1:14" ht="18.45" customHeight="1" x14ac:dyDescent="0.3">
      <c r="A314" s="48" t="s">
        <v>848</v>
      </c>
      <c r="B314" s="50" t="s">
        <v>849</v>
      </c>
      <c r="C314" s="48" t="s">
        <v>135</v>
      </c>
      <c r="D314" s="62">
        <v>63</v>
      </c>
      <c r="E314" s="54">
        <v>45303</v>
      </c>
      <c r="F314" s="54">
        <v>45307</v>
      </c>
      <c r="G314" s="67" t="s">
        <v>234</v>
      </c>
      <c r="H314" s="55" t="s">
        <v>65</v>
      </c>
      <c r="I314" s="86">
        <v>45315</v>
      </c>
      <c r="J314" s="67" t="s">
        <v>234</v>
      </c>
      <c r="K314" s="62">
        <v>350</v>
      </c>
      <c r="L314" s="73"/>
      <c r="M314" s="73"/>
      <c r="N314" s="73"/>
    </row>
    <row r="315" spans="1:14" ht="18.45" customHeight="1" x14ac:dyDescent="0.3">
      <c r="A315" s="99" t="s">
        <v>850</v>
      </c>
      <c r="B315" s="75" t="s">
        <v>851</v>
      </c>
      <c r="C315" s="99" t="s">
        <v>92</v>
      </c>
      <c r="D315" s="71">
        <v>64</v>
      </c>
      <c r="E315" s="85">
        <v>45313</v>
      </c>
      <c r="F315" s="85">
        <v>45313</v>
      </c>
      <c r="G315" s="67" t="s">
        <v>234</v>
      </c>
      <c r="H315" s="55" t="s">
        <v>65</v>
      </c>
      <c r="I315" s="86">
        <v>45315</v>
      </c>
      <c r="J315" s="67" t="s">
        <v>234</v>
      </c>
      <c r="K315" s="62">
        <v>150</v>
      </c>
      <c r="L315" s="73"/>
      <c r="M315" s="73"/>
      <c r="N315" s="73"/>
    </row>
    <row r="316" spans="1:14" ht="18.45" customHeight="1" x14ac:dyDescent="0.3">
      <c r="A316" s="99" t="s">
        <v>852</v>
      </c>
      <c r="B316" s="75" t="s">
        <v>853</v>
      </c>
      <c r="C316" s="99" t="s">
        <v>120</v>
      </c>
      <c r="D316" s="71">
        <v>75</v>
      </c>
      <c r="E316" s="85">
        <v>45313</v>
      </c>
      <c r="F316" s="85">
        <v>45313</v>
      </c>
      <c r="G316" s="67" t="s">
        <v>234</v>
      </c>
      <c r="H316" s="55" t="s">
        <v>65</v>
      </c>
      <c r="I316" s="86">
        <v>45315</v>
      </c>
      <c r="J316" s="67" t="s">
        <v>234</v>
      </c>
      <c r="K316" s="62">
        <v>150</v>
      </c>
      <c r="L316" s="73"/>
      <c r="M316" s="73"/>
      <c r="N316" s="73"/>
    </row>
    <row r="317" spans="1:14" ht="18.45" customHeight="1" x14ac:dyDescent="0.3">
      <c r="A317" s="48" t="s">
        <v>854</v>
      </c>
      <c r="B317" s="48" t="s">
        <v>855</v>
      </c>
      <c r="C317" s="48" t="s">
        <v>120</v>
      </c>
      <c r="D317" s="62">
        <v>15</v>
      </c>
      <c r="E317" s="56">
        <v>45255</v>
      </c>
      <c r="F317" s="54">
        <v>45261</v>
      </c>
      <c r="G317" s="67" t="s">
        <v>234</v>
      </c>
      <c r="H317" s="62" t="s">
        <v>65</v>
      </c>
      <c r="I317" s="86">
        <v>45315</v>
      </c>
      <c r="J317" s="67" t="s">
        <v>234</v>
      </c>
      <c r="K317" s="62">
        <v>100</v>
      </c>
      <c r="L317" s="73"/>
      <c r="M317" s="73"/>
      <c r="N317" s="73"/>
    </row>
    <row r="318" spans="1:14" ht="18.45" customHeight="1" x14ac:dyDescent="0.3">
      <c r="A318" s="51" t="s">
        <v>856</v>
      </c>
      <c r="B318" s="51" t="s">
        <v>857</v>
      </c>
      <c r="C318" s="51" t="s">
        <v>223</v>
      </c>
      <c r="D318" s="84">
        <v>13</v>
      </c>
      <c r="E318" s="54">
        <v>45313</v>
      </c>
      <c r="F318" s="54">
        <v>45314</v>
      </c>
      <c r="G318" s="67" t="s">
        <v>234</v>
      </c>
      <c r="H318" s="51" t="s">
        <v>65</v>
      </c>
      <c r="I318" s="58">
        <v>45315</v>
      </c>
      <c r="J318" s="67" t="s">
        <v>234</v>
      </c>
      <c r="K318" s="51">
        <v>500</v>
      </c>
      <c r="L318" s="73"/>
      <c r="M318" s="73"/>
      <c r="N318" s="73"/>
    </row>
    <row r="319" spans="1:14" ht="18.45" customHeight="1" x14ac:dyDescent="0.3">
      <c r="A319" s="51" t="s">
        <v>858</v>
      </c>
      <c r="B319" s="51" t="s">
        <v>859</v>
      </c>
      <c r="C319" s="51" t="s">
        <v>223</v>
      </c>
      <c r="D319" s="84">
        <v>1</v>
      </c>
      <c r="E319" s="54">
        <v>45314</v>
      </c>
      <c r="F319" s="54">
        <v>45314</v>
      </c>
      <c r="G319" s="67" t="s">
        <v>234</v>
      </c>
      <c r="H319" s="51" t="s">
        <v>65</v>
      </c>
      <c r="I319" s="58">
        <v>45315</v>
      </c>
      <c r="J319" s="67" t="s">
        <v>234</v>
      </c>
      <c r="K319" s="51">
        <v>200</v>
      </c>
      <c r="L319" s="73"/>
      <c r="M319" s="73"/>
      <c r="N319" s="73"/>
    </row>
    <row r="320" spans="1:14" ht="18.45" customHeight="1" x14ac:dyDescent="0.3">
      <c r="A320" s="51" t="s">
        <v>860</v>
      </c>
      <c r="B320" s="51" t="s">
        <v>861</v>
      </c>
      <c r="C320" s="51" t="s">
        <v>223</v>
      </c>
      <c r="D320" s="84">
        <v>78</v>
      </c>
      <c r="E320" s="54">
        <v>45313</v>
      </c>
      <c r="F320" s="54">
        <v>45315</v>
      </c>
      <c r="G320" s="67" t="s">
        <v>234</v>
      </c>
      <c r="H320" s="51" t="s">
        <v>65</v>
      </c>
      <c r="I320" s="58">
        <v>45315</v>
      </c>
      <c r="J320" s="67" t="s">
        <v>234</v>
      </c>
      <c r="K320" s="51">
        <v>200</v>
      </c>
      <c r="L320" s="73"/>
      <c r="M320" s="73"/>
      <c r="N320" s="73"/>
    </row>
    <row r="321" spans="1:14" ht="18.45" customHeight="1" x14ac:dyDescent="0.3">
      <c r="A321" s="51" t="s">
        <v>862</v>
      </c>
      <c r="B321" s="51" t="s">
        <v>863</v>
      </c>
      <c r="C321" s="51" t="s">
        <v>223</v>
      </c>
      <c r="D321" s="84">
        <v>78</v>
      </c>
      <c r="E321" s="54">
        <v>45313</v>
      </c>
      <c r="F321" s="54">
        <v>45315</v>
      </c>
      <c r="G321" s="67" t="s">
        <v>234</v>
      </c>
      <c r="H321" s="51" t="s">
        <v>65</v>
      </c>
      <c r="I321" s="58">
        <v>45315</v>
      </c>
      <c r="J321" s="67" t="s">
        <v>234</v>
      </c>
      <c r="K321" s="51">
        <v>200</v>
      </c>
      <c r="L321" s="73"/>
      <c r="M321" s="73"/>
      <c r="N321" s="73"/>
    </row>
    <row r="322" spans="1:14" ht="18.45" customHeight="1" x14ac:dyDescent="0.3">
      <c r="A322" s="51" t="s">
        <v>864</v>
      </c>
      <c r="B322" s="51" t="s">
        <v>865</v>
      </c>
      <c r="C322" s="51" t="s">
        <v>217</v>
      </c>
      <c r="D322" s="84">
        <v>19</v>
      </c>
      <c r="E322" s="54">
        <v>45313</v>
      </c>
      <c r="F322" s="54">
        <v>45315</v>
      </c>
      <c r="G322" s="67" t="s">
        <v>234</v>
      </c>
      <c r="H322" s="51" t="s">
        <v>65</v>
      </c>
      <c r="I322" s="58">
        <v>45315</v>
      </c>
      <c r="J322" s="67" t="s">
        <v>234</v>
      </c>
      <c r="K322" s="51">
        <v>300</v>
      </c>
      <c r="L322" s="73"/>
      <c r="M322" s="73"/>
      <c r="N322" s="73"/>
    </row>
    <row r="323" spans="1:14" ht="18.45" customHeight="1" x14ac:dyDescent="0.3">
      <c r="A323" s="51" t="s">
        <v>866</v>
      </c>
      <c r="B323" s="51" t="s">
        <v>867</v>
      </c>
      <c r="C323" s="51" t="s">
        <v>232</v>
      </c>
      <c r="D323" s="51">
        <v>53</v>
      </c>
      <c r="E323" s="58">
        <v>45304</v>
      </c>
      <c r="F323" s="58">
        <v>45306</v>
      </c>
      <c r="G323" s="67" t="s">
        <v>234</v>
      </c>
      <c r="H323" s="51" t="s">
        <v>65</v>
      </c>
      <c r="I323" s="58">
        <v>45315</v>
      </c>
      <c r="J323" s="67" t="s">
        <v>234</v>
      </c>
      <c r="K323" s="51">
        <v>400</v>
      </c>
      <c r="L323" s="73"/>
      <c r="M323" s="73"/>
      <c r="N323" s="73"/>
    </row>
    <row r="324" spans="1:14" ht="18.45" customHeight="1" x14ac:dyDescent="0.3">
      <c r="A324" s="51" t="s">
        <v>868</v>
      </c>
      <c r="B324" s="51" t="s">
        <v>869</v>
      </c>
      <c r="C324" s="51" t="s">
        <v>232</v>
      </c>
      <c r="D324" s="51">
        <v>5</v>
      </c>
      <c r="E324" s="58">
        <v>45307</v>
      </c>
      <c r="F324" s="58">
        <v>45309</v>
      </c>
      <c r="G324" s="67" t="s">
        <v>234</v>
      </c>
      <c r="H324" s="51" t="s">
        <v>65</v>
      </c>
      <c r="I324" s="58">
        <v>45315</v>
      </c>
      <c r="J324" s="67" t="s">
        <v>234</v>
      </c>
      <c r="K324" s="51">
        <v>350</v>
      </c>
      <c r="L324" s="73"/>
      <c r="M324" s="73"/>
      <c r="N324" s="73"/>
    </row>
    <row r="325" spans="1:14" ht="18.45" customHeight="1" x14ac:dyDescent="0.3">
      <c r="A325" s="51" t="s">
        <v>870</v>
      </c>
      <c r="B325" s="51" t="s">
        <v>871</v>
      </c>
      <c r="C325" s="51" t="s">
        <v>113</v>
      </c>
      <c r="D325" s="51">
        <v>81</v>
      </c>
      <c r="E325" s="58">
        <v>45307</v>
      </c>
      <c r="F325" s="58">
        <v>45309</v>
      </c>
      <c r="G325" s="67" t="s">
        <v>234</v>
      </c>
      <c r="H325" s="51" t="s">
        <v>65</v>
      </c>
      <c r="I325" s="58">
        <v>45315</v>
      </c>
      <c r="J325" s="67" t="s">
        <v>234</v>
      </c>
      <c r="K325" s="51">
        <v>50</v>
      </c>
      <c r="L325" s="73"/>
      <c r="M325" s="73"/>
      <c r="N325" s="73"/>
    </row>
    <row r="326" spans="1:14" ht="18.45" customHeight="1" x14ac:dyDescent="0.3">
      <c r="A326" s="51" t="s">
        <v>872</v>
      </c>
      <c r="B326" s="51" t="s">
        <v>873</v>
      </c>
      <c r="C326" s="51" t="s">
        <v>227</v>
      </c>
      <c r="D326" s="51">
        <v>27</v>
      </c>
      <c r="E326" s="58">
        <v>45309</v>
      </c>
      <c r="F326" s="58">
        <v>45309</v>
      </c>
      <c r="G326" s="67" t="s">
        <v>234</v>
      </c>
      <c r="H326" s="51" t="s">
        <v>65</v>
      </c>
      <c r="I326" s="58">
        <v>45315</v>
      </c>
      <c r="J326" s="67" t="s">
        <v>234</v>
      </c>
      <c r="K326" s="51">
        <v>400</v>
      </c>
      <c r="L326" s="73"/>
      <c r="M326" s="73"/>
      <c r="N326" s="73"/>
    </row>
    <row r="327" spans="1:14" ht="18.45" customHeight="1" x14ac:dyDescent="0.3">
      <c r="A327" s="51" t="s">
        <v>874</v>
      </c>
      <c r="B327" s="51" t="s">
        <v>875</v>
      </c>
      <c r="C327" s="51" t="s">
        <v>227</v>
      </c>
      <c r="D327" s="51">
        <v>5</v>
      </c>
      <c r="E327" s="58">
        <v>45307</v>
      </c>
      <c r="F327" s="58">
        <v>45309</v>
      </c>
      <c r="G327" s="67" t="s">
        <v>234</v>
      </c>
      <c r="H327" s="51" t="s">
        <v>65</v>
      </c>
      <c r="I327" s="58">
        <v>45315</v>
      </c>
      <c r="J327" s="67" t="s">
        <v>234</v>
      </c>
      <c r="K327" s="51">
        <v>300</v>
      </c>
      <c r="L327" s="73"/>
      <c r="M327" s="73"/>
      <c r="N327" s="73"/>
    </row>
    <row r="328" spans="1:14" ht="18.45" customHeight="1" x14ac:dyDescent="0.3">
      <c r="A328" s="51" t="s">
        <v>876</v>
      </c>
      <c r="B328" s="51" t="s">
        <v>877</v>
      </c>
      <c r="C328" s="51" t="s">
        <v>229</v>
      </c>
      <c r="D328" s="51">
        <v>13</v>
      </c>
      <c r="E328" s="58">
        <v>45304</v>
      </c>
      <c r="F328" s="58">
        <v>45306</v>
      </c>
      <c r="G328" s="67" t="s">
        <v>234</v>
      </c>
      <c r="H328" s="51" t="s">
        <v>65</v>
      </c>
      <c r="I328" s="58">
        <v>45315</v>
      </c>
      <c r="J328" s="67" t="s">
        <v>234</v>
      </c>
      <c r="K328" s="51">
        <v>150</v>
      </c>
      <c r="L328" s="73"/>
      <c r="M328" s="73"/>
      <c r="N328" s="73"/>
    </row>
    <row r="329" spans="1:14" ht="18.45" customHeight="1" x14ac:dyDescent="0.3">
      <c r="A329" s="51" t="s">
        <v>878</v>
      </c>
      <c r="B329" s="51" t="s">
        <v>879</v>
      </c>
      <c r="C329" s="51" t="s">
        <v>227</v>
      </c>
      <c r="D329" s="51">
        <v>91</v>
      </c>
      <c r="E329" s="58">
        <v>45302</v>
      </c>
      <c r="F329" s="58">
        <v>45303</v>
      </c>
      <c r="G329" s="67" t="s">
        <v>234</v>
      </c>
      <c r="H329" s="51" t="s">
        <v>65</v>
      </c>
      <c r="I329" s="58">
        <v>45315</v>
      </c>
      <c r="J329" s="67" t="s">
        <v>234</v>
      </c>
      <c r="K329" s="51">
        <v>100</v>
      </c>
      <c r="L329" s="73"/>
      <c r="M329" s="73"/>
      <c r="N329" s="73"/>
    </row>
    <row r="330" spans="1:14" ht="18.45" customHeight="1" x14ac:dyDescent="0.3">
      <c r="A330" s="51" t="s">
        <v>880</v>
      </c>
      <c r="B330" s="51" t="s">
        <v>881</v>
      </c>
      <c r="C330" s="51" t="s">
        <v>227</v>
      </c>
      <c r="D330" s="51">
        <v>80</v>
      </c>
      <c r="E330" s="58">
        <v>45313</v>
      </c>
      <c r="F330" s="58">
        <v>45314</v>
      </c>
      <c r="G330" s="67" t="s">
        <v>234</v>
      </c>
      <c r="H330" s="51" t="s">
        <v>65</v>
      </c>
      <c r="I330" s="58">
        <v>45315</v>
      </c>
      <c r="J330" s="67" t="s">
        <v>234</v>
      </c>
      <c r="K330" s="51">
        <v>350</v>
      </c>
      <c r="L330" s="73"/>
      <c r="M330" s="73"/>
      <c r="N330" s="73"/>
    </row>
    <row r="331" spans="1:14" ht="18.45" customHeight="1" x14ac:dyDescent="0.3">
      <c r="A331" s="51" t="s">
        <v>882</v>
      </c>
      <c r="B331" s="51" t="s">
        <v>883</v>
      </c>
      <c r="C331" s="51" t="s">
        <v>227</v>
      </c>
      <c r="D331" s="51">
        <v>75</v>
      </c>
      <c r="E331" s="58">
        <v>45310</v>
      </c>
      <c r="F331" s="58">
        <v>45314</v>
      </c>
      <c r="G331" s="67" t="s">
        <v>234</v>
      </c>
      <c r="H331" s="51" t="s">
        <v>65</v>
      </c>
      <c r="I331" s="58">
        <v>45315</v>
      </c>
      <c r="J331" s="67" t="s">
        <v>234</v>
      </c>
      <c r="K331" s="51">
        <v>500</v>
      </c>
      <c r="L331" s="73"/>
      <c r="M331" s="73"/>
      <c r="N331" s="73"/>
    </row>
    <row r="332" spans="1:14" ht="18.45" customHeight="1" x14ac:dyDescent="0.3">
      <c r="A332" s="48" t="s">
        <v>884</v>
      </c>
      <c r="B332" s="50" t="s">
        <v>885</v>
      </c>
      <c r="C332" s="48" t="s">
        <v>2489</v>
      </c>
      <c r="D332" s="62">
        <v>41</v>
      </c>
      <c r="E332" s="54">
        <v>45310</v>
      </c>
      <c r="F332" s="54">
        <v>45314</v>
      </c>
      <c r="G332" s="67" t="s">
        <v>234</v>
      </c>
      <c r="H332" s="55" t="s">
        <v>65</v>
      </c>
      <c r="I332" s="86">
        <v>45316</v>
      </c>
      <c r="J332" s="67" t="s">
        <v>234</v>
      </c>
      <c r="K332" s="62">
        <v>400</v>
      </c>
      <c r="L332" s="73"/>
      <c r="M332" s="73"/>
      <c r="N332" s="73"/>
    </row>
    <row r="333" spans="1:14" ht="18.45" customHeight="1" x14ac:dyDescent="0.3">
      <c r="A333" s="48" t="s">
        <v>886</v>
      </c>
      <c r="B333" s="50" t="s">
        <v>887</v>
      </c>
      <c r="C333" s="48" t="s">
        <v>92</v>
      </c>
      <c r="D333" s="62">
        <v>38</v>
      </c>
      <c r="E333" s="54">
        <v>45305</v>
      </c>
      <c r="F333" s="54">
        <v>45306</v>
      </c>
      <c r="G333" s="67" t="s">
        <v>234</v>
      </c>
      <c r="H333" s="55" t="s">
        <v>65</v>
      </c>
      <c r="I333" s="86">
        <v>45316</v>
      </c>
      <c r="J333" s="67" t="s">
        <v>234</v>
      </c>
      <c r="K333" s="62">
        <v>100</v>
      </c>
      <c r="L333" s="73"/>
      <c r="M333" s="73"/>
      <c r="N333" s="73"/>
    </row>
    <row r="334" spans="1:14" ht="18.45" customHeight="1" x14ac:dyDescent="0.3">
      <c r="A334" s="48" t="s">
        <v>888</v>
      </c>
      <c r="B334" s="50" t="s">
        <v>889</v>
      </c>
      <c r="C334" s="48" t="s">
        <v>94</v>
      </c>
      <c r="D334" s="62">
        <v>78</v>
      </c>
      <c r="E334" s="54">
        <v>45313</v>
      </c>
      <c r="F334" s="54">
        <v>45314</v>
      </c>
      <c r="G334" s="67" t="s">
        <v>234</v>
      </c>
      <c r="H334" s="55" t="s">
        <v>65</v>
      </c>
      <c r="I334" s="86">
        <v>45316</v>
      </c>
      <c r="J334" s="67" t="s">
        <v>234</v>
      </c>
      <c r="K334" s="62">
        <v>200</v>
      </c>
      <c r="L334" s="73"/>
      <c r="M334" s="73"/>
      <c r="N334" s="73"/>
    </row>
    <row r="335" spans="1:14" ht="18.45" customHeight="1" x14ac:dyDescent="0.3">
      <c r="A335" s="48" t="s">
        <v>890</v>
      </c>
      <c r="B335" s="50" t="s">
        <v>891</v>
      </c>
      <c r="C335" s="48" t="s">
        <v>166</v>
      </c>
      <c r="D335" s="62">
        <v>21</v>
      </c>
      <c r="E335" s="54">
        <v>45313</v>
      </c>
      <c r="F335" s="54">
        <v>45314</v>
      </c>
      <c r="G335" s="67" t="s">
        <v>234</v>
      </c>
      <c r="H335" s="55" t="s">
        <v>65</v>
      </c>
      <c r="I335" s="86">
        <v>45316</v>
      </c>
      <c r="J335" s="67" t="s">
        <v>234</v>
      </c>
      <c r="K335" s="62">
        <v>100</v>
      </c>
      <c r="L335" s="73"/>
      <c r="M335" s="73"/>
      <c r="N335" s="73"/>
    </row>
    <row r="336" spans="1:14" ht="18.45" customHeight="1" x14ac:dyDescent="0.3">
      <c r="A336" s="48" t="s">
        <v>892</v>
      </c>
      <c r="B336" s="50" t="s">
        <v>893</v>
      </c>
      <c r="C336" s="62" t="s">
        <v>99</v>
      </c>
      <c r="D336" s="62">
        <v>78</v>
      </c>
      <c r="E336" s="54">
        <v>45308</v>
      </c>
      <c r="F336" s="54">
        <v>45309</v>
      </c>
      <c r="G336" s="67" t="s">
        <v>234</v>
      </c>
      <c r="H336" s="55" t="s">
        <v>65</v>
      </c>
      <c r="I336" s="86">
        <v>45316</v>
      </c>
      <c r="J336" s="67" t="s">
        <v>234</v>
      </c>
      <c r="K336" s="62">
        <v>300</v>
      </c>
      <c r="L336" s="73"/>
      <c r="M336" s="73"/>
      <c r="N336" s="73"/>
    </row>
    <row r="337" spans="1:14" ht="18.45" customHeight="1" x14ac:dyDescent="0.3">
      <c r="A337" s="48" t="s">
        <v>894</v>
      </c>
      <c r="B337" s="48" t="s">
        <v>895</v>
      </c>
      <c r="C337" s="48" t="s">
        <v>135</v>
      </c>
      <c r="D337" s="62">
        <v>12</v>
      </c>
      <c r="E337" s="56">
        <v>45310</v>
      </c>
      <c r="F337" s="56">
        <v>45315</v>
      </c>
      <c r="G337" s="67" t="s">
        <v>234</v>
      </c>
      <c r="H337" s="55" t="s">
        <v>65</v>
      </c>
      <c r="I337" s="86">
        <v>45316</v>
      </c>
      <c r="J337" s="67" t="s">
        <v>234</v>
      </c>
      <c r="K337" s="62">
        <v>200</v>
      </c>
      <c r="L337" s="73"/>
      <c r="M337" s="73"/>
      <c r="N337" s="73"/>
    </row>
    <row r="338" spans="1:14" ht="18.45" customHeight="1" x14ac:dyDescent="0.3">
      <c r="A338" s="48" t="s">
        <v>896</v>
      </c>
      <c r="B338" s="50" t="s">
        <v>897</v>
      </c>
      <c r="C338" s="48" t="s">
        <v>95</v>
      </c>
      <c r="D338" s="62">
        <v>14</v>
      </c>
      <c r="E338" s="54">
        <v>45285</v>
      </c>
      <c r="F338" s="54">
        <v>45287</v>
      </c>
      <c r="G338" s="67" t="s">
        <v>234</v>
      </c>
      <c r="H338" s="62" t="s">
        <v>65</v>
      </c>
      <c r="I338" s="86">
        <v>45316</v>
      </c>
      <c r="J338" s="67" t="s">
        <v>234</v>
      </c>
      <c r="K338" s="62">
        <v>300</v>
      </c>
      <c r="L338" s="73"/>
      <c r="M338" s="73"/>
      <c r="N338" s="73"/>
    </row>
    <row r="339" spans="1:14" ht="18.45" customHeight="1" x14ac:dyDescent="0.3">
      <c r="A339" s="51" t="s">
        <v>898</v>
      </c>
      <c r="B339" s="51" t="s">
        <v>899</v>
      </c>
      <c r="C339" s="51" t="s">
        <v>215</v>
      </c>
      <c r="D339" s="84">
        <v>1</v>
      </c>
      <c r="E339" s="54">
        <v>45313</v>
      </c>
      <c r="F339" s="54">
        <v>45315</v>
      </c>
      <c r="G339" s="67" t="s">
        <v>234</v>
      </c>
      <c r="H339" s="51" t="s">
        <v>65</v>
      </c>
      <c r="I339" s="58">
        <v>45316</v>
      </c>
      <c r="J339" s="67" t="s">
        <v>234</v>
      </c>
      <c r="K339" s="51">
        <v>200</v>
      </c>
      <c r="L339" s="73"/>
      <c r="M339" s="73"/>
      <c r="N339" s="73"/>
    </row>
    <row r="340" spans="1:14" ht="18.45" customHeight="1" x14ac:dyDescent="0.3">
      <c r="A340" s="51" t="s">
        <v>900</v>
      </c>
      <c r="B340" s="51" t="s">
        <v>901</v>
      </c>
      <c r="C340" s="51" t="s">
        <v>220</v>
      </c>
      <c r="D340" s="84">
        <v>76</v>
      </c>
      <c r="E340" s="54">
        <v>45313</v>
      </c>
      <c r="F340" s="54">
        <v>45315</v>
      </c>
      <c r="G340" s="67" t="s">
        <v>234</v>
      </c>
      <c r="H340" s="51" t="s">
        <v>65</v>
      </c>
      <c r="I340" s="58">
        <v>45316</v>
      </c>
      <c r="J340" s="67" t="s">
        <v>234</v>
      </c>
      <c r="K340" s="51">
        <v>200</v>
      </c>
      <c r="L340" s="73"/>
      <c r="M340" s="73"/>
      <c r="N340" s="73"/>
    </row>
    <row r="341" spans="1:14" ht="18.45" customHeight="1" x14ac:dyDescent="0.3">
      <c r="A341" s="51" t="s">
        <v>902</v>
      </c>
      <c r="B341" s="51" t="s">
        <v>903</v>
      </c>
      <c r="C341" s="51" t="s">
        <v>223</v>
      </c>
      <c r="D341" s="84">
        <v>19</v>
      </c>
      <c r="E341" s="54">
        <v>45314</v>
      </c>
      <c r="F341" s="54">
        <v>45316</v>
      </c>
      <c r="G341" s="67" t="s">
        <v>234</v>
      </c>
      <c r="H341" s="51" t="s">
        <v>65</v>
      </c>
      <c r="I341" s="58">
        <v>45316</v>
      </c>
      <c r="J341" s="67" t="s">
        <v>234</v>
      </c>
      <c r="K341" s="51">
        <v>500</v>
      </c>
      <c r="L341" s="73"/>
      <c r="M341" s="73"/>
      <c r="N341" s="73"/>
    </row>
    <row r="342" spans="1:14" ht="18.45" customHeight="1" x14ac:dyDescent="0.3">
      <c r="A342" s="51" t="s">
        <v>904</v>
      </c>
      <c r="B342" s="51" t="s">
        <v>905</v>
      </c>
      <c r="C342" s="51" t="s">
        <v>216</v>
      </c>
      <c r="D342" s="84">
        <v>19</v>
      </c>
      <c r="E342" s="54">
        <v>45303</v>
      </c>
      <c r="F342" s="54">
        <v>45303</v>
      </c>
      <c r="G342" s="67" t="s">
        <v>234</v>
      </c>
      <c r="H342" s="51" t="s">
        <v>65</v>
      </c>
      <c r="I342" s="58">
        <v>45316</v>
      </c>
      <c r="J342" s="67" t="s">
        <v>234</v>
      </c>
      <c r="K342" s="51">
        <v>500</v>
      </c>
      <c r="L342" s="73"/>
      <c r="M342" s="73"/>
      <c r="N342" s="73"/>
    </row>
    <row r="343" spans="1:14" ht="18.45" customHeight="1" x14ac:dyDescent="0.3">
      <c r="A343" s="51" t="s">
        <v>906</v>
      </c>
      <c r="B343" s="51" t="s">
        <v>907</v>
      </c>
      <c r="C343" s="51" t="s">
        <v>221</v>
      </c>
      <c r="D343" s="84">
        <v>67</v>
      </c>
      <c r="E343" s="54">
        <v>45314</v>
      </c>
      <c r="F343" s="54">
        <v>45316</v>
      </c>
      <c r="G343" s="67" t="s">
        <v>234</v>
      </c>
      <c r="H343" s="51" t="s">
        <v>65</v>
      </c>
      <c r="I343" s="58">
        <v>45316</v>
      </c>
      <c r="J343" s="67" t="s">
        <v>234</v>
      </c>
      <c r="K343" s="51">
        <v>200</v>
      </c>
      <c r="L343" s="73"/>
      <c r="M343" s="73"/>
      <c r="N343" s="73"/>
    </row>
    <row r="344" spans="1:14" ht="18.45" customHeight="1" x14ac:dyDescent="0.3">
      <c r="A344" s="51" t="s">
        <v>908</v>
      </c>
      <c r="B344" s="51" t="s">
        <v>909</v>
      </c>
      <c r="C344" s="51" t="s">
        <v>113</v>
      </c>
      <c r="D344" s="51">
        <v>102</v>
      </c>
      <c r="E344" s="58">
        <v>45314</v>
      </c>
      <c r="F344" s="58">
        <v>45315</v>
      </c>
      <c r="G344" s="67" t="s">
        <v>234</v>
      </c>
      <c r="H344" s="51" t="s">
        <v>65</v>
      </c>
      <c r="I344" s="58">
        <v>45316</v>
      </c>
      <c r="J344" s="67" t="s">
        <v>234</v>
      </c>
      <c r="K344" s="51">
        <v>50</v>
      </c>
      <c r="L344" s="73"/>
      <c r="M344" s="73"/>
      <c r="N344" s="73"/>
    </row>
    <row r="345" spans="1:14" ht="18.45" customHeight="1" x14ac:dyDescent="0.3">
      <c r="A345" s="51" t="s">
        <v>910</v>
      </c>
      <c r="B345" s="51" t="s">
        <v>911</v>
      </c>
      <c r="C345" s="51" t="s">
        <v>232</v>
      </c>
      <c r="D345" s="51">
        <v>7</v>
      </c>
      <c r="E345" s="58">
        <v>45314</v>
      </c>
      <c r="F345" s="58">
        <v>45315</v>
      </c>
      <c r="G345" s="67" t="s">
        <v>234</v>
      </c>
      <c r="H345" s="51" t="s">
        <v>65</v>
      </c>
      <c r="I345" s="58">
        <v>45316</v>
      </c>
      <c r="J345" s="67" t="s">
        <v>234</v>
      </c>
      <c r="K345" s="51">
        <v>250</v>
      </c>
      <c r="L345" s="73"/>
      <c r="M345" s="73"/>
      <c r="N345" s="73"/>
    </row>
    <row r="346" spans="1:14" ht="18.45" customHeight="1" x14ac:dyDescent="0.3">
      <c r="A346" s="51" t="s">
        <v>912</v>
      </c>
      <c r="B346" s="51" t="s">
        <v>913</v>
      </c>
      <c r="C346" s="51" t="s">
        <v>230</v>
      </c>
      <c r="D346" s="51">
        <v>14</v>
      </c>
      <c r="E346" s="58">
        <v>45310</v>
      </c>
      <c r="F346" s="58">
        <v>45315</v>
      </c>
      <c r="G346" s="67" t="s">
        <v>234</v>
      </c>
      <c r="H346" s="51" t="s">
        <v>65</v>
      </c>
      <c r="I346" s="58">
        <v>45316</v>
      </c>
      <c r="J346" s="67" t="s">
        <v>234</v>
      </c>
      <c r="K346" s="51">
        <v>100</v>
      </c>
      <c r="L346" s="73"/>
      <c r="M346" s="73"/>
      <c r="N346" s="73"/>
    </row>
    <row r="347" spans="1:14" ht="18.45" customHeight="1" x14ac:dyDescent="0.3">
      <c r="A347" s="51" t="s">
        <v>914</v>
      </c>
      <c r="B347" s="51" t="s">
        <v>915</v>
      </c>
      <c r="C347" s="51" t="s">
        <v>232</v>
      </c>
      <c r="D347" s="51">
        <v>37</v>
      </c>
      <c r="E347" s="58">
        <v>45313</v>
      </c>
      <c r="F347" s="58">
        <v>45315</v>
      </c>
      <c r="G347" s="67" t="s">
        <v>234</v>
      </c>
      <c r="H347" s="51" t="s">
        <v>65</v>
      </c>
      <c r="I347" s="58">
        <v>45316</v>
      </c>
      <c r="J347" s="67" t="s">
        <v>234</v>
      </c>
      <c r="K347" s="51">
        <v>350</v>
      </c>
      <c r="L347" s="73"/>
      <c r="M347" s="73"/>
      <c r="N347" s="73"/>
    </row>
    <row r="348" spans="1:14" ht="18.45" customHeight="1" x14ac:dyDescent="0.3">
      <c r="A348" s="51" t="s">
        <v>916</v>
      </c>
      <c r="B348" s="51" t="s">
        <v>917</v>
      </c>
      <c r="C348" s="51" t="s">
        <v>232</v>
      </c>
      <c r="D348" s="51">
        <v>39</v>
      </c>
      <c r="E348" s="58">
        <v>45313</v>
      </c>
      <c r="F348" s="58">
        <v>45315</v>
      </c>
      <c r="G348" s="67" t="s">
        <v>234</v>
      </c>
      <c r="H348" s="51" t="s">
        <v>65</v>
      </c>
      <c r="I348" s="58">
        <v>45316</v>
      </c>
      <c r="J348" s="67" t="s">
        <v>234</v>
      </c>
      <c r="K348" s="51">
        <v>350</v>
      </c>
      <c r="L348" s="73"/>
      <c r="M348" s="73"/>
      <c r="N348" s="73"/>
    </row>
    <row r="349" spans="1:14" ht="18.45" customHeight="1" x14ac:dyDescent="0.3">
      <c r="A349" s="51" t="s">
        <v>918</v>
      </c>
      <c r="B349" s="51" t="s">
        <v>919</v>
      </c>
      <c r="C349" s="51" t="s">
        <v>232</v>
      </c>
      <c r="D349" s="51">
        <v>7</v>
      </c>
      <c r="E349" s="58">
        <v>45313</v>
      </c>
      <c r="F349" s="58">
        <v>45315</v>
      </c>
      <c r="G349" s="67" t="s">
        <v>234</v>
      </c>
      <c r="H349" s="51" t="s">
        <v>65</v>
      </c>
      <c r="I349" s="58">
        <v>45316</v>
      </c>
      <c r="J349" s="67" t="s">
        <v>234</v>
      </c>
      <c r="K349" s="51">
        <v>250</v>
      </c>
      <c r="L349" s="73"/>
      <c r="M349" s="73"/>
      <c r="N349" s="73"/>
    </row>
    <row r="350" spans="1:14" ht="18.45" customHeight="1" x14ac:dyDescent="0.3">
      <c r="A350" s="51" t="s">
        <v>920</v>
      </c>
      <c r="B350" s="51" t="s">
        <v>921</v>
      </c>
      <c r="C350" s="51" t="s">
        <v>227</v>
      </c>
      <c r="D350" s="51">
        <v>91</v>
      </c>
      <c r="E350" s="58">
        <v>45313</v>
      </c>
      <c r="F350" s="58">
        <v>45315</v>
      </c>
      <c r="G350" s="67" t="s">
        <v>234</v>
      </c>
      <c r="H350" s="51" t="s">
        <v>65</v>
      </c>
      <c r="I350" s="58">
        <v>45316</v>
      </c>
      <c r="J350" s="67" t="s">
        <v>234</v>
      </c>
      <c r="K350" s="51">
        <v>150</v>
      </c>
      <c r="L350" s="73"/>
      <c r="M350" s="73"/>
      <c r="N350" s="73"/>
    </row>
    <row r="351" spans="1:14" ht="18.45" customHeight="1" x14ac:dyDescent="0.3">
      <c r="A351" s="51" t="s">
        <v>922</v>
      </c>
      <c r="B351" s="51" t="s">
        <v>923</v>
      </c>
      <c r="C351" s="51" t="s">
        <v>232</v>
      </c>
      <c r="D351" s="51">
        <v>7</v>
      </c>
      <c r="E351" s="58">
        <v>45313</v>
      </c>
      <c r="F351" s="58">
        <v>45315</v>
      </c>
      <c r="G351" s="67" t="s">
        <v>234</v>
      </c>
      <c r="H351" s="51" t="s">
        <v>65</v>
      </c>
      <c r="I351" s="58">
        <v>45316</v>
      </c>
      <c r="J351" s="67" t="s">
        <v>234</v>
      </c>
      <c r="K351" s="51">
        <v>120</v>
      </c>
      <c r="L351" s="73"/>
      <c r="M351" s="73"/>
      <c r="N351" s="73"/>
    </row>
    <row r="352" spans="1:14" ht="18.45" customHeight="1" x14ac:dyDescent="0.3">
      <c r="A352" s="48" t="s">
        <v>924</v>
      </c>
      <c r="B352" s="50" t="s">
        <v>925</v>
      </c>
      <c r="C352" s="62" t="s">
        <v>99</v>
      </c>
      <c r="D352" s="62">
        <v>65</v>
      </c>
      <c r="E352" s="54">
        <v>45297</v>
      </c>
      <c r="F352" s="54">
        <v>45299</v>
      </c>
      <c r="G352" s="67" t="s">
        <v>234</v>
      </c>
      <c r="H352" s="62" t="s">
        <v>65</v>
      </c>
      <c r="I352" s="86">
        <v>45317</v>
      </c>
      <c r="J352" s="67" t="s">
        <v>234</v>
      </c>
      <c r="K352" s="62">
        <v>450</v>
      </c>
      <c r="L352" s="73"/>
      <c r="M352" s="73"/>
      <c r="N352" s="73"/>
    </row>
    <row r="353" spans="1:14" ht="18.45" customHeight="1" x14ac:dyDescent="0.3">
      <c r="A353" s="48" t="s">
        <v>926</v>
      </c>
      <c r="B353" s="50" t="s">
        <v>927</v>
      </c>
      <c r="C353" s="48" t="s">
        <v>94</v>
      </c>
      <c r="D353" s="62">
        <v>70</v>
      </c>
      <c r="E353" s="54">
        <v>45310</v>
      </c>
      <c r="F353" s="54">
        <v>45314</v>
      </c>
      <c r="G353" s="67" t="s">
        <v>234</v>
      </c>
      <c r="H353" s="55" t="s">
        <v>65</v>
      </c>
      <c r="I353" s="86">
        <v>45317</v>
      </c>
      <c r="J353" s="67" t="s">
        <v>234</v>
      </c>
      <c r="K353" s="62">
        <v>300</v>
      </c>
      <c r="L353" s="73"/>
      <c r="M353" s="73"/>
      <c r="N353" s="73"/>
    </row>
    <row r="354" spans="1:14" ht="18.45" customHeight="1" x14ac:dyDescent="0.3">
      <c r="A354" s="48" t="s">
        <v>928</v>
      </c>
      <c r="B354" s="48" t="s">
        <v>929</v>
      </c>
      <c r="C354" s="48" t="s">
        <v>96</v>
      </c>
      <c r="D354" s="62">
        <v>32</v>
      </c>
      <c r="E354" s="56">
        <v>45313</v>
      </c>
      <c r="F354" s="56">
        <v>45315</v>
      </c>
      <c r="G354" s="67" t="s">
        <v>234</v>
      </c>
      <c r="H354" s="55" t="s">
        <v>65</v>
      </c>
      <c r="I354" s="86">
        <v>45317</v>
      </c>
      <c r="J354" s="67" t="s">
        <v>234</v>
      </c>
      <c r="K354" s="62">
        <v>300</v>
      </c>
      <c r="L354" s="73"/>
      <c r="M354" s="73"/>
      <c r="N354" s="73"/>
    </row>
    <row r="355" spans="1:14" ht="18.45" customHeight="1" x14ac:dyDescent="0.3">
      <c r="A355" s="76" t="s">
        <v>930</v>
      </c>
      <c r="B355" s="76" t="s">
        <v>931</v>
      </c>
      <c r="C355" s="62" t="s">
        <v>135</v>
      </c>
      <c r="D355" s="62">
        <v>67</v>
      </c>
      <c r="E355" s="88">
        <v>45296</v>
      </c>
      <c r="F355" s="88">
        <v>45297</v>
      </c>
      <c r="G355" s="67" t="s">
        <v>234</v>
      </c>
      <c r="H355" s="55" t="s">
        <v>65</v>
      </c>
      <c r="I355" s="86">
        <v>45317</v>
      </c>
      <c r="J355" s="67" t="s">
        <v>234</v>
      </c>
      <c r="K355" s="62">
        <v>450</v>
      </c>
      <c r="L355" s="73"/>
      <c r="M355" s="73"/>
      <c r="N355" s="73"/>
    </row>
    <row r="356" spans="1:14" ht="18.45" customHeight="1" x14ac:dyDescent="0.3">
      <c r="A356" s="62" t="s">
        <v>932</v>
      </c>
      <c r="B356" s="55" t="s">
        <v>933</v>
      </c>
      <c r="C356" s="62" t="s">
        <v>2488</v>
      </c>
      <c r="D356" s="55">
        <v>45</v>
      </c>
      <c r="E356" s="86">
        <v>45069</v>
      </c>
      <c r="F356" s="86">
        <v>45070</v>
      </c>
      <c r="G356" s="67" t="s">
        <v>234</v>
      </c>
      <c r="H356" s="55" t="s">
        <v>65</v>
      </c>
      <c r="I356" s="86">
        <v>45317</v>
      </c>
      <c r="J356" s="67" t="s">
        <v>234</v>
      </c>
      <c r="K356" s="55">
        <v>150</v>
      </c>
      <c r="L356" s="73"/>
      <c r="M356" s="73"/>
      <c r="N356" s="73"/>
    </row>
    <row r="357" spans="1:14" ht="18.45" customHeight="1" x14ac:dyDescent="0.3">
      <c r="A357" s="48" t="s">
        <v>934</v>
      </c>
      <c r="B357" s="50" t="s">
        <v>935</v>
      </c>
      <c r="C357" s="48" t="s">
        <v>135</v>
      </c>
      <c r="D357" s="62">
        <v>53</v>
      </c>
      <c r="E357" s="54">
        <v>45252</v>
      </c>
      <c r="F357" s="54">
        <v>45254</v>
      </c>
      <c r="G357" s="67" t="s">
        <v>234</v>
      </c>
      <c r="H357" s="62" t="s">
        <v>65</v>
      </c>
      <c r="I357" s="86">
        <v>45317</v>
      </c>
      <c r="J357" s="67" t="s">
        <v>234</v>
      </c>
      <c r="K357" s="62">
        <v>250</v>
      </c>
      <c r="L357" s="73"/>
      <c r="M357" s="73"/>
      <c r="N357" s="73"/>
    </row>
    <row r="358" spans="1:14" ht="18.45" customHeight="1" x14ac:dyDescent="0.3">
      <c r="A358" s="51" t="s">
        <v>936</v>
      </c>
      <c r="B358" s="51" t="s">
        <v>937</v>
      </c>
      <c r="C358" s="51" t="s">
        <v>223</v>
      </c>
      <c r="D358" s="84">
        <v>13</v>
      </c>
      <c r="E358" s="54">
        <v>45314</v>
      </c>
      <c r="F358" s="54">
        <v>45316</v>
      </c>
      <c r="G358" s="67" t="s">
        <v>234</v>
      </c>
      <c r="H358" s="51" t="s">
        <v>65</v>
      </c>
      <c r="I358" s="58">
        <v>45317</v>
      </c>
      <c r="J358" s="67" t="s">
        <v>234</v>
      </c>
      <c r="K358" s="51">
        <v>300</v>
      </c>
      <c r="L358" s="73"/>
      <c r="M358" s="73"/>
      <c r="N358" s="73"/>
    </row>
    <row r="359" spans="1:14" ht="18.45" customHeight="1" x14ac:dyDescent="0.3">
      <c r="A359" s="51" t="s">
        <v>938</v>
      </c>
      <c r="B359" s="51" t="s">
        <v>939</v>
      </c>
      <c r="C359" s="51" t="s">
        <v>214</v>
      </c>
      <c r="D359" s="84">
        <v>1</v>
      </c>
      <c r="E359" s="54">
        <v>45315</v>
      </c>
      <c r="F359" s="54">
        <v>45316</v>
      </c>
      <c r="G359" s="67" t="s">
        <v>234</v>
      </c>
      <c r="H359" s="51" t="s">
        <v>65</v>
      </c>
      <c r="I359" s="58">
        <v>45317</v>
      </c>
      <c r="J359" s="67" t="s">
        <v>234</v>
      </c>
      <c r="K359" s="51">
        <v>300</v>
      </c>
      <c r="L359" s="73"/>
      <c r="M359" s="73"/>
      <c r="N359" s="73"/>
    </row>
    <row r="360" spans="1:14" ht="18.45" customHeight="1" x14ac:dyDescent="0.3">
      <c r="A360" s="51" t="s">
        <v>940</v>
      </c>
      <c r="B360" s="51" t="s">
        <v>941</v>
      </c>
      <c r="C360" s="51" t="s">
        <v>226</v>
      </c>
      <c r="D360" s="84">
        <v>15</v>
      </c>
      <c r="E360" s="54">
        <v>45314</v>
      </c>
      <c r="F360" s="54">
        <v>45316</v>
      </c>
      <c r="G360" s="67" t="s">
        <v>234</v>
      </c>
      <c r="H360" s="51" t="s">
        <v>65</v>
      </c>
      <c r="I360" s="58">
        <v>45317</v>
      </c>
      <c r="J360" s="67" t="s">
        <v>234</v>
      </c>
      <c r="K360" s="51">
        <v>300</v>
      </c>
      <c r="L360" s="73"/>
      <c r="M360" s="73"/>
      <c r="N360" s="73"/>
    </row>
    <row r="361" spans="1:14" ht="18.45" customHeight="1" x14ac:dyDescent="0.3">
      <c r="A361" s="51" t="s">
        <v>942</v>
      </c>
      <c r="B361" s="51" t="s">
        <v>943</v>
      </c>
      <c r="C361" s="51" t="s">
        <v>223</v>
      </c>
      <c r="D361" s="84">
        <v>22</v>
      </c>
      <c r="E361" s="54">
        <v>45314</v>
      </c>
      <c r="F361" s="54">
        <v>45316</v>
      </c>
      <c r="G361" s="67" t="s">
        <v>234</v>
      </c>
      <c r="H361" s="51" t="s">
        <v>65</v>
      </c>
      <c r="I361" s="58">
        <v>45317</v>
      </c>
      <c r="J361" s="67" t="s">
        <v>234</v>
      </c>
      <c r="K361" s="51">
        <v>500</v>
      </c>
      <c r="L361" s="73"/>
      <c r="M361" s="73"/>
      <c r="N361" s="73"/>
    </row>
    <row r="362" spans="1:14" ht="18.45" customHeight="1" x14ac:dyDescent="0.3">
      <c r="A362" s="51" t="s">
        <v>944</v>
      </c>
      <c r="B362" s="51" t="s">
        <v>945</v>
      </c>
      <c r="C362" s="51" t="s">
        <v>223</v>
      </c>
      <c r="D362" s="84">
        <v>79</v>
      </c>
      <c r="E362" s="54">
        <v>45317</v>
      </c>
      <c r="F362" s="54">
        <v>45317</v>
      </c>
      <c r="G362" s="67" t="s">
        <v>234</v>
      </c>
      <c r="H362" s="51" t="s">
        <v>65</v>
      </c>
      <c r="I362" s="58">
        <v>45317</v>
      </c>
      <c r="J362" s="67" t="s">
        <v>234</v>
      </c>
      <c r="K362" s="51">
        <v>300</v>
      </c>
      <c r="L362" s="73"/>
      <c r="M362" s="73"/>
      <c r="N362" s="73"/>
    </row>
    <row r="363" spans="1:14" ht="18.45" customHeight="1" x14ac:dyDescent="0.3">
      <c r="A363" s="51" t="s">
        <v>946</v>
      </c>
      <c r="B363" s="51" t="s">
        <v>947</v>
      </c>
      <c r="C363" s="51" t="s">
        <v>232</v>
      </c>
      <c r="D363" s="51">
        <v>50</v>
      </c>
      <c r="E363" s="58">
        <v>45282</v>
      </c>
      <c r="F363" s="58">
        <v>45282</v>
      </c>
      <c r="G363" s="67" t="s">
        <v>234</v>
      </c>
      <c r="H363" s="51" t="s">
        <v>65</v>
      </c>
      <c r="I363" s="58">
        <v>45317</v>
      </c>
      <c r="J363" s="67" t="s">
        <v>234</v>
      </c>
      <c r="K363" s="51">
        <v>400</v>
      </c>
      <c r="L363" s="73"/>
      <c r="M363" s="73"/>
      <c r="N363" s="73"/>
    </row>
    <row r="364" spans="1:14" ht="18.45" customHeight="1" x14ac:dyDescent="0.3">
      <c r="A364" s="51" t="s">
        <v>948</v>
      </c>
      <c r="B364" s="51" t="s">
        <v>949</v>
      </c>
      <c r="C364" s="51" t="s">
        <v>232</v>
      </c>
      <c r="D364" s="51">
        <v>59</v>
      </c>
      <c r="E364" s="58">
        <v>45307</v>
      </c>
      <c r="F364" s="58">
        <v>45309</v>
      </c>
      <c r="G364" s="67" t="s">
        <v>234</v>
      </c>
      <c r="H364" s="51" t="s">
        <v>65</v>
      </c>
      <c r="I364" s="58">
        <v>45317</v>
      </c>
      <c r="J364" s="67" t="s">
        <v>234</v>
      </c>
      <c r="K364" s="51">
        <v>150</v>
      </c>
      <c r="L364" s="73"/>
      <c r="M364" s="73"/>
      <c r="N364" s="73"/>
    </row>
    <row r="365" spans="1:14" ht="18.45" customHeight="1" x14ac:dyDescent="0.3">
      <c r="A365" s="51" t="s">
        <v>950</v>
      </c>
      <c r="B365" s="51" t="s">
        <v>951</v>
      </c>
      <c r="C365" s="51" t="s">
        <v>232</v>
      </c>
      <c r="D365" s="51">
        <v>59</v>
      </c>
      <c r="E365" s="58">
        <v>45313</v>
      </c>
      <c r="F365" s="58">
        <v>45316</v>
      </c>
      <c r="G365" s="67" t="s">
        <v>234</v>
      </c>
      <c r="H365" s="51" t="s">
        <v>65</v>
      </c>
      <c r="I365" s="58">
        <v>45317</v>
      </c>
      <c r="J365" s="67" t="s">
        <v>234</v>
      </c>
      <c r="K365" s="51">
        <v>200</v>
      </c>
      <c r="L365" s="73"/>
      <c r="M365" s="73"/>
      <c r="N365" s="73"/>
    </row>
    <row r="366" spans="1:14" ht="18.45" customHeight="1" x14ac:dyDescent="0.3">
      <c r="A366" s="51" t="s">
        <v>952</v>
      </c>
      <c r="B366" s="51" t="s">
        <v>953</v>
      </c>
      <c r="C366" s="51" t="s">
        <v>232</v>
      </c>
      <c r="D366" s="51">
        <v>54</v>
      </c>
      <c r="E366" s="58">
        <v>45314</v>
      </c>
      <c r="F366" s="58">
        <v>45316</v>
      </c>
      <c r="G366" s="67" t="s">
        <v>234</v>
      </c>
      <c r="H366" s="51" t="s">
        <v>65</v>
      </c>
      <c r="I366" s="58">
        <v>45317</v>
      </c>
      <c r="J366" s="67" t="s">
        <v>234</v>
      </c>
      <c r="K366" s="51">
        <v>100</v>
      </c>
      <c r="L366" s="73"/>
      <c r="M366" s="73"/>
      <c r="N366" s="73"/>
    </row>
    <row r="367" spans="1:14" ht="18.45" customHeight="1" x14ac:dyDescent="0.3">
      <c r="A367" s="51" t="s">
        <v>954</v>
      </c>
      <c r="B367" s="51" t="s">
        <v>955</v>
      </c>
      <c r="C367" s="51" t="s">
        <v>229</v>
      </c>
      <c r="D367" s="51">
        <v>28</v>
      </c>
      <c r="E367" s="58">
        <v>45277</v>
      </c>
      <c r="F367" s="58">
        <v>45278</v>
      </c>
      <c r="G367" s="67" t="s">
        <v>234</v>
      </c>
      <c r="H367" s="51" t="s">
        <v>65</v>
      </c>
      <c r="I367" s="58">
        <v>45317</v>
      </c>
      <c r="J367" s="67" t="s">
        <v>234</v>
      </c>
      <c r="K367" s="51">
        <v>300</v>
      </c>
      <c r="L367" s="73"/>
      <c r="M367" s="73"/>
      <c r="N367" s="73"/>
    </row>
    <row r="368" spans="1:14" ht="18.45" customHeight="1" x14ac:dyDescent="0.3">
      <c r="A368" s="51" t="s">
        <v>956</v>
      </c>
      <c r="B368" s="51" t="s">
        <v>957</v>
      </c>
      <c r="C368" s="51" t="s">
        <v>138</v>
      </c>
      <c r="D368" s="51">
        <v>48</v>
      </c>
      <c r="E368" s="58">
        <v>45315</v>
      </c>
      <c r="F368" s="58">
        <v>45317</v>
      </c>
      <c r="G368" s="67" t="s">
        <v>234</v>
      </c>
      <c r="H368" s="51" t="s">
        <v>65</v>
      </c>
      <c r="I368" s="58">
        <v>45317</v>
      </c>
      <c r="J368" s="67" t="s">
        <v>234</v>
      </c>
      <c r="K368" s="51">
        <v>400</v>
      </c>
      <c r="L368" s="73"/>
      <c r="M368" s="73"/>
      <c r="N368" s="73"/>
    </row>
    <row r="369" spans="1:14" ht="18.45" customHeight="1" x14ac:dyDescent="0.3">
      <c r="A369" s="51" t="s">
        <v>958</v>
      </c>
      <c r="B369" s="51" t="s">
        <v>959</v>
      </c>
      <c r="C369" s="51" t="s">
        <v>229</v>
      </c>
      <c r="D369" s="51">
        <v>25</v>
      </c>
      <c r="E369" s="58">
        <v>45315</v>
      </c>
      <c r="F369" s="58">
        <v>45317</v>
      </c>
      <c r="G369" s="67" t="s">
        <v>234</v>
      </c>
      <c r="H369" s="51" t="s">
        <v>65</v>
      </c>
      <c r="I369" s="58">
        <v>45317</v>
      </c>
      <c r="J369" s="67" t="s">
        <v>234</v>
      </c>
      <c r="K369" s="51">
        <v>350</v>
      </c>
      <c r="L369" s="73"/>
      <c r="M369" s="73"/>
      <c r="N369" s="73"/>
    </row>
    <row r="370" spans="1:14" ht="18.45" customHeight="1" x14ac:dyDescent="0.3">
      <c r="A370" s="48" t="s">
        <v>960</v>
      </c>
      <c r="B370" s="50" t="s">
        <v>961</v>
      </c>
      <c r="C370" s="62" t="s">
        <v>135</v>
      </c>
      <c r="D370" s="62">
        <v>56</v>
      </c>
      <c r="E370" s="54">
        <v>45291</v>
      </c>
      <c r="F370" s="54">
        <v>45293</v>
      </c>
      <c r="G370" s="67" t="s">
        <v>234</v>
      </c>
      <c r="H370" s="55" t="s">
        <v>65</v>
      </c>
      <c r="I370" s="86">
        <v>45318</v>
      </c>
      <c r="J370" s="67" t="s">
        <v>234</v>
      </c>
      <c r="K370" s="62">
        <v>150</v>
      </c>
      <c r="L370" s="73"/>
      <c r="M370" s="73"/>
      <c r="N370" s="73"/>
    </row>
    <row r="371" spans="1:14" ht="18.45" customHeight="1" x14ac:dyDescent="0.3">
      <c r="A371" s="76" t="s">
        <v>962</v>
      </c>
      <c r="B371" s="79" t="s">
        <v>963</v>
      </c>
      <c r="C371" s="76" t="s">
        <v>2488</v>
      </c>
      <c r="D371" s="62">
        <v>43</v>
      </c>
      <c r="E371" s="88">
        <v>45307</v>
      </c>
      <c r="F371" s="88">
        <v>45308</v>
      </c>
      <c r="G371" s="67" t="s">
        <v>234</v>
      </c>
      <c r="H371" s="55" t="s">
        <v>65</v>
      </c>
      <c r="I371" s="86">
        <v>45318</v>
      </c>
      <c r="J371" s="67" t="s">
        <v>234</v>
      </c>
      <c r="K371" s="62">
        <v>300</v>
      </c>
      <c r="L371" s="73"/>
      <c r="M371" s="73"/>
      <c r="N371" s="73"/>
    </row>
    <row r="372" spans="1:14" ht="18.45" customHeight="1" x14ac:dyDescent="0.3">
      <c r="A372" s="48" t="s">
        <v>964</v>
      </c>
      <c r="B372" s="48" t="s">
        <v>965</v>
      </c>
      <c r="C372" s="48" t="s">
        <v>92</v>
      </c>
      <c r="D372" s="62">
        <v>78</v>
      </c>
      <c r="E372" s="56">
        <v>45315</v>
      </c>
      <c r="F372" s="56">
        <v>45316</v>
      </c>
      <c r="G372" s="67" t="s">
        <v>234</v>
      </c>
      <c r="H372" s="55" t="s">
        <v>65</v>
      </c>
      <c r="I372" s="86">
        <v>45318</v>
      </c>
      <c r="J372" s="67" t="s">
        <v>234</v>
      </c>
      <c r="K372" s="62">
        <v>100</v>
      </c>
      <c r="L372" s="73"/>
      <c r="M372" s="73"/>
      <c r="N372" s="73"/>
    </row>
    <row r="373" spans="1:14" ht="18.45" customHeight="1" x14ac:dyDescent="0.3">
      <c r="A373" s="48" t="s">
        <v>966</v>
      </c>
      <c r="B373" s="48" t="s">
        <v>967</v>
      </c>
      <c r="C373" s="48" t="s">
        <v>135</v>
      </c>
      <c r="D373" s="62">
        <v>44</v>
      </c>
      <c r="E373" s="56">
        <v>45316</v>
      </c>
      <c r="F373" s="56">
        <v>45316</v>
      </c>
      <c r="G373" s="67" t="s">
        <v>234</v>
      </c>
      <c r="H373" s="55" t="s">
        <v>65</v>
      </c>
      <c r="I373" s="86">
        <v>45318</v>
      </c>
      <c r="J373" s="67" t="s">
        <v>234</v>
      </c>
      <c r="K373" s="62">
        <v>150</v>
      </c>
      <c r="L373" s="73"/>
      <c r="M373" s="73"/>
      <c r="N373" s="73"/>
    </row>
    <row r="374" spans="1:14" ht="18.45" customHeight="1" x14ac:dyDescent="0.3">
      <c r="A374" s="48" t="s">
        <v>968</v>
      </c>
      <c r="B374" s="50" t="s">
        <v>969</v>
      </c>
      <c r="C374" s="48" t="s">
        <v>166</v>
      </c>
      <c r="D374" s="62">
        <v>7</v>
      </c>
      <c r="E374" s="54">
        <v>45313</v>
      </c>
      <c r="F374" s="54">
        <v>45314</v>
      </c>
      <c r="G374" s="67" t="s">
        <v>234</v>
      </c>
      <c r="H374" s="55" t="s">
        <v>65</v>
      </c>
      <c r="I374" s="86">
        <v>45318</v>
      </c>
      <c r="J374" s="67" t="s">
        <v>234</v>
      </c>
      <c r="K374" s="62">
        <v>200</v>
      </c>
      <c r="L374" s="73"/>
      <c r="M374" s="73"/>
      <c r="N374" s="73"/>
    </row>
    <row r="375" spans="1:14" ht="18.45" customHeight="1" x14ac:dyDescent="0.3">
      <c r="A375" s="48" t="s">
        <v>970</v>
      </c>
      <c r="B375" s="48" t="s">
        <v>971</v>
      </c>
      <c r="C375" s="48" t="s">
        <v>120</v>
      </c>
      <c r="D375" s="62">
        <v>211</v>
      </c>
      <c r="E375" s="56">
        <v>45316</v>
      </c>
      <c r="F375" s="56">
        <v>45317</v>
      </c>
      <c r="G375" s="67" t="s">
        <v>234</v>
      </c>
      <c r="H375" s="55" t="s">
        <v>65</v>
      </c>
      <c r="I375" s="86">
        <v>45318</v>
      </c>
      <c r="J375" s="67" t="s">
        <v>234</v>
      </c>
      <c r="K375" s="62">
        <v>150</v>
      </c>
      <c r="L375" s="73"/>
      <c r="M375" s="73"/>
      <c r="N375" s="73"/>
    </row>
    <row r="376" spans="1:14" ht="18.45" customHeight="1" x14ac:dyDescent="0.3">
      <c r="A376" s="51" t="s">
        <v>972</v>
      </c>
      <c r="B376" s="51" t="s">
        <v>973</v>
      </c>
      <c r="C376" s="51" t="s">
        <v>232</v>
      </c>
      <c r="D376" s="51">
        <v>7</v>
      </c>
      <c r="E376" s="58">
        <v>45316</v>
      </c>
      <c r="F376" s="58">
        <v>45317</v>
      </c>
      <c r="G376" s="67" t="s">
        <v>234</v>
      </c>
      <c r="H376" s="51" t="s">
        <v>65</v>
      </c>
      <c r="I376" s="58">
        <v>45318</v>
      </c>
      <c r="J376" s="67" t="s">
        <v>234</v>
      </c>
      <c r="K376" s="51">
        <v>150</v>
      </c>
      <c r="L376" s="73"/>
      <c r="M376" s="73"/>
      <c r="N376" s="73"/>
    </row>
    <row r="377" spans="1:14" ht="18.45" customHeight="1" x14ac:dyDescent="0.3">
      <c r="A377" s="51" t="s">
        <v>974</v>
      </c>
      <c r="B377" s="51" t="s">
        <v>975</v>
      </c>
      <c r="C377" s="51" t="s">
        <v>232</v>
      </c>
      <c r="D377" s="51">
        <v>38</v>
      </c>
      <c r="E377" s="58">
        <v>45316</v>
      </c>
      <c r="F377" s="58">
        <v>45317</v>
      </c>
      <c r="G377" s="67" t="s">
        <v>234</v>
      </c>
      <c r="H377" s="51" t="s">
        <v>65</v>
      </c>
      <c r="I377" s="58">
        <v>45318</v>
      </c>
      <c r="J377" s="67" t="s">
        <v>234</v>
      </c>
      <c r="K377" s="51">
        <v>150</v>
      </c>
      <c r="L377" s="73"/>
      <c r="M377" s="73"/>
      <c r="N377" s="73"/>
    </row>
    <row r="378" spans="1:14" ht="18.45" customHeight="1" x14ac:dyDescent="0.3">
      <c r="A378" s="51" t="s">
        <v>976</v>
      </c>
      <c r="B378" s="51" t="s">
        <v>977</v>
      </c>
      <c r="C378" s="51" t="s">
        <v>232</v>
      </c>
      <c r="D378" s="51">
        <v>37</v>
      </c>
      <c r="E378" s="58">
        <v>45316</v>
      </c>
      <c r="F378" s="58">
        <v>45317</v>
      </c>
      <c r="G378" s="67" t="s">
        <v>234</v>
      </c>
      <c r="H378" s="51" t="s">
        <v>65</v>
      </c>
      <c r="I378" s="58">
        <v>45318</v>
      </c>
      <c r="J378" s="67" t="s">
        <v>234</v>
      </c>
      <c r="K378" s="51">
        <v>350</v>
      </c>
      <c r="L378" s="73"/>
      <c r="M378" s="73"/>
      <c r="N378" s="73"/>
    </row>
    <row r="379" spans="1:14" ht="18.45" customHeight="1" x14ac:dyDescent="0.3">
      <c r="A379" s="51" t="s">
        <v>978</v>
      </c>
      <c r="B379" s="51" t="s">
        <v>979</v>
      </c>
      <c r="C379" s="51" t="s">
        <v>232</v>
      </c>
      <c r="D379" s="51">
        <v>1</v>
      </c>
      <c r="E379" s="58">
        <v>45314</v>
      </c>
      <c r="F379" s="58">
        <v>45317</v>
      </c>
      <c r="G379" s="67" t="s">
        <v>234</v>
      </c>
      <c r="H379" s="51" t="s">
        <v>65</v>
      </c>
      <c r="I379" s="58">
        <v>45318</v>
      </c>
      <c r="J379" s="67" t="s">
        <v>234</v>
      </c>
      <c r="K379" s="51">
        <v>200</v>
      </c>
      <c r="L379" s="73"/>
      <c r="M379" s="73"/>
      <c r="N379" s="73"/>
    </row>
    <row r="380" spans="1:14" ht="18.45" customHeight="1" x14ac:dyDescent="0.3">
      <c r="A380" s="51" t="s">
        <v>980</v>
      </c>
      <c r="B380" s="51" t="s">
        <v>981</v>
      </c>
      <c r="C380" s="51" t="s">
        <v>227</v>
      </c>
      <c r="D380" s="51">
        <v>57</v>
      </c>
      <c r="E380" s="58">
        <v>45315</v>
      </c>
      <c r="F380" s="58">
        <v>45317</v>
      </c>
      <c r="G380" s="67" t="s">
        <v>234</v>
      </c>
      <c r="H380" s="51" t="s">
        <v>65</v>
      </c>
      <c r="I380" s="58">
        <v>45318</v>
      </c>
      <c r="J380" s="67" t="s">
        <v>234</v>
      </c>
      <c r="K380" s="51">
        <v>150</v>
      </c>
      <c r="L380" s="73"/>
      <c r="M380" s="73"/>
      <c r="N380" s="73"/>
    </row>
    <row r="381" spans="1:14" ht="18.45" customHeight="1" x14ac:dyDescent="0.3">
      <c r="A381" s="51" t="s">
        <v>982</v>
      </c>
      <c r="B381" s="51" t="s">
        <v>983</v>
      </c>
      <c r="C381" s="51" t="s">
        <v>227</v>
      </c>
      <c r="D381" s="51">
        <v>96</v>
      </c>
      <c r="E381" s="58">
        <v>45315</v>
      </c>
      <c r="F381" s="58">
        <v>45317</v>
      </c>
      <c r="G381" s="67" t="s">
        <v>234</v>
      </c>
      <c r="H381" s="51" t="s">
        <v>65</v>
      </c>
      <c r="I381" s="58">
        <v>45318</v>
      </c>
      <c r="J381" s="67" t="s">
        <v>234</v>
      </c>
      <c r="K381" s="51">
        <v>100</v>
      </c>
      <c r="L381" s="73"/>
      <c r="M381" s="73"/>
      <c r="N381" s="73"/>
    </row>
    <row r="382" spans="1:14" ht="18.45" customHeight="1" x14ac:dyDescent="0.3">
      <c r="A382" s="51" t="s">
        <v>984</v>
      </c>
      <c r="B382" s="51" t="s">
        <v>985</v>
      </c>
      <c r="C382" s="51" t="s">
        <v>228</v>
      </c>
      <c r="D382" s="51">
        <v>11</v>
      </c>
      <c r="E382" s="58">
        <v>45316</v>
      </c>
      <c r="F382" s="58">
        <v>45317</v>
      </c>
      <c r="G382" s="67" t="s">
        <v>234</v>
      </c>
      <c r="H382" s="51" t="s">
        <v>65</v>
      </c>
      <c r="I382" s="58">
        <v>45318</v>
      </c>
      <c r="J382" s="67" t="s">
        <v>234</v>
      </c>
      <c r="K382" s="51">
        <v>200</v>
      </c>
      <c r="L382" s="73"/>
      <c r="M382" s="73"/>
      <c r="N382" s="73"/>
    </row>
    <row r="383" spans="1:14" ht="18.45" customHeight="1" x14ac:dyDescent="0.3">
      <c r="A383" s="51" t="s">
        <v>986</v>
      </c>
      <c r="B383" s="51" t="s">
        <v>987</v>
      </c>
      <c r="C383" s="51" t="s">
        <v>2490</v>
      </c>
      <c r="D383" s="84">
        <v>4</v>
      </c>
      <c r="E383" s="54">
        <v>45314</v>
      </c>
      <c r="F383" s="54">
        <v>45317</v>
      </c>
      <c r="G383" s="67" t="s">
        <v>234</v>
      </c>
      <c r="H383" s="51" t="s">
        <v>65</v>
      </c>
      <c r="I383" s="58">
        <v>45318</v>
      </c>
      <c r="J383" s="67" t="s">
        <v>234</v>
      </c>
      <c r="K383" s="51">
        <v>500</v>
      </c>
      <c r="L383" s="73"/>
      <c r="M383" s="73"/>
      <c r="N383" s="73"/>
    </row>
    <row r="384" spans="1:14" ht="18.45" customHeight="1" x14ac:dyDescent="0.3">
      <c r="A384" s="51" t="s">
        <v>988</v>
      </c>
      <c r="B384" s="51" t="s">
        <v>989</v>
      </c>
      <c r="C384" s="51" t="s">
        <v>2485</v>
      </c>
      <c r="D384" s="84">
        <v>4</v>
      </c>
      <c r="E384" s="54">
        <v>45317</v>
      </c>
      <c r="F384" s="54">
        <v>45317</v>
      </c>
      <c r="G384" s="67" t="s">
        <v>234</v>
      </c>
      <c r="H384" s="51" t="s">
        <v>65</v>
      </c>
      <c r="I384" s="58">
        <v>45318</v>
      </c>
      <c r="J384" s="67" t="s">
        <v>234</v>
      </c>
      <c r="K384" s="51">
        <v>500</v>
      </c>
      <c r="L384" s="73"/>
      <c r="M384" s="73"/>
      <c r="N384" s="73"/>
    </row>
    <row r="385" spans="1:14" ht="18.45" customHeight="1" x14ac:dyDescent="0.3">
      <c r="A385" s="80" t="s">
        <v>990</v>
      </c>
      <c r="B385" s="80" t="s">
        <v>991</v>
      </c>
      <c r="C385" s="62" t="s">
        <v>136</v>
      </c>
      <c r="D385" s="62">
        <v>2</v>
      </c>
      <c r="E385" s="92">
        <v>45308</v>
      </c>
      <c r="F385" s="92">
        <v>45308</v>
      </c>
      <c r="G385" s="67" t="s">
        <v>234</v>
      </c>
      <c r="H385" s="55" t="s">
        <v>65</v>
      </c>
      <c r="I385" s="86">
        <v>45320</v>
      </c>
      <c r="J385" s="67" t="s">
        <v>234</v>
      </c>
      <c r="K385" s="62">
        <v>250</v>
      </c>
      <c r="L385" s="73"/>
      <c r="M385" s="73"/>
      <c r="N385" s="73"/>
    </row>
    <row r="386" spans="1:14" ht="18.45" customHeight="1" x14ac:dyDescent="0.3">
      <c r="A386" s="48" t="s">
        <v>992</v>
      </c>
      <c r="B386" s="48" t="s">
        <v>993</v>
      </c>
      <c r="C386" s="48" t="s">
        <v>94</v>
      </c>
      <c r="D386" s="62">
        <v>20</v>
      </c>
      <c r="E386" s="56">
        <v>45316</v>
      </c>
      <c r="F386" s="56">
        <v>45316</v>
      </c>
      <c r="G386" s="67" t="s">
        <v>234</v>
      </c>
      <c r="H386" s="55" t="s">
        <v>65</v>
      </c>
      <c r="I386" s="86">
        <v>45320</v>
      </c>
      <c r="J386" s="67" t="s">
        <v>234</v>
      </c>
      <c r="K386" s="62">
        <v>350</v>
      </c>
      <c r="L386" s="73"/>
      <c r="M386" s="73"/>
      <c r="N386" s="73"/>
    </row>
    <row r="387" spans="1:14" ht="18.45" customHeight="1" x14ac:dyDescent="0.3">
      <c r="A387" s="48" t="s">
        <v>994</v>
      </c>
      <c r="B387" s="50" t="s">
        <v>995</v>
      </c>
      <c r="C387" s="62" t="s">
        <v>2477</v>
      </c>
      <c r="D387" s="62">
        <v>88</v>
      </c>
      <c r="E387" s="54">
        <v>45301</v>
      </c>
      <c r="F387" s="54">
        <v>45302</v>
      </c>
      <c r="G387" s="67" t="s">
        <v>234</v>
      </c>
      <c r="H387" s="55" t="s">
        <v>65</v>
      </c>
      <c r="I387" s="86">
        <v>45320</v>
      </c>
      <c r="J387" s="67" t="s">
        <v>234</v>
      </c>
      <c r="K387" s="62">
        <v>350</v>
      </c>
      <c r="L387" s="73"/>
      <c r="M387" s="73"/>
      <c r="N387" s="73"/>
    </row>
    <row r="388" spans="1:14" ht="18.45" customHeight="1" x14ac:dyDescent="0.3">
      <c r="A388" s="48" t="s">
        <v>996</v>
      </c>
      <c r="B388" s="48" t="s">
        <v>997</v>
      </c>
      <c r="C388" s="48" t="s">
        <v>135</v>
      </c>
      <c r="D388" s="62">
        <v>53</v>
      </c>
      <c r="E388" s="56">
        <v>45310</v>
      </c>
      <c r="F388" s="56">
        <v>45315</v>
      </c>
      <c r="G388" s="67" t="s">
        <v>234</v>
      </c>
      <c r="H388" s="55" t="s">
        <v>65</v>
      </c>
      <c r="I388" s="86">
        <v>45320</v>
      </c>
      <c r="J388" s="67" t="s">
        <v>234</v>
      </c>
      <c r="K388" s="62">
        <v>470</v>
      </c>
      <c r="L388" s="73"/>
      <c r="M388" s="73"/>
      <c r="N388" s="73"/>
    </row>
    <row r="389" spans="1:14" ht="18.45" customHeight="1" x14ac:dyDescent="0.3">
      <c r="A389" s="51" t="s">
        <v>998</v>
      </c>
      <c r="B389" s="51" t="s">
        <v>999</v>
      </c>
      <c r="C389" s="51" t="s">
        <v>220</v>
      </c>
      <c r="D389" s="84">
        <v>6</v>
      </c>
      <c r="E389" s="54">
        <v>45317</v>
      </c>
      <c r="F389" s="54">
        <v>45317</v>
      </c>
      <c r="G389" s="67" t="s">
        <v>234</v>
      </c>
      <c r="H389" s="51" t="s">
        <v>65</v>
      </c>
      <c r="I389" s="58">
        <v>45320</v>
      </c>
      <c r="J389" s="67" t="s">
        <v>234</v>
      </c>
      <c r="K389" s="51">
        <v>200</v>
      </c>
      <c r="L389" s="73"/>
      <c r="M389" s="73"/>
      <c r="N389" s="73"/>
    </row>
    <row r="390" spans="1:14" ht="18.45" customHeight="1" x14ac:dyDescent="0.3">
      <c r="A390" s="51" t="s">
        <v>1000</v>
      </c>
      <c r="B390" s="51" t="s">
        <v>1001</v>
      </c>
      <c r="C390" s="51" t="s">
        <v>226</v>
      </c>
      <c r="D390" s="84">
        <v>14</v>
      </c>
      <c r="E390" s="54">
        <v>45317</v>
      </c>
      <c r="F390" s="54">
        <v>45317</v>
      </c>
      <c r="G390" s="67" t="s">
        <v>234</v>
      </c>
      <c r="H390" s="51" t="s">
        <v>65</v>
      </c>
      <c r="I390" s="58">
        <v>45320</v>
      </c>
      <c r="J390" s="67" t="s">
        <v>234</v>
      </c>
      <c r="K390" s="51">
        <v>500</v>
      </c>
      <c r="L390" s="73"/>
      <c r="M390" s="73"/>
      <c r="N390" s="73"/>
    </row>
    <row r="391" spans="1:14" ht="18.45" customHeight="1" x14ac:dyDescent="0.3">
      <c r="A391" s="51" t="s">
        <v>1002</v>
      </c>
      <c r="B391" s="51" t="s">
        <v>1003</v>
      </c>
      <c r="C391" s="51" t="s">
        <v>2485</v>
      </c>
      <c r="D391" s="84">
        <v>4</v>
      </c>
      <c r="E391" s="54">
        <v>45317</v>
      </c>
      <c r="F391" s="54">
        <v>45318</v>
      </c>
      <c r="G391" s="67" t="s">
        <v>234</v>
      </c>
      <c r="H391" s="51" t="s">
        <v>65</v>
      </c>
      <c r="I391" s="58">
        <v>45320</v>
      </c>
      <c r="J391" s="67" t="s">
        <v>234</v>
      </c>
      <c r="K391" s="51">
        <v>300</v>
      </c>
      <c r="L391" s="73"/>
      <c r="M391" s="73"/>
      <c r="N391" s="73"/>
    </row>
    <row r="392" spans="1:14" ht="18.45" customHeight="1" x14ac:dyDescent="0.3">
      <c r="A392" s="51" t="s">
        <v>1004</v>
      </c>
      <c r="B392" s="51" t="s">
        <v>1005</v>
      </c>
      <c r="C392" s="51" t="s">
        <v>223</v>
      </c>
      <c r="D392" s="84">
        <v>19</v>
      </c>
      <c r="E392" s="54">
        <v>45318</v>
      </c>
      <c r="F392" s="54">
        <v>45320</v>
      </c>
      <c r="G392" s="67" t="s">
        <v>234</v>
      </c>
      <c r="H392" s="51" t="s">
        <v>65</v>
      </c>
      <c r="I392" s="58">
        <v>45320</v>
      </c>
      <c r="J392" s="67" t="s">
        <v>234</v>
      </c>
      <c r="K392" s="51">
        <v>500</v>
      </c>
      <c r="L392" s="73"/>
      <c r="M392" s="73"/>
      <c r="N392" s="73"/>
    </row>
    <row r="393" spans="1:14" ht="18.45" customHeight="1" x14ac:dyDescent="0.3">
      <c r="A393" s="51" t="s">
        <v>1006</v>
      </c>
      <c r="B393" s="51" t="s">
        <v>1007</v>
      </c>
      <c r="C393" s="51" t="s">
        <v>228</v>
      </c>
      <c r="D393" s="51">
        <v>3</v>
      </c>
      <c r="E393" s="58">
        <v>45315</v>
      </c>
      <c r="F393" s="58">
        <v>45317</v>
      </c>
      <c r="G393" s="67" t="s">
        <v>234</v>
      </c>
      <c r="H393" s="51" t="s">
        <v>65</v>
      </c>
      <c r="I393" s="58">
        <v>45320</v>
      </c>
      <c r="J393" s="67" t="s">
        <v>234</v>
      </c>
      <c r="K393" s="51">
        <v>350</v>
      </c>
      <c r="L393" s="73"/>
      <c r="M393" s="73"/>
      <c r="N393" s="73"/>
    </row>
    <row r="394" spans="1:14" ht="18.45" customHeight="1" x14ac:dyDescent="0.3">
      <c r="A394" s="51" t="s">
        <v>1008</v>
      </c>
      <c r="B394" s="51" t="s">
        <v>1009</v>
      </c>
      <c r="C394" s="51" t="s">
        <v>113</v>
      </c>
      <c r="D394" s="51">
        <v>122</v>
      </c>
      <c r="E394" s="58">
        <v>45316</v>
      </c>
      <c r="F394" s="58">
        <v>45317</v>
      </c>
      <c r="G394" s="67" t="s">
        <v>234</v>
      </c>
      <c r="H394" s="51" t="s">
        <v>65</v>
      </c>
      <c r="I394" s="58">
        <v>45320</v>
      </c>
      <c r="J394" s="67" t="s">
        <v>234</v>
      </c>
      <c r="K394" s="51">
        <v>150</v>
      </c>
      <c r="L394" s="73"/>
      <c r="M394" s="73"/>
      <c r="N394" s="73"/>
    </row>
    <row r="395" spans="1:14" ht="18.45" customHeight="1" x14ac:dyDescent="0.3">
      <c r="A395" s="51" t="s">
        <v>1010</v>
      </c>
      <c r="B395" s="51" t="s">
        <v>1011</v>
      </c>
      <c r="C395" s="51" t="s">
        <v>227</v>
      </c>
      <c r="D395" s="51">
        <v>36</v>
      </c>
      <c r="E395" s="58">
        <v>45313</v>
      </c>
      <c r="F395" s="58">
        <v>45318</v>
      </c>
      <c r="G395" s="67" t="s">
        <v>234</v>
      </c>
      <c r="H395" s="51" t="s">
        <v>65</v>
      </c>
      <c r="I395" s="58">
        <v>45320</v>
      </c>
      <c r="J395" s="67" t="s">
        <v>234</v>
      </c>
      <c r="K395" s="51">
        <v>80</v>
      </c>
      <c r="L395" s="73"/>
      <c r="M395" s="73"/>
      <c r="N395" s="73"/>
    </row>
    <row r="396" spans="1:14" ht="18.45" customHeight="1" x14ac:dyDescent="0.3">
      <c r="A396" s="51" t="s">
        <v>1012</v>
      </c>
      <c r="B396" s="51" t="s">
        <v>1013</v>
      </c>
      <c r="C396" s="51" t="s">
        <v>229</v>
      </c>
      <c r="D396" s="51">
        <v>27</v>
      </c>
      <c r="E396" s="58">
        <v>45315</v>
      </c>
      <c r="F396" s="58">
        <v>45318</v>
      </c>
      <c r="G396" s="67" t="s">
        <v>234</v>
      </c>
      <c r="H396" s="51" t="s">
        <v>65</v>
      </c>
      <c r="I396" s="58">
        <v>45320</v>
      </c>
      <c r="J396" s="67" t="s">
        <v>234</v>
      </c>
      <c r="K396" s="51">
        <v>150</v>
      </c>
      <c r="L396" s="73"/>
      <c r="M396" s="73"/>
      <c r="N396" s="73"/>
    </row>
    <row r="397" spans="1:14" ht="18.45" customHeight="1" x14ac:dyDescent="0.3">
      <c r="A397" s="51" t="s">
        <v>1014</v>
      </c>
      <c r="B397" s="51" t="s">
        <v>1015</v>
      </c>
      <c r="C397" s="51" t="s">
        <v>232</v>
      </c>
      <c r="D397" s="51">
        <v>7</v>
      </c>
      <c r="E397" s="58">
        <v>45317</v>
      </c>
      <c r="F397" s="58">
        <v>45318</v>
      </c>
      <c r="G397" s="67" t="s">
        <v>234</v>
      </c>
      <c r="H397" s="51" t="s">
        <v>65</v>
      </c>
      <c r="I397" s="58">
        <v>45320</v>
      </c>
      <c r="J397" s="67" t="s">
        <v>234</v>
      </c>
      <c r="K397" s="51">
        <v>250</v>
      </c>
      <c r="L397" s="73"/>
      <c r="M397" s="73"/>
      <c r="N397" s="73"/>
    </row>
    <row r="398" spans="1:14" ht="18.45" customHeight="1" x14ac:dyDescent="0.3">
      <c r="A398" s="51" t="s">
        <v>1016</v>
      </c>
      <c r="B398" s="51" t="s">
        <v>1017</v>
      </c>
      <c r="C398" s="51" t="s">
        <v>232</v>
      </c>
      <c r="D398" s="51">
        <v>41</v>
      </c>
      <c r="E398" s="58">
        <v>45318</v>
      </c>
      <c r="F398" s="58">
        <v>45320</v>
      </c>
      <c r="G398" s="67" t="s">
        <v>234</v>
      </c>
      <c r="H398" s="51" t="s">
        <v>65</v>
      </c>
      <c r="I398" s="58">
        <v>45320</v>
      </c>
      <c r="J398" s="67" t="s">
        <v>234</v>
      </c>
      <c r="K398" s="51">
        <v>150</v>
      </c>
      <c r="L398" s="73"/>
      <c r="M398" s="73"/>
      <c r="N398" s="73"/>
    </row>
    <row r="399" spans="1:14" ht="18.45" customHeight="1" x14ac:dyDescent="0.3">
      <c r="A399" s="48" t="s">
        <v>1018</v>
      </c>
      <c r="B399" s="50" t="s">
        <v>1019</v>
      </c>
      <c r="C399" s="48" t="s">
        <v>99</v>
      </c>
      <c r="D399" s="62">
        <v>75</v>
      </c>
      <c r="E399" s="54">
        <v>45313</v>
      </c>
      <c r="F399" s="54">
        <v>45314</v>
      </c>
      <c r="G399" s="67" t="s">
        <v>234</v>
      </c>
      <c r="H399" s="55" t="s">
        <v>65</v>
      </c>
      <c r="I399" s="87">
        <v>45321</v>
      </c>
      <c r="J399" s="67" t="s">
        <v>234</v>
      </c>
      <c r="K399" s="62">
        <v>500</v>
      </c>
      <c r="L399" s="73"/>
      <c r="M399" s="73"/>
      <c r="N399" s="73"/>
    </row>
    <row r="400" spans="1:14" ht="18.45" customHeight="1" x14ac:dyDescent="0.3">
      <c r="A400" s="99" t="s">
        <v>1020</v>
      </c>
      <c r="B400" s="75" t="s">
        <v>1021</v>
      </c>
      <c r="C400" s="99" t="s">
        <v>2491</v>
      </c>
      <c r="D400" s="71">
        <v>442</v>
      </c>
      <c r="E400" s="85">
        <v>45316</v>
      </c>
      <c r="F400" s="85">
        <v>45318</v>
      </c>
      <c r="G400" s="67" t="s">
        <v>234</v>
      </c>
      <c r="H400" s="55" t="s">
        <v>65</v>
      </c>
      <c r="I400" s="87">
        <v>45321</v>
      </c>
      <c r="J400" s="67" t="s">
        <v>234</v>
      </c>
      <c r="K400" s="71">
        <v>100</v>
      </c>
      <c r="L400" s="73"/>
      <c r="M400" s="73"/>
      <c r="N400" s="73"/>
    </row>
    <row r="401" spans="1:14" ht="18.45" customHeight="1" x14ac:dyDescent="0.3">
      <c r="A401" s="99" t="s">
        <v>1022</v>
      </c>
      <c r="B401" s="75" t="s">
        <v>1023</v>
      </c>
      <c r="C401" s="99" t="s">
        <v>118</v>
      </c>
      <c r="D401" s="71">
        <v>43</v>
      </c>
      <c r="E401" s="85">
        <v>45317</v>
      </c>
      <c r="F401" s="85">
        <v>45320</v>
      </c>
      <c r="G401" s="67" t="s">
        <v>234</v>
      </c>
      <c r="H401" s="55" t="s">
        <v>65</v>
      </c>
      <c r="I401" s="87">
        <v>45321</v>
      </c>
      <c r="J401" s="67" t="s">
        <v>234</v>
      </c>
      <c r="K401" s="71">
        <v>250</v>
      </c>
      <c r="L401" s="73"/>
      <c r="M401" s="73"/>
      <c r="N401" s="73"/>
    </row>
    <row r="402" spans="1:14" ht="18.45" customHeight="1" x14ac:dyDescent="0.3">
      <c r="A402" s="76" t="s">
        <v>1024</v>
      </c>
      <c r="B402" s="76" t="s">
        <v>1025</v>
      </c>
      <c r="C402" s="62" t="s">
        <v>96</v>
      </c>
      <c r="D402" s="62">
        <v>28</v>
      </c>
      <c r="E402" s="88">
        <v>45301</v>
      </c>
      <c r="F402" s="88">
        <v>45304</v>
      </c>
      <c r="G402" s="67" t="s">
        <v>234</v>
      </c>
      <c r="H402" s="62" t="s">
        <v>65</v>
      </c>
      <c r="I402" s="87">
        <v>45321</v>
      </c>
      <c r="J402" s="67" t="s">
        <v>234</v>
      </c>
      <c r="K402" s="62">
        <v>500</v>
      </c>
      <c r="L402" s="73"/>
      <c r="M402" s="73"/>
      <c r="N402" s="73"/>
    </row>
    <row r="403" spans="1:14" ht="18.45" customHeight="1" x14ac:dyDescent="0.3">
      <c r="A403" s="76" t="s">
        <v>1026</v>
      </c>
      <c r="B403" s="76" t="s">
        <v>1027</v>
      </c>
      <c r="C403" s="62" t="s">
        <v>96</v>
      </c>
      <c r="D403" s="62">
        <v>28</v>
      </c>
      <c r="E403" s="88">
        <v>45301</v>
      </c>
      <c r="F403" s="88">
        <v>45304</v>
      </c>
      <c r="G403" s="67" t="s">
        <v>234</v>
      </c>
      <c r="H403" s="62" t="s">
        <v>65</v>
      </c>
      <c r="I403" s="87">
        <v>45321</v>
      </c>
      <c r="J403" s="67" t="s">
        <v>234</v>
      </c>
      <c r="K403" s="62">
        <v>500</v>
      </c>
      <c r="L403" s="73"/>
      <c r="M403" s="73"/>
      <c r="N403" s="73"/>
    </row>
    <row r="404" spans="1:14" ht="18.45" customHeight="1" x14ac:dyDescent="0.3">
      <c r="A404" s="51" t="s">
        <v>1028</v>
      </c>
      <c r="B404" s="51" t="s">
        <v>1029</v>
      </c>
      <c r="C404" s="51" t="s">
        <v>220</v>
      </c>
      <c r="D404" s="84">
        <v>22</v>
      </c>
      <c r="E404" s="54">
        <v>45318</v>
      </c>
      <c r="F404" s="54">
        <v>45320</v>
      </c>
      <c r="G404" s="67" t="s">
        <v>234</v>
      </c>
      <c r="H404" s="51" t="s">
        <v>65</v>
      </c>
      <c r="I404" s="58">
        <v>45321</v>
      </c>
      <c r="J404" s="67" t="s">
        <v>234</v>
      </c>
      <c r="K404" s="51">
        <v>200</v>
      </c>
      <c r="L404" s="73"/>
      <c r="M404" s="73"/>
      <c r="N404" s="73"/>
    </row>
    <row r="405" spans="1:14" ht="18.45" customHeight="1" x14ac:dyDescent="0.3">
      <c r="A405" s="51" t="s">
        <v>1030</v>
      </c>
      <c r="B405" s="51" t="s">
        <v>1031</v>
      </c>
      <c r="C405" s="51" t="s">
        <v>223</v>
      </c>
      <c r="D405" s="84">
        <v>11</v>
      </c>
      <c r="E405" s="54">
        <v>45318</v>
      </c>
      <c r="F405" s="54">
        <v>45320</v>
      </c>
      <c r="G405" s="67" t="s">
        <v>234</v>
      </c>
      <c r="H405" s="51" t="s">
        <v>65</v>
      </c>
      <c r="I405" s="58">
        <v>45321</v>
      </c>
      <c r="J405" s="67" t="s">
        <v>234</v>
      </c>
      <c r="K405" s="51">
        <v>300</v>
      </c>
      <c r="L405" s="73"/>
      <c r="M405" s="73"/>
      <c r="N405" s="73"/>
    </row>
    <row r="406" spans="1:14" ht="18.45" customHeight="1" x14ac:dyDescent="0.3">
      <c r="A406" s="51" t="s">
        <v>1032</v>
      </c>
      <c r="B406" s="51" t="s">
        <v>1033</v>
      </c>
      <c r="C406" s="51" t="s">
        <v>211</v>
      </c>
      <c r="D406" s="84">
        <v>10</v>
      </c>
      <c r="E406" s="54">
        <v>45318</v>
      </c>
      <c r="F406" s="54">
        <v>45320</v>
      </c>
      <c r="G406" s="67" t="s">
        <v>234</v>
      </c>
      <c r="H406" s="51" t="s">
        <v>65</v>
      </c>
      <c r="I406" s="58">
        <v>45321</v>
      </c>
      <c r="J406" s="67" t="s">
        <v>234</v>
      </c>
      <c r="K406" s="51">
        <v>500</v>
      </c>
      <c r="L406" s="73"/>
      <c r="M406" s="73"/>
      <c r="N406" s="73"/>
    </row>
    <row r="407" spans="1:14" ht="18.45" customHeight="1" x14ac:dyDescent="0.3">
      <c r="A407" s="51" t="s">
        <v>1034</v>
      </c>
      <c r="B407" s="51" t="s">
        <v>1035</v>
      </c>
      <c r="C407" s="51" t="s">
        <v>218</v>
      </c>
      <c r="D407" s="84">
        <v>18</v>
      </c>
      <c r="E407" s="54">
        <v>45318</v>
      </c>
      <c r="F407" s="54">
        <v>45320</v>
      </c>
      <c r="G407" s="67" t="s">
        <v>234</v>
      </c>
      <c r="H407" s="51" t="s">
        <v>65</v>
      </c>
      <c r="I407" s="58">
        <v>45321</v>
      </c>
      <c r="J407" s="67" t="s">
        <v>234</v>
      </c>
      <c r="K407" s="51">
        <v>100</v>
      </c>
      <c r="L407" s="73"/>
      <c r="M407" s="73"/>
      <c r="N407" s="73"/>
    </row>
    <row r="408" spans="1:14" ht="18.45" customHeight="1" x14ac:dyDescent="0.3">
      <c r="A408" s="51" t="s">
        <v>1036</v>
      </c>
      <c r="B408" s="51" t="s">
        <v>1037</v>
      </c>
      <c r="C408" s="51" t="s">
        <v>232</v>
      </c>
      <c r="D408" s="51">
        <v>49</v>
      </c>
      <c r="E408" s="58">
        <v>45313</v>
      </c>
      <c r="F408" s="58">
        <v>45318</v>
      </c>
      <c r="G408" s="67" t="s">
        <v>234</v>
      </c>
      <c r="H408" s="51" t="s">
        <v>65</v>
      </c>
      <c r="I408" s="58">
        <v>45321</v>
      </c>
      <c r="J408" s="67" t="s">
        <v>234</v>
      </c>
      <c r="K408" s="51">
        <v>150</v>
      </c>
      <c r="L408" s="73"/>
      <c r="M408" s="73"/>
      <c r="N408" s="73"/>
    </row>
    <row r="409" spans="1:14" ht="18.45" customHeight="1" x14ac:dyDescent="0.3">
      <c r="A409" s="51" t="s">
        <v>1038</v>
      </c>
      <c r="B409" s="51" t="s">
        <v>1039</v>
      </c>
      <c r="C409" s="51" t="s">
        <v>113</v>
      </c>
      <c r="D409" s="51">
        <v>78</v>
      </c>
      <c r="E409" s="58">
        <v>45318</v>
      </c>
      <c r="F409" s="58">
        <v>45320</v>
      </c>
      <c r="G409" s="67" t="s">
        <v>234</v>
      </c>
      <c r="H409" s="51" t="s">
        <v>65</v>
      </c>
      <c r="I409" s="58">
        <v>45321</v>
      </c>
      <c r="J409" s="67" t="s">
        <v>234</v>
      </c>
      <c r="K409" s="51">
        <v>150</v>
      </c>
      <c r="L409" s="73"/>
      <c r="M409" s="73"/>
      <c r="N409" s="73"/>
    </row>
    <row r="410" spans="1:14" ht="18.45" customHeight="1" x14ac:dyDescent="0.3">
      <c r="A410" s="51" t="s">
        <v>1040</v>
      </c>
      <c r="B410" s="51" t="s">
        <v>1041</v>
      </c>
      <c r="C410" s="51" t="s">
        <v>228</v>
      </c>
      <c r="D410" s="51">
        <v>11</v>
      </c>
      <c r="E410" s="58">
        <v>45317</v>
      </c>
      <c r="F410" s="58">
        <v>45320</v>
      </c>
      <c r="G410" s="67" t="s">
        <v>234</v>
      </c>
      <c r="H410" s="51" t="s">
        <v>65</v>
      </c>
      <c r="I410" s="58">
        <v>45321</v>
      </c>
      <c r="J410" s="67" t="s">
        <v>234</v>
      </c>
      <c r="K410" s="51">
        <v>150</v>
      </c>
      <c r="L410" s="73"/>
      <c r="M410" s="73"/>
      <c r="N410" s="73"/>
    </row>
    <row r="411" spans="1:14" ht="18.45" customHeight="1" x14ac:dyDescent="0.3">
      <c r="A411" s="51" t="s">
        <v>173</v>
      </c>
      <c r="B411" s="51" t="s">
        <v>174</v>
      </c>
      <c r="C411" s="51" t="s">
        <v>232</v>
      </c>
      <c r="D411" s="51">
        <v>17</v>
      </c>
      <c r="E411" s="58">
        <v>45204</v>
      </c>
      <c r="F411" s="58">
        <v>45204</v>
      </c>
      <c r="G411" s="67" t="s">
        <v>234</v>
      </c>
      <c r="H411" s="51" t="s">
        <v>65</v>
      </c>
      <c r="I411" s="58">
        <v>45321</v>
      </c>
      <c r="J411" s="67" t="s">
        <v>234</v>
      </c>
      <c r="K411" s="51">
        <v>300</v>
      </c>
      <c r="L411" s="73"/>
      <c r="M411" s="73"/>
      <c r="N411" s="73"/>
    </row>
    <row r="412" spans="1:14" ht="18.45" customHeight="1" x14ac:dyDescent="0.3">
      <c r="A412" s="48" t="s">
        <v>1042</v>
      </c>
      <c r="B412" s="50" t="s">
        <v>1043</v>
      </c>
      <c r="C412" s="48" t="s">
        <v>135</v>
      </c>
      <c r="D412" s="62">
        <v>48</v>
      </c>
      <c r="E412" s="54">
        <v>45318</v>
      </c>
      <c r="F412" s="54">
        <v>45320</v>
      </c>
      <c r="G412" s="67" t="s">
        <v>234</v>
      </c>
      <c r="H412" s="55" t="s">
        <v>65</v>
      </c>
      <c r="I412" s="92">
        <v>45322</v>
      </c>
      <c r="J412" s="67" t="s">
        <v>234</v>
      </c>
      <c r="K412" s="62">
        <v>150</v>
      </c>
      <c r="L412" s="73"/>
      <c r="M412" s="73"/>
      <c r="N412" s="73"/>
    </row>
    <row r="413" spans="1:14" ht="18.45" customHeight="1" x14ac:dyDescent="0.3">
      <c r="A413" s="48" t="s">
        <v>1044</v>
      </c>
      <c r="B413" s="48" t="s">
        <v>1045</v>
      </c>
      <c r="C413" s="48" t="s">
        <v>135</v>
      </c>
      <c r="D413" s="62">
        <v>53</v>
      </c>
      <c r="E413" s="56">
        <v>45313</v>
      </c>
      <c r="F413" s="56">
        <v>45315</v>
      </c>
      <c r="G413" s="67" t="s">
        <v>234</v>
      </c>
      <c r="H413" s="55" t="s">
        <v>65</v>
      </c>
      <c r="I413" s="92">
        <v>45322</v>
      </c>
      <c r="J413" s="67" t="s">
        <v>234</v>
      </c>
      <c r="K413" s="62">
        <v>350</v>
      </c>
      <c r="L413" s="73"/>
      <c r="M413" s="73"/>
      <c r="N413" s="73"/>
    </row>
    <row r="414" spans="1:14" ht="18.45" customHeight="1" x14ac:dyDescent="0.3">
      <c r="A414" s="48" t="s">
        <v>1046</v>
      </c>
      <c r="B414" s="50" t="s">
        <v>1047</v>
      </c>
      <c r="C414" s="48" t="s">
        <v>2492</v>
      </c>
      <c r="D414" s="62">
        <v>60</v>
      </c>
      <c r="E414" s="54">
        <v>45319</v>
      </c>
      <c r="F414" s="54">
        <v>45320</v>
      </c>
      <c r="G414" s="67" t="s">
        <v>234</v>
      </c>
      <c r="H414" s="55" t="s">
        <v>65</v>
      </c>
      <c r="I414" s="92">
        <v>45322</v>
      </c>
      <c r="J414" s="67" t="s">
        <v>234</v>
      </c>
      <c r="K414" s="62">
        <v>350</v>
      </c>
      <c r="L414" s="73"/>
      <c r="M414" s="73"/>
      <c r="N414" s="73"/>
    </row>
    <row r="415" spans="1:14" ht="18.45" customHeight="1" x14ac:dyDescent="0.3">
      <c r="A415" s="48" t="s">
        <v>1048</v>
      </c>
      <c r="B415" s="48" t="s">
        <v>1049</v>
      </c>
      <c r="C415" s="48" t="s">
        <v>2477</v>
      </c>
      <c r="D415" s="62">
        <v>24</v>
      </c>
      <c r="E415" s="56">
        <v>45315</v>
      </c>
      <c r="F415" s="56">
        <v>45316</v>
      </c>
      <c r="G415" s="67" t="s">
        <v>234</v>
      </c>
      <c r="H415" s="55" t="s">
        <v>65</v>
      </c>
      <c r="I415" s="92">
        <v>45322</v>
      </c>
      <c r="J415" s="67" t="s">
        <v>234</v>
      </c>
      <c r="K415" s="62">
        <v>500</v>
      </c>
      <c r="L415" s="73"/>
      <c r="M415" s="73"/>
      <c r="N415" s="73"/>
    </row>
    <row r="416" spans="1:14" ht="18.45" customHeight="1" x14ac:dyDescent="0.3">
      <c r="A416" s="48" t="s">
        <v>1050</v>
      </c>
      <c r="B416" s="50" t="s">
        <v>1051</v>
      </c>
      <c r="C416" s="48" t="s">
        <v>137</v>
      </c>
      <c r="D416" s="62">
        <v>58</v>
      </c>
      <c r="E416" s="54">
        <v>45318</v>
      </c>
      <c r="F416" s="54">
        <v>45320</v>
      </c>
      <c r="G416" s="67" t="s">
        <v>234</v>
      </c>
      <c r="H416" s="55" t="s">
        <v>65</v>
      </c>
      <c r="I416" s="92">
        <v>45322</v>
      </c>
      <c r="J416" s="67" t="s">
        <v>234</v>
      </c>
      <c r="K416" s="62">
        <v>200</v>
      </c>
      <c r="L416" s="73"/>
      <c r="M416" s="73"/>
      <c r="N416" s="73"/>
    </row>
    <row r="417" spans="1:14" ht="18.45" customHeight="1" x14ac:dyDescent="0.3">
      <c r="A417" s="76" t="s">
        <v>1052</v>
      </c>
      <c r="B417" s="76" t="s">
        <v>1053</v>
      </c>
      <c r="C417" s="76" t="s">
        <v>92</v>
      </c>
      <c r="D417" s="62">
        <v>53</v>
      </c>
      <c r="E417" s="88">
        <v>45302</v>
      </c>
      <c r="F417" s="88">
        <v>45303</v>
      </c>
      <c r="G417" s="67" t="s">
        <v>234</v>
      </c>
      <c r="H417" s="55" t="s">
        <v>65</v>
      </c>
      <c r="I417" s="92">
        <v>45322</v>
      </c>
      <c r="J417" s="67" t="s">
        <v>234</v>
      </c>
      <c r="K417" s="62">
        <v>150</v>
      </c>
      <c r="L417" s="73"/>
      <c r="M417" s="73"/>
      <c r="N417" s="73"/>
    </row>
    <row r="418" spans="1:14" ht="18.45" customHeight="1" x14ac:dyDescent="0.3">
      <c r="A418" s="51" t="s">
        <v>1054</v>
      </c>
      <c r="B418" s="51" t="s">
        <v>1055</v>
      </c>
      <c r="C418" s="51" t="s">
        <v>217</v>
      </c>
      <c r="D418" s="84">
        <v>19</v>
      </c>
      <c r="E418" s="54">
        <v>45318</v>
      </c>
      <c r="F418" s="54">
        <v>45320</v>
      </c>
      <c r="G418" s="67" t="s">
        <v>234</v>
      </c>
      <c r="H418" s="51" t="s">
        <v>65</v>
      </c>
      <c r="I418" s="58">
        <v>45322</v>
      </c>
      <c r="J418" s="67" t="s">
        <v>234</v>
      </c>
      <c r="K418" s="51">
        <v>500</v>
      </c>
      <c r="L418" s="73"/>
      <c r="M418" s="73"/>
      <c r="N418" s="73"/>
    </row>
    <row r="419" spans="1:14" ht="18.45" customHeight="1" x14ac:dyDescent="0.3">
      <c r="A419" s="51" t="s">
        <v>1056</v>
      </c>
      <c r="B419" s="51" t="s">
        <v>1057</v>
      </c>
      <c r="C419" s="51" t="s">
        <v>223</v>
      </c>
      <c r="D419" s="84">
        <v>106</v>
      </c>
      <c r="E419" s="54">
        <v>45321</v>
      </c>
      <c r="F419" s="54">
        <v>45321</v>
      </c>
      <c r="G419" s="67" t="s">
        <v>234</v>
      </c>
      <c r="H419" s="51" t="s">
        <v>65</v>
      </c>
      <c r="I419" s="58">
        <v>45322</v>
      </c>
      <c r="J419" s="67" t="s">
        <v>234</v>
      </c>
      <c r="K419" s="51">
        <v>200</v>
      </c>
      <c r="L419" s="73"/>
      <c r="M419" s="73"/>
      <c r="N419" s="73"/>
    </row>
    <row r="420" spans="1:14" ht="18.45" customHeight="1" x14ac:dyDescent="0.3">
      <c r="A420" s="51" t="s">
        <v>1058</v>
      </c>
      <c r="B420" s="51" t="s">
        <v>1059</v>
      </c>
      <c r="C420" s="51" t="s">
        <v>222</v>
      </c>
      <c r="D420" s="84">
        <v>4</v>
      </c>
      <c r="E420" s="54">
        <v>45321</v>
      </c>
      <c r="F420" s="54">
        <v>45321</v>
      </c>
      <c r="G420" s="67" t="s">
        <v>234</v>
      </c>
      <c r="H420" s="51" t="s">
        <v>65</v>
      </c>
      <c r="I420" s="58">
        <v>45322</v>
      </c>
      <c r="J420" s="67" t="s">
        <v>234</v>
      </c>
      <c r="K420" s="51">
        <v>200</v>
      </c>
      <c r="L420" s="73"/>
      <c r="M420" s="73"/>
      <c r="N420" s="73"/>
    </row>
    <row r="421" spans="1:14" ht="18.45" customHeight="1" x14ac:dyDescent="0.3">
      <c r="A421" s="51" t="s">
        <v>1060</v>
      </c>
      <c r="B421" s="51" t="s">
        <v>1061</v>
      </c>
      <c r="C421" s="51" t="s">
        <v>2493</v>
      </c>
      <c r="D421" s="84">
        <v>2</v>
      </c>
      <c r="E421" s="54">
        <v>45321</v>
      </c>
      <c r="F421" s="54">
        <v>45321</v>
      </c>
      <c r="G421" s="67" t="s">
        <v>234</v>
      </c>
      <c r="H421" s="51" t="s">
        <v>65</v>
      </c>
      <c r="I421" s="58">
        <v>45322</v>
      </c>
      <c r="J421" s="67" t="s">
        <v>234</v>
      </c>
      <c r="K421" s="51">
        <v>200</v>
      </c>
      <c r="L421" s="73"/>
      <c r="M421" s="73"/>
      <c r="N421" s="73"/>
    </row>
    <row r="422" spans="1:14" ht="18.45" customHeight="1" x14ac:dyDescent="0.3">
      <c r="A422" s="51" t="s">
        <v>1062</v>
      </c>
      <c r="B422" s="51" t="s">
        <v>1063</v>
      </c>
      <c r="C422" s="51" t="s">
        <v>2490</v>
      </c>
      <c r="D422" s="84">
        <v>16</v>
      </c>
      <c r="E422" s="54">
        <v>45321</v>
      </c>
      <c r="F422" s="54">
        <v>45321</v>
      </c>
      <c r="G422" s="67" t="s">
        <v>234</v>
      </c>
      <c r="H422" s="51" t="s">
        <v>65</v>
      </c>
      <c r="I422" s="58">
        <v>45322</v>
      </c>
      <c r="J422" s="67" t="s">
        <v>234</v>
      </c>
      <c r="K422" s="51">
        <v>300</v>
      </c>
      <c r="L422" s="73"/>
      <c r="M422" s="73"/>
      <c r="N422" s="73"/>
    </row>
    <row r="423" spans="1:14" ht="18.45" customHeight="1" x14ac:dyDescent="0.3">
      <c r="A423" s="51" t="s">
        <v>1064</v>
      </c>
      <c r="B423" s="51" t="s">
        <v>1065</v>
      </c>
      <c r="C423" s="51" t="s">
        <v>2494</v>
      </c>
      <c r="D423" s="84">
        <v>4</v>
      </c>
      <c r="E423" s="54">
        <v>45321</v>
      </c>
      <c r="F423" s="54">
        <v>45321</v>
      </c>
      <c r="G423" s="67" t="s">
        <v>234</v>
      </c>
      <c r="H423" s="51" t="s">
        <v>65</v>
      </c>
      <c r="I423" s="58">
        <v>45322</v>
      </c>
      <c r="J423" s="67" t="s">
        <v>234</v>
      </c>
      <c r="K423" s="51">
        <v>500</v>
      </c>
      <c r="L423" s="73"/>
      <c r="M423" s="73"/>
      <c r="N423" s="73"/>
    </row>
    <row r="424" spans="1:14" ht="18.45" customHeight="1" x14ac:dyDescent="0.3">
      <c r="A424" s="51" t="s">
        <v>1066</v>
      </c>
      <c r="B424" s="51" t="s">
        <v>1067</v>
      </c>
      <c r="C424" s="51" t="s">
        <v>223</v>
      </c>
      <c r="D424" s="84">
        <v>45</v>
      </c>
      <c r="E424" s="54">
        <v>45321</v>
      </c>
      <c r="F424" s="54">
        <v>45321</v>
      </c>
      <c r="G424" s="67" t="s">
        <v>234</v>
      </c>
      <c r="H424" s="51" t="s">
        <v>65</v>
      </c>
      <c r="I424" s="58">
        <v>45322</v>
      </c>
      <c r="J424" s="67" t="s">
        <v>234</v>
      </c>
      <c r="K424" s="51">
        <v>200</v>
      </c>
      <c r="L424" s="73"/>
      <c r="M424" s="73"/>
      <c r="N424" s="73"/>
    </row>
    <row r="425" spans="1:14" ht="18.45" customHeight="1" x14ac:dyDescent="0.3">
      <c r="A425" s="51" t="s">
        <v>1068</v>
      </c>
      <c r="B425" s="51" t="s">
        <v>1069</v>
      </c>
      <c r="C425" s="51" t="s">
        <v>220</v>
      </c>
      <c r="D425" s="84">
        <v>4</v>
      </c>
      <c r="E425" s="54">
        <v>45321</v>
      </c>
      <c r="F425" s="54">
        <v>45321</v>
      </c>
      <c r="G425" s="67" t="s">
        <v>234</v>
      </c>
      <c r="H425" s="51" t="s">
        <v>65</v>
      </c>
      <c r="I425" s="58">
        <v>45322</v>
      </c>
      <c r="J425" s="67" t="s">
        <v>234</v>
      </c>
      <c r="K425" s="51">
        <v>200</v>
      </c>
      <c r="L425" s="73"/>
      <c r="M425" s="73"/>
      <c r="N425" s="73"/>
    </row>
    <row r="426" spans="1:14" ht="18.45" customHeight="1" x14ac:dyDescent="0.3">
      <c r="A426" s="51" t="s">
        <v>1070</v>
      </c>
      <c r="B426" s="51" t="s">
        <v>1071</v>
      </c>
      <c r="C426" s="51" t="s">
        <v>223</v>
      </c>
      <c r="D426" s="84">
        <v>74</v>
      </c>
      <c r="E426" s="54">
        <v>45321</v>
      </c>
      <c r="F426" s="54">
        <v>45321</v>
      </c>
      <c r="G426" s="67" t="s">
        <v>234</v>
      </c>
      <c r="H426" s="51" t="s">
        <v>65</v>
      </c>
      <c r="I426" s="58">
        <v>45322</v>
      </c>
      <c r="J426" s="67" t="s">
        <v>234</v>
      </c>
      <c r="K426" s="51">
        <v>200</v>
      </c>
      <c r="L426" s="73"/>
      <c r="M426" s="73"/>
      <c r="N426" s="73"/>
    </row>
    <row r="427" spans="1:14" ht="18.45" customHeight="1" x14ac:dyDescent="0.3">
      <c r="A427" s="51" t="s">
        <v>1072</v>
      </c>
      <c r="B427" s="51" t="s">
        <v>1073</v>
      </c>
      <c r="C427" s="51" t="s">
        <v>2495</v>
      </c>
      <c r="D427" s="84">
        <v>3</v>
      </c>
      <c r="E427" s="54">
        <v>45321</v>
      </c>
      <c r="F427" s="54">
        <v>45321</v>
      </c>
      <c r="G427" s="67" t="s">
        <v>234</v>
      </c>
      <c r="H427" s="51" t="s">
        <v>65</v>
      </c>
      <c r="I427" s="58">
        <v>45322</v>
      </c>
      <c r="J427" s="67" t="s">
        <v>234</v>
      </c>
      <c r="K427" s="51">
        <v>300</v>
      </c>
      <c r="L427" s="73"/>
      <c r="M427" s="73"/>
      <c r="N427" s="73"/>
    </row>
    <row r="428" spans="1:14" ht="18.45" customHeight="1" x14ac:dyDescent="0.3">
      <c r="A428" s="51" t="s">
        <v>1074</v>
      </c>
      <c r="B428" s="51" t="s">
        <v>1075</v>
      </c>
      <c r="C428" s="51" t="s">
        <v>232</v>
      </c>
      <c r="D428" s="51">
        <v>39</v>
      </c>
      <c r="E428" s="58">
        <v>45320</v>
      </c>
      <c r="F428" s="58">
        <v>45321</v>
      </c>
      <c r="G428" s="67" t="s">
        <v>234</v>
      </c>
      <c r="H428" s="51" t="s">
        <v>65</v>
      </c>
      <c r="I428" s="58">
        <v>45322</v>
      </c>
      <c r="J428" s="67" t="s">
        <v>234</v>
      </c>
      <c r="K428" s="51">
        <v>300</v>
      </c>
      <c r="L428" s="73"/>
      <c r="M428" s="73"/>
      <c r="N428" s="73"/>
    </row>
    <row r="429" spans="1:14" ht="18.45" customHeight="1" x14ac:dyDescent="0.3">
      <c r="A429" s="51" t="s">
        <v>1076</v>
      </c>
      <c r="B429" s="51" t="s">
        <v>1077</v>
      </c>
      <c r="C429" s="51" t="s">
        <v>228</v>
      </c>
      <c r="D429" s="51">
        <v>27</v>
      </c>
      <c r="E429" s="58">
        <v>45320</v>
      </c>
      <c r="F429" s="58">
        <v>45321</v>
      </c>
      <c r="G429" s="67" t="s">
        <v>234</v>
      </c>
      <c r="H429" s="51" t="s">
        <v>65</v>
      </c>
      <c r="I429" s="58">
        <v>45322</v>
      </c>
      <c r="J429" s="67" t="s">
        <v>234</v>
      </c>
      <c r="K429" s="51">
        <v>250</v>
      </c>
      <c r="L429" s="73"/>
      <c r="M429" s="73"/>
      <c r="N429" s="73"/>
    </row>
    <row r="430" spans="1:14" ht="18.45" customHeight="1" x14ac:dyDescent="0.3">
      <c r="A430" s="51" t="s">
        <v>1078</v>
      </c>
      <c r="B430" s="51" t="s">
        <v>1079</v>
      </c>
      <c r="C430" s="51" t="s">
        <v>232</v>
      </c>
      <c r="D430" s="51">
        <v>54</v>
      </c>
      <c r="E430" s="58">
        <v>45320</v>
      </c>
      <c r="F430" s="58">
        <v>45321</v>
      </c>
      <c r="G430" s="67" t="s">
        <v>234</v>
      </c>
      <c r="H430" s="51" t="s">
        <v>65</v>
      </c>
      <c r="I430" s="58">
        <v>45322</v>
      </c>
      <c r="J430" s="67" t="s">
        <v>234</v>
      </c>
      <c r="K430" s="51">
        <v>300</v>
      </c>
      <c r="L430" s="73"/>
      <c r="M430" s="73"/>
      <c r="N430" s="73"/>
    </row>
    <row r="431" spans="1:14" ht="18.45" customHeight="1" x14ac:dyDescent="0.3">
      <c r="A431" s="48" t="s">
        <v>1080</v>
      </c>
      <c r="B431" s="50" t="s">
        <v>1081</v>
      </c>
      <c r="C431" s="48" t="s">
        <v>2492</v>
      </c>
      <c r="D431" s="62">
        <v>76</v>
      </c>
      <c r="E431" s="54">
        <v>45317</v>
      </c>
      <c r="F431" s="54">
        <v>45320</v>
      </c>
      <c r="G431" s="67" t="s">
        <v>234</v>
      </c>
      <c r="H431" s="55" t="s">
        <v>65</v>
      </c>
      <c r="I431" s="92">
        <v>45323</v>
      </c>
      <c r="J431" s="67" t="s">
        <v>234</v>
      </c>
      <c r="K431" s="62">
        <v>360</v>
      </c>
      <c r="L431" s="73"/>
      <c r="M431" s="73"/>
      <c r="N431" s="73"/>
    </row>
    <row r="432" spans="1:14" ht="18.45" customHeight="1" x14ac:dyDescent="0.3">
      <c r="A432" s="99" t="s">
        <v>1082</v>
      </c>
      <c r="B432" s="75" t="s">
        <v>1083</v>
      </c>
      <c r="C432" s="99" t="s">
        <v>134</v>
      </c>
      <c r="D432" s="71">
        <v>55</v>
      </c>
      <c r="E432" s="85">
        <v>45320</v>
      </c>
      <c r="F432" s="85">
        <v>45322</v>
      </c>
      <c r="G432" s="67" t="s">
        <v>234</v>
      </c>
      <c r="H432" s="55" t="s">
        <v>65</v>
      </c>
      <c r="I432" s="87">
        <v>45323</v>
      </c>
      <c r="J432" s="67" t="s">
        <v>234</v>
      </c>
      <c r="K432" s="62">
        <v>150</v>
      </c>
      <c r="L432" s="73"/>
      <c r="M432" s="73"/>
      <c r="N432" s="73"/>
    </row>
    <row r="433" spans="1:14" ht="18.45" customHeight="1" x14ac:dyDescent="0.3">
      <c r="A433" s="48" t="s">
        <v>1084</v>
      </c>
      <c r="B433" s="50" t="s">
        <v>1085</v>
      </c>
      <c r="C433" s="48" t="s">
        <v>2496</v>
      </c>
      <c r="D433" s="62">
        <v>10</v>
      </c>
      <c r="E433" s="54">
        <v>45316</v>
      </c>
      <c r="F433" s="54">
        <v>45320</v>
      </c>
      <c r="G433" s="67" t="s">
        <v>234</v>
      </c>
      <c r="H433" s="55" t="s">
        <v>65</v>
      </c>
      <c r="I433" s="92">
        <v>45323</v>
      </c>
      <c r="J433" s="67" t="s">
        <v>234</v>
      </c>
      <c r="K433" s="62">
        <v>260</v>
      </c>
      <c r="L433" s="73"/>
      <c r="M433" s="73"/>
      <c r="N433" s="73"/>
    </row>
    <row r="434" spans="1:14" ht="18.45" customHeight="1" x14ac:dyDescent="0.3">
      <c r="A434" s="99" t="s">
        <v>1086</v>
      </c>
      <c r="B434" s="75" t="s">
        <v>1087</v>
      </c>
      <c r="C434" s="99" t="s">
        <v>120</v>
      </c>
      <c r="D434" s="71">
        <v>21</v>
      </c>
      <c r="E434" s="85">
        <v>45320</v>
      </c>
      <c r="F434" s="85">
        <v>45321</v>
      </c>
      <c r="G434" s="67" t="s">
        <v>234</v>
      </c>
      <c r="H434" s="55" t="s">
        <v>65</v>
      </c>
      <c r="I434" s="87">
        <v>45323</v>
      </c>
      <c r="J434" s="67" t="s">
        <v>234</v>
      </c>
      <c r="K434" s="62">
        <v>200</v>
      </c>
      <c r="L434" s="73"/>
      <c r="M434" s="73"/>
      <c r="N434" s="73"/>
    </row>
    <row r="435" spans="1:14" ht="18.45" customHeight="1" x14ac:dyDescent="0.3">
      <c r="A435" s="99" t="s">
        <v>1088</v>
      </c>
      <c r="B435" s="75" t="s">
        <v>1089</v>
      </c>
      <c r="C435" s="99" t="s">
        <v>92</v>
      </c>
      <c r="D435" s="71">
        <v>78</v>
      </c>
      <c r="E435" s="85">
        <v>45320</v>
      </c>
      <c r="F435" s="85">
        <v>45321</v>
      </c>
      <c r="G435" s="67" t="s">
        <v>234</v>
      </c>
      <c r="H435" s="55" t="s">
        <v>65</v>
      </c>
      <c r="I435" s="87">
        <v>45323</v>
      </c>
      <c r="J435" s="67" t="s">
        <v>234</v>
      </c>
      <c r="K435" s="62">
        <v>100</v>
      </c>
      <c r="L435" s="73"/>
      <c r="M435" s="73"/>
      <c r="N435" s="73"/>
    </row>
    <row r="436" spans="1:14" ht="18.45" customHeight="1" x14ac:dyDescent="0.3">
      <c r="A436" s="99" t="s">
        <v>1090</v>
      </c>
      <c r="B436" s="75" t="s">
        <v>1091</v>
      </c>
      <c r="C436" s="99" t="s">
        <v>135</v>
      </c>
      <c r="D436" s="71">
        <v>67</v>
      </c>
      <c r="E436" s="85">
        <v>45320</v>
      </c>
      <c r="F436" s="85">
        <v>45321</v>
      </c>
      <c r="G436" s="67" t="s">
        <v>234</v>
      </c>
      <c r="H436" s="55" t="s">
        <v>65</v>
      </c>
      <c r="I436" s="87">
        <v>45323</v>
      </c>
      <c r="J436" s="67" t="s">
        <v>234</v>
      </c>
      <c r="K436" s="62">
        <v>260</v>
      </c>
      <c r="L436" s="73"/>
      <c r="M436" s="73"/>
      <c r="N436" s="73"/>
    </row>
    <row r="437" spans="1:14" ht="18.45" customHeight="1" x14ac:dyDescent="0.3">
      <c r="A437" s="51" t="s">
        <v>1092</v>
      </c>
      <c r="B437" s="51" t="s">
        <v>1093</v>
      </c>
      <c r="C437" s="51" t="s">
        <v>213</v>
      </c>
      <c r="D437" s="84">
        <v>7</v>
      </c>
      <c r="E437" s="54">
        <v>45321</v>
      </c>
      <c r="F437" s="54">
        <v>45321</v>
      </c>
      <c r="G437" s="67" t="s">
        <v>234</v>
      </c>
      <c r="H437" s="51" t="s">
        <v>65</v>
      </c>
      <c r="I437" s="58">
        <v>45323</v>
      </c>
      <c r="J437" s="67" t="s">
        <v>234</v>
      </c>
      <c r="K437" s="51">
        <v>500</v>
      </c>
      <c r="L437" s="73"/>
      <c r="M437" s="73"/>
      <c r="N437" s="73"/>
    </row>
    <row r="438" spans="1:14" ht="18.45" customHeight="1" x14ac:dyDescent="0.3">
      <c r="A438" s="51" t="s">
        <v>1094</v>
      </c>
      <c r="B438" s="51" t="s">
        <v>1095</v>
      </c>
      <c r="C438" s="51" t="s">
        <v>223</v>
      </c>
      <c r="D438" s="84">
        <v>25</v>
      </c>
      <c r="E438" s="54">
        <v>45307</v>
      </c>
      <c r="F438" s="54">
        <v>45322</v>
      </c>
      <c r="G438" s="67" t="s">
        <v>234</v>
      </c>
      <c r="H438" s="51" t="s">
        <v>65</v>
      </c>
      <c r="I438" s="58">
        <v>45323</v>
      </c>
      <c r="J438" s="67" t="s">
        <v>234</v>
      </c>
      <c r="K438" s="51">
        <v>300</v>
      </c>
      <c r="L438" s="73"/>
      <c r="M438" s="73"/>
      <c r="N438" s="73"/>
    </row>
    <row r="439" spans="1:14" ht="18.45" customHeight="1" x14ac:dyDescent="0.3">
      <c r="A439" s="51" t="s">
        <v>1096</v>
      </c>
      <c r="B439" s="51" t="s">
        <v>1097</v>
      </c>
      <c r="C439" s="51" t="s">
        <v>211</v>
      </c>
      <c r="D439" s="84">
        <v>9</v>
      </c>
      <c r="E439" s="54">
        <v>45321</v>
      </c>
      <c r="F439" s="54">
        <v>45322</v>
      </c>
      <c r="G439" s="67" t="s">
        <v>234</v>
      </c>
      <c r="H439" s="51" t="s">
        <v>65</v>
      </c>
      <c r="I439" s="58">
        <v>45323</v>
      </c>
      <c r="J439" s="67" t="s">
        <v>234</v>
      </c>
      <c r="K439" s="51">
        <v>300</v>
      </c>
      <c r="L439" s="73"/>
      <c r="M439" s="73"/>
      <c r="N439" s="73"/>
    </row>
    <row r="440" spans="1:14" ht="18.45" customHeight="1" x14ac:dyDescent="0.3">
      <c r="A440" s="51" t="s">
        <v>1098</v>
      </c>
      <c r="B440" s="51" t="s">
        <v>1099</v>
      </c>
      <c r="C440" s="51" t="s">
        <v>232</v>
      </c>
      <c r="D440" s="51">
        <v>37</v>
      </c>
      <c r="E440" s="58">
        <v>45321</v>
      </c>
      <c r="F440" s="58">
        <v>45322</v>
      </c>
      <c r="G440" s="67" t="s">
        <v>234</v>
      </c>
      <c r="H440" s="51" t="s">
        <v>65</v>
      </c>
      <c r="I440" s="58">
        <v>45323</v>
      </c>
      <c r="J440" s="67" t="s">
        <v>234</v>
      </c>
      <c r="K440" s="51">
        <v>350</v>
      </c>
      <c r="L440" s="73"/>
      <c r="M440" s="73"/>
      <c r="N440" s="73"/>
    </row>
    <row r="441" spans="1:14" ht="18.45" customHeight="1" x14ac:dyDescent="0.3">
      <c r="A441" s="51" t="s">
        <v>1100</v>
      </c>
      <c r="B441" s="51" t="s">
        <v>1101</v>
      </c>
      <c r="C441" s="51" t="s">
        <v>113</v>
      </c>
      <c r="D441" s="51">
        <v>113</v>
      </c>
      <c r="E441" s="58">
        <v>45321</v>
      </c>
      <c r="F441" s="58">
        <v>45322</v>
      </c>
      <c r="G441" s="67" t="s">
        <v>234</v>
      </c>
      <c r="H441" s="51" t="s">
        <v>65</v>
      </c>
      <c r="I441" s="58">
        <v>45323</v>
      </c>
      <c r="J441" s="67" t="s">
        <v>234</v>
      </c>
      <c r="K441" s="51">
        <v>150</v>
      </c>
      <c r="L441" s="73"/>
      <c r="M441" s="73"/>
      <c r="N441" s="73"/>
    </row>
    <row r="442" spans="1:14" ht="18.45" customHeight="1" x14ac:dyDescent="0.3">
      <c r="A442" s="51" t="s">
        <v>1102</v>
      </c>
      <c r="B442" s="51" t="s">
        <v>1103</v>
      </c>
      <c r="C442" s="51" t="s">
        <v>230</v>
      </c>
      <c r="D442" s="51">
        <v>17</v>
      </c>
      <c r="E442" s="58">
        <v>45321</v>
      </c>
      <c r="F442" s="58">
        <v>45322</v>
      </c>
      <c r="G442" s="67" t="s">
        <v>234</v>
      </c>
      <c r="H442" s="51" t="s">
        <v>65</v>
      </c>
      <c r="I442" s="58">
        <v>45323</v>
      </c>
      <c r="J442" s="67" t="s">
        <v>234</v>
      </c>
      <c r="K442" s="51">
        <v>250</v>
      </c>
      <c r="L442" s="73"/>
      <c r="M442" s="73"/>
      <c r="N442" s="73"/>
    </row>
    <row r="443" spans="1:14" ht="18.45" customHeight="1" x14ac:dyDescent="0.3">
      <c r="A443" s="51" t="s">
        <v>1104</v>
      </c>
      <c r="B443" s="51" t="s">
        <v>1105</v>
      </c>
      <c r="C443" s="51" t="s">
        <v>228</v>
      </c>
      <c r="D443" s="51">
        <v>29</v>
      </c>
      <c r="E443" s="58">
        <v>45315</v>
      </c>
      <c r="F443" s="58">
        <v>45322</v>
      </c>
      <c r="G443" s="67" t="s">
        <v>234</v>
      </c>
      <c r="H443" s="51" t="s">
        <v>65</v>
      </c>
      <c r="I443" s="58">
        <v>45323</v>
      </c>
      <c r="J443" s="67" t="s">
        <v>234</v>
      </c>
      <c r="K443" s="51">
        <v>200</v>
      </c>
      <c r="L443" s="73"/>
      <c r="M443" s="73"/>
      <c r="N443" s="73"/>
    </row>
    <row r="444" spans="1:14" ht="18.45" customHeight="1" x14ac:dyDescent="0.3">
      <c r="A444" s="51" t="s">
        <v>1106</v>
      </c>
      <c r="B444" s="51" t="s">
        <v>1107</v>
      </c>
      <c r="C444" s="51" t="s">
        <v>227</v>
      </c>
      <c r="D444" s="51">
        <v>68</v>
      </c>
      <c r="E444" s="58">
        <v>45321</v>
      </c>
      <c r="F444" s="58">
        <v>45322</v>
      </c>
      <c r="G444" s="67" t="s">
        <v>234</v>
      </c>
      <c r="H444" s="51" t="s">
        <v>65</v>
      </c>
      <c r="I444" s="58">
        <v>45323</v>
      </c>
      <c r="J444" s="67" t="s">
        <v>234</v>
      </c>
      <c r="K444" s="51">
        <v>350</v>
      </c>
      <c r="L444" s="73"/>
      <c r="M444" s="73"/>
      <c r="N444" s="73"/>
    </row>
    <row r="445" spans="1:14" ht="18.45" customHeight="1" x14ac:dyDescent="0.3">
      <c r="A445" s="51" t="s">
        <v>1108</v>
      </c>
      <c r="B445" s="51" t="s">
        <v>1109</v>
      </c>
      <c r="C445" s="51" t="s">
        <v>227</v>
      </c>
      <c r="D445" s="51">
        <v>92</v>
      </c>
      <c r="E445" s="58">
        <v>45321</v>
      </c>
      <c r="F445" s="58">
        <v>45322</v>
      </c>
      <c r="G445" s="67" t="s">
        <v>234</v>
      </c>
      <c r="H445" s="51" t="s">
        <v>65</v>
      </c>
      <c r="I445" s="58">
        <v>45323</v>
      </c>
      <c r="J445" s="67" t="s">
        <v>234</v>
      </c>
      <c r="K445" s="51">
        <v>150</v>
      </c>
      <c r="L445" s="73"/>
      <c r="M445" s="73"/>
      <c r="N445" s="73"/>
    </row>
    <row r="446" spans="1:14" ht="18.45" customHeight="1" x14ac:dyDescent="0.3">
      <c r="A446" s="51" t="s">
        <v>1110</v>
      </c>
      <c r="B446" s="51" t="s">
        <v>1111</v>
      </c>
      <c r="C446" s="51" t="s">
        <v>232</v>
      </c>
      <c r="D446" s="51">
        <v>29</v>
      </c>
      <c r="E446" s="58">
        <v>45321</v>
      </c>
      <c r="F446" s="58">
        <v>45322</v>
      </c>
      <c r="G446" s="67" t="s">
        <v>234</v>
      </c>
      <c r="H446" s="51" t="s">
        <v>65</v>
      </c>
      <c r="I446" s="58">
        <v>45323</v>
      </c>
      <c r="J446" s="67" t="s">
        <v>234</v>
      </c>
      <c r="K446" s="51">
        <v>200</v>
      </c>
      <c r="L446" s="73"/>
      <c r="M446" s="73"/>
      <c r="N446" s="73"/>
    </row>
    <row r="447" spans="1:14" ht="18.45" customHeight="1" x14ac:dyDescent="0.3">
      <c r="A447" s="51" t="s">
        <v>1112</v>
      </c>
      <c r="B447" s="51" t="s">
        <v>1113</v>
      </c>
      <c r="C447" s="51" t="s">
        <v>227</v>
      </c>
      <c r="D447" s="51">
        <v>5</v>
      </c>
      <c r="E447" s="58">
        <v>45239</v>
      </c>
      <c r="F447" s="58">
        <v>45240</v>
      </c>
      <c r="G447" s="67" t="s">
        <v>234</v>
      </c>
      <c r="H447" s="51" t="s">
        <v>65</v>
      </c>
      <c r="I447" s="58">
        <v>45323</v>
      </c>
      <c r="J447" s="67" t="s">
        <v>234</v>
      </c>
      <c r="K447" s="51">
        <v>250</v>
      </c>
      <c r="L447" s="73"/>
      <c r="M447" s="73"/>
      <c r="N447" s="73"/>
    </row>
    <row r="448" spans="1:14" ht="18.45" customHeight="1" x14ac:dyDescent="0.3">
      <c r="A448" s="76" t="s">
        <v>1114</v>
      </c>
      <c r="B448" s="76" t="s">
        <v>1115</v>
      </c>
      <c r="C448" s="76" t="s">
        <v>94</v>
      </c>
      <c r="D448" s="62">
        <v>78</v>
      </c>
      <c r="E448" s="88">
        <v>45307</v>
      </c>
      <c r="F448" s="88">
        <v>45308</v>
      </c>
      <c r="G448" s="67" t="s">
        <v>234</v>
      </c>
      <c r="H448" s="55" t="s">
        <v>65</v>
      </c>
      <c r="I448" s="92">
        <v>45324</v>
      </c>
      <c r="J448" s="67" t="s">
        <v>234</v>
      </c>
      <c r="K448" s="62">
        <v>370</v>
      </c>
      <c r="L448" s="73"/>
      <c r="M448" s="73"/>
      <c r="N448" s="73"/>
    </row>
    <row r="449" spans="1:14" ht="18.45" customHeight="1" x14ac:dyDescent="0.3">
      <c r="A449" s="48" t="s">
        <v>1116</v>
      </c>
      <c r="B449" s="48" t="s">
        <v>1117</v>
      </c>
      <c r="C449" s="48" t="s">
        <v>235</v>
      </c>
      <c r="D449" s="62">
        <v>24</v>
      </c>
      <c r="E449" s="56">
        <v>45316</v>
      </c>
      <c r="F449" s="56">
        <v>45317</v>
      </c>
      <c r="G449" s="67" t="s">
        <v>234</v>
      </c>
      <c r="H449" s="55" t="s">
        <v>65</v>
      </c>
      <c r="I449" s="92">
        <v>45324</v>
      </c>
      <c r="J449" s="67" t="s">
        <v>234</v>
      </c>
      <c r="K449" s="62">
        <v>270</v>
      </c>
      <c r="L449" s="73"/>
      <c r="M449" s="73"/>
      <c r="N449" s="73"/>
    </row>
    <row r="450" spans="1:14" ht="18.45" customHeight="1" x14ac:dyDescent="0.3">
      <c r="A450" s="48" t="s">
        <v>1118</v>
      </c>
      <c r="B450" s="50" t="s">
        <v>1119</v>
      </c>
      <c r="C450" s="48" t="s">
        <v>94</v>
      </c>
      <c r="D450" s="62">
        <v>74</v>
      </c>
      <c r="E450" s="54">
        <v>45318</v>
      </c>
      <c r="F450" s="54">
        <v>45321</v>
      </c>
      <c r="G450" s="67" t="s">
        <v>234</v>
      </c>
      <c r="H450" s="55" t="s">
        <v>65</v>
      </c>
      <c r="I450" s="92">
        <v>45324</v>
      </c>
      <c r="J450" s="67" t="s">
        <v>234</v>
      </c>
      <c r="K450" s="62">
        <v>250</v>
      </c>
      <c r="L450" s="73"/>
      <c r="M450" s="73"/>
      <c r="N450" s="73"/>
    </row>
    <row r="451" spans="1:14" ht="18.45" customHeight="1" x14ac:dyDescent="0.3">
      <c r="A451" s="48" t="s">
        <v>1120</v>
      </c>
      <c r="B451" s="50" t="s">
        <v>1121</v>
      </c>
      <c r="C451" s="48" t="s">
        <v>96</v>
      </c>
      <c r="D451" s="62">
        <v>8</v>
      </c>
      <c r="E451" s="54">
        <v>45320</v>
      </c>
      <c r="F451" s="54">
        <v>45321</v>
      </c>
      <c r="G451" s="67" t="s">
        <v>234</v>
      </c>
      <c r="H451" s="55" t="s">
        <v>65</v>
      </c>
      <c r="I451" s="92">
        <v>45324</v>
      </c>
      <c r="J451" s="67" t="s">
        <v>234</v>
      </c>
      <c r="K451" s="62">
        <v>250</v>
      </c>
      <c r="L451" s="73"/>
      <c r="M451" s="73"/>
      <c r="N451" s="73"/>
    </row>
    <row r="452" spans="1:14" ht="18.45" customHeight="1" x14ac:dyDescent="0.3">
      <c r="A452" s="48" t="s">
        <v>1122</v>
      </c>
      <c r="B452" s="50" t="s">
        <v>1123</v>
      </c>
      <c r="C452" s="48" t="s">
        <v>2477</v>
      </c>
      <c r="D452" s="62">
        <v>51</v>
      </c>
      <c r="E452" s="54">
        <v>45320</v>
      </c>
      <c r="F452" s="54">
        <v>45321</v>
      </c>
      <c r="G452" s="67" t="s">
        <v>234</v>
      </c>
      <c r="H452" s="55" t="s">
        <v>65</v>
      </c>
      <c r="I452" s="92">
        <v>45324</v>
      </c>
      <c r="J452" s="67" t="s">
        <v>234</v>
      </c>
      <c r="K452" s="62">
        <v>350</v>
      </c>
      <c r="L452" s="73"/>
      <c r="M452" s="73"/>
      <c r="N452" s="73"/>
    </row>
    <row r="453" spans="1:14" ht="18.45" customHeight="1" x14ac:dyDescent="0.3">
      <c r="A453" s="48" t="s">
        <v>1124</v>
      </c>
      <c r="B453" s="50" t="s">
        <v>1125</v>
      </c>
      <c r="C453" s="48" t="s">
        <v>2497</v>
      </c>
      <c r="D453" s="62">
        <v>97</v>
      </c>
      <c r="E453" s="54">
        <v>45321</v>
      </c>
      <c r="F453" s="54">
        <v>45322</v>
      </c>
      <c r="G453" s="67" t="s">
        <v>234</v>
      </c>
      <c r="H453" s="55" t="s">
        <v>65</v>
      </c>
      <c r="I453" s="92">
        <v>45324</v>
      </c>
      <c r="J453" s="67" t="s">
        <v>234</v>
      </c>
      <c r="K453" s="62">
        <v>100</v>
      </c>
      <c r="L453" s="73"/>
      <c r="M453" s="73"/>
      <c r="N453" s="73"/>
    </row>
    <row r="454" spans="1:14" ht="18.45" customHeight="1" x14ac:dyDescent="0.3">
      <c r="A454" s="48" t="s">
        <v>1126</v>
      </c>
      <c r="B454" s="50" t="s">
        <v>1127</v>
      </c>
      <c r="C454" s="48" t="s">
        <v>120</v>
      </c>
      <c r="D454" s="62">
        <v>197</v>
      </c>
      <c r="E454" s="54">
        <v>45322</v>
      </c>
      <c r="F454" s="54">
        <v>45323</v>
      </c>
      <c r="G454" s="67" t="s">
        <v>234</v>
      </c>
      <c r="H454" s="55" t="s">
        <v>65</v>
      </c>
      <c r="I454" s="92">
        <v>45324</v>
      </c>
      <c r="J454" s="67" t="s">
        <v>234</v>
      </c>
      <c r="K454" s="62">
        <v>50</v>
      </c>
      <c r="L454" s="73"/>
      <c r="M454" s="73"/>
      <c r="N454" s="73"/>
    </row>
    <row r="455" spans="1:14" ht="18.45" customHeight="1" x14ac:dyDescent="0.3">
      <c r="A455" s="48" t="s">
        <v>1128</v>
      </c>
      <c r="B455" s="50" t="s">
        <v>1129</v>
      </c>
      <c r="C455" s="48" t="s">
        <v>2477</v>
      </c>
      <c r="D455" s="62">
        <v>88</v>
      </c>
      <c r="E455" s="54">
        <v>45322</v>
      </c>
      <c r="F455" s="54">
        <v>45323</v>
      </c>
      <c r="G455" s="67" t="s">
        <v>234</v>
      </c>
      <c r="H455" s="55" t="s">
        <v>65</v>
      </c>
      <c r="I455" s="92">
        <v>45324</v>
      </c>
      <c r="J455" s="67" t="s">
        <v>234</v>
      </c>
      <c r="K455" s="62">
        <v>300</v>
      </c>
      <c r="L455" s="73"/>
      <c r="M455" s="73"/>
      <c r="N455" s="73"/>
    </row>
    <row r="456" spans="1:14" ht="18.45" customHeight="1" x14ac:dyDescent="0.3">
      <c r="A456" s="51" t="s">
        <v>1130</v>
      </c>
      <c r="B456" s="51" t="s">
        <v>1131</v>
      </c>
      <c r="C456" s="51" t="s">
        <v>2498</v>
      </c>
      <c r="D456" s="84">
        <v>17</v>
      </c>
      <c r="E456" s="54">
        <v>45324</v>
      </c>
      <c r="F456" s="54">
        <v>45324</v>
      </c>
      <c r="G456" s="67" t="s">
        <v>234</v>
      </c>
      <c r="H456" s="51" t="s">
        <v>65</v>
      </c>
      <c r="I456" s="58">
        <v>45324</v>
      </c>
      <c r="J456" s="67" t="s">
        <v>234</v>
      </c>
      <c r="K456" s="51">
        <v>200</v>
      </c>
      <c r="L456" s="73"/>
      <c r="M456" s="73"/>
      <c r="N456" s="73"/>
    </row>
    <row r="457" spans="1:14" ht="18.45" customHeight="1" x14ac:dyDescent="0.3">
      <c r="A457" s="51" t="s">
        <v>1132</v>
      </c>
      <c r="B457" s="51" t="s">
        <v>1133</v>
      </c>
      <c r="C457" s="51" t="s">
        <v>2498</v>
      </c>
      <c r="D457" s="84">
        <v>94</v>
      </c>
      <c r="E457" s="54">
        <v>45323</v>
      </c>
      <c r="F457" s="54">
        <v>45324</v>
      </c>
      <c r="G457" s="67" t="s">
        <v>234</v>
      </c>
      <c r="H457" s="51" t="s">
        <v>65</v>
      </c>
      <c r="I457" s="58">
        <v>45324</v>
      </c>
      <c r="J457" s="67" t="s">
        <v>234</v>
      </c>
      <c r="K457" s="51">
        <v>200</v>
      </c>
      <c r="L457" s="73"/>
      <c r="M457" s="73"/>
      <c r="N457" s="73"/>
    </row>
    <row r="458" spans="1:14" ht="18.45" customHeight="1" x14ac:dyDescent="0.3">
      <c r="A458" s="51" t="s">
        <v>1134</v>
      </c>
      <c r="B458" s="51" t="s">
        <v>1135</v>
      </c>
      <c r="C458" s="51" t="s">
        <v>219</v>
      </c>
      <c r="D458" s="84">
        <v>7</v>
      </c>
      <c r="E458" s="54">
        <v>44902</v>
      </c>
      <c r="F458" s="54">
        <v>44908</v>
      </c>
      <c r="G458" s="67" t="s">
        <v>234</v>
      </c>
      <c r="H458" s="51" t="s">
        <v>65</v>
      </c>
      <c r="I458" s="58">
        <v>45324</v>
      </c>
      <c r="J458" s="67" t="s">
        <v>234</v>
      </c>
      <c r="K458" s="51">
        <v>500</v>
      </c>
      <c r="L458" s="73"/>
      <c r="M458" s="73"/>
      <c r="N458" s="73"/>
    </row>
    <row r="459" spans="1:14" ht="18.45" customHeight="1" x14ac:dyDescent="0.3">
      <c r="A459" s="51" t="s">
        <v>1136</v>
      </c>
      <c r="B459" s="51" t="s">
        <v>1137</v>
      </c>
      <c r="C459" s="51" t="s">
        <v>232</v>
      </c>
      <c r="D459" s="51">
        <v>81</v>
      </c>
      <c r="E459" s="58">
        <v>45321</v>
      </c>
      <c r="F459" s="58">
        <v>45322</v>
      </c>
      <c r="G459" s="67" t="s">
        <v>234</v>
      </c>
      <c r="H459" s="51" t="s">
        <v>65</v>
      </c>
      <c r="I459" s="58">
        <v>45324</v>
      </c>
      <c r="J459" s="67" t="s">
        <v>234</v>
      </c>
      <c r="K459" s="51">
        <v>80</v>
      </c>
      <c r="L459" s="73"/>
      <c r="M459" s="73"/>
      <c r="N459" s="73"/>
    </row>
    <row r="460" spans="1:14" ht="18.45" customHeight="1" x14ac:dyDescent="0.3">
      <c r="A460" s="51" t="s">
        <v>1138</v>
      </c>
      <c r="B460" s="51" t="s">
        <v>1139</v>
      </c>
      <c r="C460" s="51" t="s">
        <v>232</v>
      </c>
      <c r="D460" s="51">
        <v>45</v>
      </c>
      <c r="E460" s="58">
        <v>45321</v>
      </c>
      <c r="F460" s="58">
        <v>45322</v>
      </c>
      <c r="G460" s="67" t="s">
        <v>234</v>
      </c>
      <c r="H460" s="51" t="s">
        <v>65</v>
      </c>
      <c r="I460" s="58">
        <v>45324</v>
      </c>
      <c r="J460" s="67" t="s">
        <v>234</v>
      </c>
      <c r="K460" s="51">
        <v>80</v>
      </c>
      <c r="L460" s="73"/>
      <c r="M460" s="73"/>
      <c r="N460" s="73"/>
    </row>
    <row r="461" spans="1:14" ht="18.45" customHeight="1" x14ac:dyDescent="0.3">
      <c r="A461" s="51" t="s">
        <v>1140</v>
      </c>
      <c r="B461" s="51" t="s">
        <v>1141</v>
      </c>
      <c r="C461" s="51" t="s">
        <v>232</v>
      </c>
      <c r="D461" s="51">
        <v>77</v>
      </c>
      <c r="E461" s="58">
        <v>45318</v>
      </c>
      <c r="F461" s="58">
        <v>45320</v>
      </c>
      <c r="G461" s="67" t="s">
        <v>234</v>
      </c>
      <c r="H461" s="51" t="s">
        <v>65</v>
      </c>
      <c r="I461" s="58">
        <v>45324</v>
      </c>
      <c r="J461" s="67" t="s">
        <v>234</v>
      </c>
      <c r="K461" s="51">
        <v>200</v>
      </c>
      <c r="L461" s="73"/>
      <c r="M461" s="73"/>
      <c r="N461" s="73"/>
    </row>
    <row r="462" spans="1:14" ht="18.45" customHeight="1" x14ac:dyDescent="0.3">
      <c r="A462" s="51" t="s">
        <v>1142</v>
      </c>
      <c r="B462" s="51" t="s">
        <v>1143</v>
      </c>
      <c r="C462" s="51" t="s">
        <v>232</v>
      </c>
      <c r="D462" s="51">
        <v>77</v>
      </c>
      <c r="E462" s="58">
        <v>45318</v>
      </c>
      <c r="F462" s="58">
        <v>45320</v>
      </c>
      <c r="G462" s="67" t="s">
        <v>234</v>
      </c>
      <c r="H462" s="51" t="s">
        <v>65</v>
      </c>
      <c r="I462" s="58">
        <v>45324</v>
      </c>
      <c r="J462" s="67" t="s">
        <v>234</v>
      </c>
      <c r="K462" s="51">
        <v>150</v>
      </c>
      <c r="L462" s="73"/>
      <c r="M462" s="73"/>
      <c r="N462" s="73"/>
    </row>
    <row r="463" spans="1:14" ht="18.45" customHeight="1" x14ac:dyDescent="0.3">
      <c r="A463" s="51" t="s">
        <v>1144</v>
      </c>
      <c r="B463" s="51" t="s">
        <v>1145</v>
      </c>
      <c r="C463" s="51" t="s">
        <v>232</v>
      </c>
      <c r="D463" s="51">
        <v>71</v>
      </c>
      <c r="E463" s="58">
        <v>45320</v>
      </c>
      <c r="F463" s="58">
        <v>45321</v>
      </c>
      <c r="G463" s="67" t="s">
        <v>234</v>
      </c>
      <c r="H463" s="51" t="s">
        <v>65</v>
      </c>
      <c r="I463" s="58">
        <v>45324</v>
      </c>
      <c r="J463" s="67" t="s">
        <v>234</v>
      </c>
      <c r="K463" s="51">
        <v>80</v>
      </c>
      <c r="L463" s="73"/>
      <c r="M463" s="73"/>
      <c r="N463" s="73"/>
    </row>
    <row r="464" spans="1:14" ht="18.45" customHeight="1" x14ac:dyDescent="0.3">
      <c r="A464" s="51" t="s">
        <v>1146</v>
      </c>
      <c r="B464" s="51" t="s">
        <v>1147</v>
      </c>
      <c r="C464" s="51" t="s">
        <v>232</v>
      </c>
      <c r="D464" s="51">
        <v>77</v>
      </c>
      <c r="E464" s="58">
        <v>45313</v>
      </c>
      <c r="F464" s="58">
        <v>45314</v>
      </c>
      <c r="G464" s="67" t="s">
        <v>234</v>
      </c>
      <c r="H464" s="51" t="s">
        <v>65</v>
      </c>
      <c r="I464" s="58">
        <v>45324</v>
      </c>
      <c r="J464" s="67" t="s">
        <v>234</v>
      </c>
      <c r="K464" s="51">
        <v>150</v>
      </c>
      <c r="L464" s="73"/>
      <c r="M464" s="73"/>
      <c r="N464" s="73"/>
    </row>
    <row r="465" spans="1:14" ht="18.45" customHeight="1" x14ac:dyDescent="0.3">
      <c r="A465" s="51" t="s">
        <v>1148</v>
      </c>
      <c r="B465" s="51" t="s">
        <v>1149</v>
      </c>
      <c r="C465" s="51" t="s">
        <v>232</v>
      </c>
      <c r="D465" s="51">
        <v>74</v>
      </c>
      <c r="E465" s="58">
        <v>45300</v>
      </c>
      <c r="F465" s="58">
        <v>45301</v>
      </c>
      <c r="G465" s="67" t="s">
        <v>234</v>
      </c>
      <c r="H465" s="51" t="s">
        <v>65</v>
      </c>
      <c r="I465" s="58">
        <v>45324</v>
      </c>
      <c r="J465" s="67" t="s">
        <v>234</v>
      </c>
      <c r="K465" s="51">
        <v>150</v>
      </c>
      <c r="L465" s="73"/>
      <c r="M465" s="73"/>
      <c r="N465" s="73"/>
    </row>
    <row r="466" spans="1:14" ht="18.45" customHeight="1" x14ac:dyDescent="0.3">
      <c r="A466" s="51" t="s">
        <v>1150</v>
      </c>
      <c r="B466" s="51" t="s">
        <v>1151</v>
      </c>
      <c r="C466" s="51" t="s">
        <v>232</v>
      </c>
      <c r="D466" s="51">
        <v>73</v>
      </c>
      <c r="E466" s="58">
        <v>45303</v>
      </c>
      <c r="F466" s="58">
        <v>45303</v>
      </c>
      <c r="G466" s="67" t="s">
        <v>234</v>
      </c>
      <c r="H466" s="51" t="s">
        <v>65</v>
      </c>
      <c r="I466" s="58">
        <v>45324</v>
      </c>
      <c r="J466" s="67" t="s">
        <v>234</v>
      </c>
      <c r="K466" s="51">
        <v>200</v>
      </c>
      <c r="L466" s="73"/>
      <c r="M466" s="73"/>
      <c r="N466" s="73"/>
    </row>
    <row r="467" spans="1:14" ht="18.45" customHeight="1" x14ac:dyDescent="0.3">
      <c r="A467" s="51" t="s">
        <v>1152</v>
      </c>
      <c r="B467" s="51" t="s">
        <v>1153</v>
      </c>
      <c r="C467" s="51" t="s">
        <v>232</v>
      </c>
      <c r="D467" s="51">
        <v>69</v>
      </c>
      <c r="E467" s="58">
        <v>45313</v>
      </c>
      <c r="F467" s="58">
        <v>45317</v>
      </c>
      <c r="G467" s="67" t="s">
        <v>234</v>
      </c>
      <c r="H467" s="51" t="s">
        <v>65</v>
      </c>
      <c r="I467" s="58">
        <v>45324</v>
      </c>
      <c r="J467" s="67" t="s">
        <v>234</v>
      </c>
      <c r="K467" s="51">
        <v>250</v>
      </c>
      <c r="L467" s="73"/>
      <c r="M467" s="73"/>
      <c r="N467" s="73"/>
    </row>
    <row r="468" spans="1:14" ht="18.45" customHeight="1" x14ac:dyDescent="0.3">
      <c r="A468" s="51" t="s">
        <v>1154</v>
      </c>
      <c r="B468" s="51" t="s">
        <v>1155</v>
      </c>
      <c r="C468" s="51" t="s">
        <v>232</v>
      </c>
      <c r="D468" s="51">
        <v>69</v>
      </c>
      <c r="E468" s="58">
        <v>45316</v>
      </c>
      <c r="F468" s="58">
        <v>45318</v>
      </c>
      <c r="G468" s="67" t="s">
        <v>234</v>
      </c>
      <c r="H468" s="51" t="s">
        <v>65</v>
      </c>
      <c r="I468" s="58">
        <v>45324</v>
      </c>
      <c r="J468" s="67" t="s">
        <v>234</v>
      </c>
      <c r="K468" s="51">
        <v>250</v>
      </c>
      <c r="L468" s="73"/>
      <c r="M468" s="73"/>
      <c r="N468" s="73"/>
    </row>
    <row r="469" spans="1:14" ht="18.45" customHeight="1" x14ac:dyDescent="0.3">
      <c r="A469" s="51" t="s">
        <v>1156</v>
      </c>
      <c r="B469" s="51" t="s">
        <v>1157</v>
      </c>
      <c r="C469" s="51" t="s">
        <v>232</v>
      </c>
      <c r="D469" s="51">
        <v>65</v>
      </c>
      <c r="E469" s="58">
        <v>45309</v>
      </c>
      <c r="F469" s="58">
        <v>45320</v>
      </c>
      <c r="G469" s="67" t="s">
        <v>234</v>
      </c>
      <c r="H469" s="51" t="s">
        <v>65</v>
      </c>
      <c r="I469" s="58">
        <v>45324</v>
      </c>
      <c r="J469" s="67" t="s">
        <v>234</v>
      </c>
      <c r="K469" s="51">
        <v>250</v>
      </c>
      <c r="L469" s="73"/>
      <c r="M469" s="73"/>
      <c r="N469" s="73"/>
    </row>
    <row r="470" spans="1:14" ht="18.45" customHeight="1" x14ac:dyDescent="0.3">
      <c r="A470" s="51" t="s">
        <v>1158</v>
      </c>
      <c r="B470" s="51" t="s">
        <v>1159</v>
      </c>
      <c r="C470" s="51" t="s">
        <v>232</v>
      </c>
      <c r="D470" s="51">
        <v>82</v>
      </c>
      <c r="E470" s="58">
        <v>45323</v>
      </c>
      <c r="F470" s="58">
        <v>45323</v>
      </c>
      <c r="G470" s="67" t="s">
        <v>234</v>
      </c>
      <c r="H470" s="51" t="s">
        <v>65</v>
      </c>
      <c r="I470" s="58">
        <v>45324</v>
      </c>
      <c r="J470" s="67" t="s">
        <v>234</v>
      </c>
      <c r="K470" s="51">
        <v>200</v>
      </c>
      <c r="L470" s="73"/>
      <c r="M470" s="73"/>
      <c r="N470" s="73"/>
    </row>
    <row r="471" spans="1:14" ht="18.45" customHeight="1" x14ac:dyDescent="0.3">
      <c r="A471" s="48" t="s">
        <v>1160</v>
      </c>
      <c r="B471" s="48" t="s">
        <v>1161</v>
      </c>
      <c r="C471" s="48" t="s">
        <v>94</v>
      </c>
      <c r="D471" s="62">
        <v>58</v>
      </c>
      <c r="E471" s="56">
        <v>45316</v>
      </c>
      <c r="F471" s="56">
        <v>45317</v>
      </c>
      <c r="G471" s="67" t="s">
        <v>234</v>
      </c>
      <c r="H471" s="55" t="s">
        <v>65</v>
      </c>
      <c r="I471" s="86">
        <v>45325</v>
      </c>
      <c r="J471" s="67" t="s">
        <v>234</v>
      </c>
      <c r="K471" s="62">
        <v>380</v>
      </c>
      <c r="L471" s="73"/>
      <c r="M471" s="73"/>
      <c r="N471" s="73"/>
    </row>
    <row r="472" spans="1:14" ht="18.45" customHeight="1" x14ac:dyDescent="0.3">
      <c r="A472" s="99" t="s">
        <v>1162</v>
      </c>
      <c r="B472" s="75" t="s">
        <v>1163</v>
      </c>
      <c r="C472" s="99" t="s">
        <v>94</v>
      </c>
      <c r="D472" s="71">
        <v>63</v>
      </c>
      <c r="E472" s="85">
        <v>45323</v>
      </c>
      <c r="F472" s="85">
        <v>45324</v>
      </c>
      <c r="G472" s="67" t="s">
        <v>234</v>
      </c>
      <c r="H472" s="55" t="s">
        <v>65</v>
      </c>
      <c r="I472" s="86">
        <v>45325</v>
      </c>
      <c r="J472" s="67" t="s">
        <v>234</v>
      </c>
      <c r="K472" s="71">
        <v>150</v>
      </c>
      <c r="L472" s="73"/>
      <c r="M472" s="73"/>
      <c r="N472" s="73"/>
    </row>
    <row r="473" spans="1:14" ht="18.45" customHeight="1" x14ac:dyDescent="0.3">
      <c r="A473" s="48" t="s">
        <v>1164</v>
      </c>
      <c r="B473" s="50" t="s">
        <v>1165</v>
      </c>
      <c r="C473" s="48" t="s">
        <v>2477</v>
      </c>
      <c r="D473" s="62">
        <v>77</v>
      </c>
      <c r="E473" s="54">
        <v>45313</v>
      </c>
      <c r="F473" s="54">
        <v>45315</v>
      </c>
      <c r="G473" s="67" t="s">
        <v>234</v>
      </c>
      <c r="H473" s="55" t="s">
        <v>65</v>
      </c>
      <c r="I473" s="86">
        <v>45325</v>
      </c>
      <c r="J473" s="67" t="s">
        <v>234</v>
      </c>
      <c r="K473" s="62">
        <v>150</v>
      </c>
      <c r="L473" s="73"/>
      <c r="M473" s="73"/>
      <c r="N473" s="73"/>
    </row>
    <row r="474" spans="1:14" ht="18.45" customHeight="1" x14ac:dyDescent="0.3">
      <c r="A474" s="99" t="s">
        <v>1166</v>
      </c>
      <c r="B474" s="75" t="s">
        <v>1167</v>
      </c>
      <c r="C474" s="99" t="s">
        <v>2477</v>
      </c>
      <c r="D474" s="71">
        <v>40</v>
      </c>
      <c r="E474" s="85">
        <v>45320</v>
      </c>
      <c r="F474" s="85">
        <v>45321</v>
      </c>
      <c r="G474" s="67" t="s">
        <v>234</v>
      </c>
      <c r="H474" s="55" t="s">
        <v>65</v>
      </c>
      <c r="I474" s="86">
        <v>45325</v>
      </c>
      <c r="J474" s="67" t="s">
        <v>234</v>
      </c>
      <c r="K474" s="62">
        <v>250</v>
      </c>
      <c r="L474" s="73"/>
      <c r="M474" s="73"/>
      <c r="N474" s="73"/>
    </row>
    <row r="475" spans="1:14" ht="18.45" customHeight="1" x14ac:dyDescent="0.3">
      <c r="A475" s="51" t="s">
        <v>1168</v>
      </c>
      <c r="B475" s="51" t="s">
        <v>1169</v>
      </c>
      <c r="C475" s="51" t="s">
        <v>2490</v>
      </c>
      <c r="D475" s="84">
        <v>22</v>
      </c>
      <c r="E475" s="54">
        <v>45324</v>
      </c>
      <c r="F475" s="54">
        <v>45324</v>
      </c>
      <c r="G475" s="67" t="s">
        <v>234</v>
      </c>
      <c r="H475" s="51" t="s">
        <v>65</v>
      </c>
      <c r="I475" s="58">
        <v>45325</v>
      </c>
      <c r="J475" s="67" t="s">
        <v>234</v>
      </c>
      <c r="K475" s="51">
        <v>200</v>
      </c>
      <c r="L475" s="73"/>
      <c r="M475" s="73"/>
      <c r="N475" s="73"/>
    </row>
    <row r="476" spans="1:14" ht="18.45" customHeight="1" x14ac:dyDescent="0.3">
      <c r="A476" s="51" t="s">
        <v>1170</v>
      </c>
      <c r="B476" s="51" t="s">
        <v>1171</v>
      </c>
      <c r="C476" s="51" t="s">
        <v>230</v>
      </c>
      <c r="D476" s="51">
        <v>25</v>
      </c>
      <c r="E476" s="58">
        <v>45321</v>
      </c>
      <c r="F476" s="58">
        <v>45322</v>
      </c>
      <c r="G476" s="67" t="s">
        <v>234</v>
      </c>
      <c r="H476" s="51" t="s">
        <v>65</v>
      </c>
      <c r="I476" s="58">
        <v>45325</v>
      </c>
      <c r="J476" s="67" t="s">
        <v>234</v>
      </c>
      <c r="K476" s="51">
        <v>150</v>
      </c>
      <c r="L476" s="73"/>
      <c r="M476" s="73"/>
      <c r="N476" s="73"/>
    </row>
    <row r="477" spans="1:14" ht="18.45" customHeight="1" x14ac:dyDescent="0.3">
      <c r="A477" s="51" t="s">
        <v>1172</v>
      </c>
      <c r="B477" s="51" t="s">
        <v>1173</v>
      </c>
      <c r="C477" s="51" t="s">
        <v>228</v>
      </c>
      <c r="D477" s="51">
        <v>31</v>
      </c>
      <c r="E477" s="58">
        <v>45321</v>
      </c>
      <c r="F477" s="58">
        <v>45322</v>
      </c>
      <c r="G477" s="67" t="s">
        <v>234</v>
      </c>
      <c r="H477" s="51" t="s">
        <v>65</v>
      </c>
      <c r="I477" s="58">
        <v>45325</v>
      </c>
      <c r="J477" s="67" t="s">
        <v>234</v>
      </c>
      <c r="K477" s="51">
        <v>350</v>
      </c>
      <c r="L477" s="73"/>
      <c r="M477" s="73"/>
      <c r="N477" s="73"/>
    </row>
    <row r="478" spans="1:14" ht="18.45" customHeight="1" x14ac:dyDescent="0.3">
      <c r="A478" s="51" t="s">
        <v>1174</v>
      </c>
      <c r="B478" s="51" t="s">
        <v>1175</v>
      </c>
      <c r="C478" s="51" t="s">
        <v>232</v>
      </c>
      <c r="D478" s="51">
        <v>75</v>
      </c>
      <c r="E478" s="58">
        <v>45323</v>
      </c>
      <c r="F478" s="58">
        <v>45323</v>
      </c>
      <c r="G478" s="67" t="s">
        <v>234</v>
      </c>
      <c r="H478" s="51" t="s">
        <v>65</v>
      </c>
      <c r="I478" s="58">
        <v>45325</v>
      </c>
      <c r="J478" s="67" t="s">
        <v>234</v>
      </c>
      <c r="K478" s="51">
        <v>100</v>
      </c>
      <c r="L478" s="73"/>
      <c r="M478" s="73"/>
      <c r="N478" s="73"/>
    </row>
    <row r="479" spans="1:14" ht="18.45" customHeight="1" x14ac:dyDescent="0.3">
      <c r="A479" s="51" t="s">
        <v>1176</v>
      </c>
      <c r="B479" s="51" t="s">
        <v>1177</v>
      </c>
      <c r="C479" s="51" t="s">
        <v>232</v>
      </c>
      <c r="D479" s="51">
        <v>26</v>
      </c>
      <c r="E479" s="58">
        <v>45323</v>
      </c>
      <c r="F479" s="58">
        <v>45324</v>
      </c>
      <c r="G479" s="67" t="s">
        <v>234</v>
      </c>
      <c r="H479" s="51" t="s">
        <v>65</v>
      </c>
      <c r="I479" s="58">
        <v>45325</v>
      </c>
      <c r="J479" s="67" t="s">
        <v>234</v>
      </c>
      <c r="K479" s="51">
        <v>250</v>
      </c>
      <c r="L479" s="73"/>
      <c r="M479" s="73"/>
      <c r="N479" s="73"/>
    </row>
    <row r="480" spans="1:14" ht="18.45" customHeight="1" x14ac:dyDescent="0.3">
      <c r="A480" s="51" t="s">
        <v>1178</v>
      </c>
      <c r="B480" s="51" t="s">
        <v>1179</v>
      </c>
      <c r="C480" s="51" t="s">
        <v>232</v>
      </c>
      <c r="D480" s="51">
        <v>39</v>
      </c>
      <c r="E480" s="58">
        <v>45323</v>
      </c>
      <c r="F480" s="58">
        <v>45324</v>
      </c>
      <c r="G480" s="67" t="s">
        <v>234</v>
      </c>
      <c r="H480" s="51" t="s">
        <v>65</v>
      </c>
      <c r="I480" s="58">
        <v>45325</v>
      </c>
      <c r="J480" s="67" t="s">
        <v>234</v>
      </c>
      <c r="K480" s="51">
        <v>100</v>
      </c>
      <c r="L480" s="73"/>
      <c r="M480" s="73"/>
      <c r="N480" s="73"/>
    </row>
    <row r="481" spans="1:14" ht="18.45" customHeight="1" x14ac:dyDescent="0.3">
      <c r="A481" s="51" t="s">
        <v>1180</v>
      </c>
      <c r="B481" s="51" t="s">
        <v>1181</v>
      </c>
      <c r="C481" s="51" t="s">
        <v>113</v>
      </c>
      <c r="D481" s="51">
        <v>21</v>
      </c>
      <c r="E481" s="58">
        <v>45323</v>
      </c>
      <c r="F481" s="58">
        <v>45324</v>
      </c>
      <c r="G481" s="67" t="s">
        <v>234</v>
      </c>
      <c r="H481" s="51" t="s">
        <v>65</v>
      </c>
      <c r="I481" s="58">
        <v>45325</v>
      </c>
      <c r="J481" s="67" t="s">
        <v>234</v>
      </c>
      <c r="K481" s="51">
        <v>250</v>
      </c>
      <c r="L481" s="73"/>
      <c r="M481" s="73"/>
      <c r="N481" s="73"/>
    </row>
    <row r="482" spans="1:14" ht="18.45" customHeight="1" x14ac:dyDescent="0.3">
      <c r="A482" s="48" t="s">
        <v>1182</v>
      </c>
      <c r="B482" s="50" t="s">
        <v>1183</v>
      </c>
      <c r="C482" s="48" t="s">
        <v>120</v>
      </c>
      <c r="D482" s="62">
        <v>12</v>
      </c>
      <c r="E482" s="54">
        <v>45250</v>
      </c>
      <c r="F482" s="54">
        <v>45251</v>
      </c>
      <c r="G482" s="67" t="s">
        <v>234</v>
      </c>
      <c r="H482" s="62" t="s">
        <v>65</v>
      </c>
      <c r="I482" s="86">
        <v>45327</v>
      </c>
      <c r="J482" s="67" t="s">
        <v>234</v>
      </c>
      <c r="K482" s="62">
        <v>150</v>
      </c>
      <c r="L482" s="73"/>
      <c r="M482" s="73"/>
      <c r="N482" s="73"/>
    </row>
    <row r="483" spans="1:14" ht="18.45" customHeight="1" x14ac:dyDescent="0.3">
      <c r="A483" s="99" t="s">
        <v>1184</v>
      </c>
      <c r="B483" s="75" t="s">
        <v>1185</v>
      </c>
      <c r="C483" s="99" t="s">
        <v>136</v>
      </c>
      <c r="D483" s="71">
        <v>49</v>
      </c>
      <c r="E483" s="85">
        <v>45322</v>
      </c>
      <c r="F483" s="85">
        <v>45323</v>
      </c>
      <c r="G483" s="67" t="s">
        <v>234</v>
      </c>
      <c r="H483" s="55" t="s">
        <v>65</v>
      </c>
      <c r="I483" s="86">
        <v>45327</v>
      </c>
      <c r="J483" s="67" t="s">
        <v>234</v>
      </c>
      <c r="K483" s="62">
        <v>370</v>
      </c>
      <c r="L483" s="73"/>
      <c r="M483" s="73"/>
      <c r="N483" s="73"/>
    </row>
    <row r="484" spans="1:14" ht="18.45" customHeight="1" x14ac:dyDescent="0.3">
      <c r="A484" s="48" t="s">
        <v>1186</v>
      </c>
      <c r="B484" s="50" t="s">
        <v>1187</v>
      </c>
      <c r="C484" s="48" t="s">
        <v>94</v>
      </c>
      <c r="D484" s="62">
        <v>36</v>
      </c>
      <c r="E484" s="54">
        <v>45307</v>
      </c>
      <c r="F484" s="54">
        <v>45308</v>
      </c>
      <c r="G484" s="67" t="s">
        <v>234</v>
      </c>
      <c r="H484" s="55" t="s">
        <v>65</v>
      </c>
      <c r="I484" s="86">
        <v>45327</v>
      </c>
      <c r="J484" s="67" t="s">
        <v>234</v>
      </c>
      <c r="K484" s="62">
        <v>360</v>
      </c>
      <c r="L484" s="73"/>
      <c r="M484" s="73"/>
      <c r="N484" s="73"/>
    </row>
    <row r="485" spans="1:14" ht="18.45" customHeight="1" x14ac:dyDescent="0.3">
      <c r="A485" s="48" t="s">
        <v>1188</v>
      </c>
      <c r="B485" s="48" t="s">
        <v>1189</v>
      </c>
      <c r="C485" s="48" t="s">
        <v>95</v>
      </c>
      <c r="D485" s="62">
        <v>28</v>
      </c>
      <c r="E485" s="56">
        <v>45314</v>
      </c>
      <c r="F485" s="56">
        <v>45316</v>
      </c>
      <c r="G485" s="67" t="s">
        <v>234</v>
      </c>
      <c r="H485" s="55" t="s">
        <v>65</v>
      </c>
      <c r="I485" s="86">
        <v>45327</v>
      </c>
      <c r="J485" s="67" t="s">
        <v>234</v>
      </c>
      <c r="K485" s="62">
        <v>500</v>
      </c>
      <c r="L485" s="73"/>
      <c r="M485" s="73"/>
      <c r="N485" s="73"/>
    </row>
    <row r="486" spans="1:14" ht="18.45" customHeight="1" x14ac:dyDescent="0.3">
      <c r="A486" s="99" t="s">
        <v>1190</v>
      </c>
      <c r="B486" s="75" t="s">
        <v>1191</v>
      </c>
      <c r="C486" s="99" t="s">
        <v>2477</v>
      </c>
      <c r="D486" s="71">
        <v>46</v>
      </c>
      <c r="E486" s="85">
        <v>45321</v>
      </c>
      <c r="F486" s="85">
        <v>45322</v>
      </c>
      <c r="G486" s="67" t="s">
        <v>234</v>
      </c>
      <c r="H486" s="55" t="s">
        <v>65</v>
      </c>
      <c r="I486" s="86">
        <v>45327</v>
      </c>
      <c r="J486" s="67" t="s">
        <v>234</v>
      </c>
      <c r="K486" s="62">
        <v>350</v>
      </c>
      <c r="L486" s="73"/>
      <c r="M486" s="73"/>
      <c r="N486" s="73"/>
    </row>
    <row r="487" spans="1:14" ht="18.45" customHeight="1" x14ac:dyDescent="0.3">
      <c r="A487" s="48" t="s">
        <v>1192</v>
      </c>
      <c r="B487" s="48" t="s">
        <v>1193</v>
      </c>
      <c r="C487" s="76" t="s">
        <v>2477</v>
      </c>
      <c r="D487" s="62">
        <v>40</v>
      </c>
      <c r="E487" s="54">
        <v>45311</v>
      </c>
      <c r="F487" s="54">
        <v>45311</v>
      </c>
      <c r="G487" s="67" t="s">
        <v>234</v>
      </c>
      <c r="H487" s="55" t="s">
        <v>65</v>
      </c>
      <c r="I487" s="86">
        <v>45327</v>
      </c>
      <c r="J487" s="67" t="s">
        <v>234</v>
      </c>
      <c r="K487" s="62">
        <v>150</v>
      </c>
      <c r="L487" s="73"/>
      <c r="M487" s="73"/>
      <c r="N487" s="73"/>
    </row>
    <row r="488" spans="1:14" ht="18.45" customHeight="1" x14ac:dyDescent="0.3">
      <c r="A488" s="51" t="s">
        <v>1194</v>
      </c>
      <c r="B488" s="51" t="s">
        <v>1195</v>
      </c>
      <c r="C488" s="51" t="s">
        <v>220</v>
      </c>
      <c r="D488" s="84">
        <v>28</v>
      </c>
      <c r="E488" s="54">
        <v>45324</v>
      </c>
      <c r="F488" s="54">
        <v>45324</v>
      </c>
      <c r="G488" s="67" t="s">
        <v>234</v>
      </c>
      <c r="H488" s="51" t="s">
        <v>65</v>
      </c>
      <c r="I488" s="58">
        <v>45327</v>
      </c>
      <c r="J488" s="67" t="s">
        <v>234</v>
      </c>
      <c r="K488" s="51">
        <v>300</v>
      </c>
      <c r="L488" s="73"/>
      <c r="M488" s="73"/>
      <c r="N488" s="73"/>
    </row>
    <row r="489" spans="1:14" ht="18.45" customHeight="1" x14ac:dyDescent="0.3">
      <c r="A489" s="51" t="s">
        <v>1196</v>
      </c>
      <c r="B489" s="51" t="s">
        <v>1197</v>
      </c>
      <c r="C489" s="51" t="s">
        <v>2474</v>
      </c>
      <c r="D489" s="51">
        <v>11</v>
      </c>
      <c r="E489" s="54">
        <v>45324</v>
      </c>
      <c r="F489" s="54">
        <v>45324</v>
      </c>
      <c r="G489" s="67" t="s">
        <v>234</v>
      </c>
      <c r="H489" s="51" t="s">
        <v>65</v>
      </c>
      <c r="I489" s="58">
        <v>45327</v>
      </c>
      <c r="J489" s="67" t="s">
        <v>234</v>
      </c>
      <c r="K489" s="51">
        <v>300</v>
      </c>
      <c r="L489" s="73"/>
      <c r="M489" s="73"/>
      <c r="N489" s="73"/>
    </row>
    <row r="490" spans="1:14" ht="18.45" customHeight="1" x14ac:dyDescent="0.3">
      <c r="A490" s="51" t="s">
        <v>1198</v>
      </c>
      <c r="B490" s="51" t="s">
        <v>1199</v>
      </c>
      <c r="C490" s="51" t="s">
        <v>217</v>
      </c>
      <c r="D490" s="84">
        <v>15</v>
      </c>
      <c r="E490" s="54">
        <v>45308</v>
      </c>
      <c r="F490" s="54">
        <v>45314</v>
      </c>
      <c r="G490" s="67" t="s">
        <v>234</v>
      </c>
      <c r="H490" s="51" t="s">
        <v>65</v>
      </c>
      <c r="I490" s="58">
        <v>45327</v>
      </c>
      <c r="J490" s="67" t="s">
        <v>234</v>
      </c>
      <c r="K490" s="51">
        <v>500</v>
      </c>
      <c r="L490" s="73"/>
      <c r="M490" s="73"/>
      <c r="N490" s="73"/>
    </row>
    <row r="491" spans="1:14" ht="18.45" customHeight="1" x14ac:dyDescent="0.3">
      <c r="A491" s="51" t="s">
        <v>1200</v>
      </c>
      <c r="B491" s="51" t="s">
        <v>1201</v>
      </c>
      <c r="C491" s="51" t="s">
        <v>227</v>
      </c>
      <c r="D491" s="51">
        <v>29</v>
      </c>
      <c r="E491" s="58">
        <v>45324</v>
      </c>
      <c r="F491" s="58">
        <v>45325</v>
      </c>
      <c r="G491" s="67" t="s">
        <v>234</v>
      </c>
      <c r="H491" s="51" t="s">
        <v>65</v>
      </c>
      <c r="I491" s="58">
        <v>45327</v>
      </c>
      <c r="J491" s="67" t="s">
        <v>234</v>
      </c>
      <c r="K491" s="51">
        <v>100</v>
      </c>
      <c r="L491" s="73"/>
      <c r="M491" s="73"/>
      <c r="N491" s="73"/>
    </row>
    <row r="492" spans="1:14" ht="18.45" customHeight="1" x14ac:dyDescent="0.3">
      <c r="A492" s="51" t="s">
        <v>1202</v>
      </c>
      <c r="B492" s="51" t="s">
        <v>1203</v>
      </c>
      <c r="C492" s="51" t="s">
        <v>227</v>
      </c>
      <c r="D492" s="51">
        <v>85</v>
      </c>
      <c r="E492" s="58">
        <v>45325</v>
      </c>
      <c r="F492" s="58">
        <v>45325</v>
      </c>
      <c r="G492" s="67" t="s">
        <v>234</v>
      </c>
      <c r="H492" s="51" t="s">
        <v>65</v>
      </c>
      <c r="I492" s="58">
        <v>45327</v>
      </c>
      <c r="J492" s="67" t="s">
        <v>234</v>
      </c>
      <c r="K492" s="51">
        <v>350</v>
      </c>
      <c r="L492" s="73"/>
      <c r="M492" s="73"/>
      <c r="N492" s="73"/>
    </row>
    <row r="493" spans="1:14" ht="18.45" customHeight="1" x14ac:dyDescent="0.3">
      <c r="A493" s="51" t="s">
        <v>1204</v>
      </c>
      <c r="B493" s="51" t="s">
        <v>1205</v>
      </c>
      <c r="C493" s="51" t="s">
        <v>229</v>
      </c>
      <c r="D493" s="51">
        <v>18</v>
      </c>
      <c r="E493" s="58">
        <v>45325</v>
      </c>
      <c r="F493" s="58">
        <v>45325</v>
      </c>
      <c r="G493" s="67" t="s">
        <v>234</v>
      </c>
      <c r="H493" s="51" t="s">
        <v>65</v>
      </c>
      <c r="I493" s="58">
        <v>45327</v>
      </c>
      <c r="J493" s="67" t="s">
        <v>234</v>
      </c>
      <c r="K493" s="51">
        <v>450</v>
      </c>
      <c r="L493" s="73"/>
      <c r="M493" s="73"/>
      <c r="N493" s="73"/>
    </row>
    <row r="494" spans="1:14" ht="18.45" customHeight="1" x14ac:dyDescent="0.3">
      <c r="A494" s="51" t="s">
        <v>1206</v>
      </c>
      <c r="B494" s="51" t="s">
        <v>1207</v>
      </c>
      <c r="C494" s="51" t="s">
        <v>113</v>
      </c>
      <c r="D494" s="51">
        <v>34</v>
      </c>
      <c r="E494" s="58">
        <v>45325</v>
      </c>
      <c r="F494" s="58">
        <v>45325</v>
      </c>
      <c r="G494" s="67" t="s">
        <v>234</v>
      </c>
      <c r="H494" s="51" t="s">
        <v>65</v>
      </c>
      <c r="I494" s="58">
        <v>45327</v>
      </c>
      <c r="J494" s="67" t="s">
        <v>234</v>
      </c>
      <c r="K494" s="51">
        <v>150</v>
      </c>
      <c r="L494" s="73"/>
      <c r="M494" s="73"/>
      <c r="N494" s="73"/>
    </row>
    <row r="495" spans="1:14" ht="18.45" customHeight="1" x14ac:dyDescent="0.3">
      <c r="A495" s="51" t="s">
        <v>1208</v>
      </c>
      <c r="B495" s="51" t="s">
        <v>1209</v>
      </c>
      <c r="C495" s="51" t="s">
        <v>230</v>
      </c>
      <c r="D495" s="51">
        <v>6</v>
      </c>
      <c r="E495" s="58">
        <v>45325</v>
      </c>
      <c r="F495" s="58">
        <v>45325</v>
      </c>
      <c r="G495" s="67" t="s">
        <v>234</v>
      </c>
      <c r="H495" s="51" t="s">
        <v>65</v>
      </c>
      <c r="I495" s="58">
        <v>45327</v>
      </c>
      <c r="J495" s="67" t="s">
        <v>234</v>
      </c>
      <c r="K495" s="51">
        <v>120</v>
      </c>
      <c r="L495" s="73"/>
      <c r="M495" s="73"/>
      <c r="N495" s="73"/>
    </row>
    <row r="496" spans="1:14" ht="18.45" customHeight="1" x14ac:dyDescent="0.3">
      <c r="A496" s="51" t="s">
        <v>1210</v>
      </c>
      <c r="B496" s="51" t="s">
        <v>1211</v>
      </c>
      <c r="C496" s="51" t="s">
        <v>230</v>
      </c>
      <c r="D496" s="51">
        <v>19</v>
      </c>
      <c r="E496" s="58">
        <v>45324</v>
      </c>
      <c r="F496" s="58">
        <v>45325</v>
      </c>
      <c r="G496" s="67" t="s">
        <v>234</v>
      </c>
      <c r="H496" s="51" t="s">
        <v>65</v>
      </c>
      <c r="I496" s="58">
        <v>45327</v>
      </c>
      <c r="J496" s="67" t="s">
        <v>234</v>
      </c>
      <c r="K496" s="51">
        <v>350</v>
      </c>
      <c r="L496" s="73"/>
      <c r="M496" s="73"/>
      <c r="N496" s="73"/>
    </row>
    <row r="497" spans="1:14" ht="18.45" customHeight="1" x14ac:dyDescent="0.3">
      <c r="A497" s="62" t="s">
        <v>1212</v>
      </c>
      <c r="B497" s="55" t="s">
        <v>1213</v>
      </c>
      <c r="C497" s="62" t="s">
        <v>2488</v>
      </c>
      <c r="D497" s="55">
        <v>46</v>
      </c>
      <c r="E497" s="86">
        <v>45208</v>
      </c>
      <c r="F497" s="86">
        <v>45229</v>
      </c>
      <c r="G497" s="67" t="s">
        <v>234</v>
      </c>
      <c r="H497" s="55" t="s">
        <v>65</v>
      </c>
      <c r="I497" s="86">
        <v>45328</v>
      </c>
      <c r="J497" s="67" t="s">
        <v>234</v>
      </c>
      <c r="K497" s="55">
        <v>50</v>
      </c>
      <c r="L497" s="73"/>
      <c r="M497" s="73"/>
      <c r="N497" s="73"/>
    </row>
    <row r="498" spans="1:14" ht="18.45" customHeight="1" x14ac:dyDescent="0.3">
      <c r="A498" s="48" t="s">
        <v>1214</v>
      </c>
      <c r="B498" s="50" t="s">
        <v>1215</v>
      </c>
      <c r="C498" s="62" t="s">
        <v>2477</v>
      </c>
      <c r="D498" s="62">
        <v>62</v>
      </c>
      <c r="E498" s="54">
        <v>45297</v>
      </c>
      <c r="F498" s="54">
        <v>45299</v>
      </c>
      <c r="G498" s="67" t="s">
        <v>234</v>
      </c>
      <c r="H498" s="55" t="s">
        <v>65</v>
      </c>
      <c r="I498" s="86">
        <v>45328</v>
      </c>
      <c r="J498" s="67" t="s">
        <v>234</v>
      </c>
      <c r="K498" s="62">
        <v>200</v>
      </c>
      <c r="L498" s="73"/>
      <c r="M498" s="73"/>
      <c r="N498" s="73"/>
    </row>
    <row r="499" spans="1:14" ht="18.45" customHeight="1" x14ac:dyDescent="0.3">
      <c r="A499" s="48" t="s">
        <v>1216</v>
      </c>
      <c r="B499" s="50" t="s">
        <v>1217</v>
      </c>
      <c r="C499" s="48" t="s">
        <v>95</v>
      </c>
      <c r="D499" s="62">
        <v>32</v>
      </c>
      <c r="E499" s="54">
        <v>45322</v>
      </c>
      <c r="F499" s="54">
        <v>45323</v>
      </c>
      <c r="G499" s="67" t="s">
        <v>234</v>
      </c>
      <c r="H499" s="55" t="s">
        <v>65</v>
      </c>
      <c r="I499" s="86">
        <v>45328</v>
      </c>
      <c r="J499" s="67" t="s">
        <v>234</v>
      </c>
      <c r="K499" s="62">
        <v>100</v>
      </c>
      <c r="L499" s="73"/>
      <c r="M499" s="73"/>
      <c r="N499" s="73"/>
    </row>
    <row r="500" spans="1:14" ht="18.45" customHeight="1" x14ac:dyDescent="0.3">
      <c r="A500" s="48" t="s">
        <v>1218</v>
      </c>
      <c r="B500" s="48" t="s">
        <v>1219</v>
      </c>
      <c r="C500" s="48" t="s">
        <v>135</v>
      </c>
      <c r="D500" s="62">
        <v>50</v>
      </c>
      <c r="E500" s="56">
        <v>45314</v>
      </c>
      <c r="F500" s="56">
        <v>45316</v>
      </c>
      <c r="G500" s="67" t="s">
        <v>234</v>
      </c>
      <c r="H500" s="55" t="s">
        <v>65</v>
      </c>
      <c r="I500" s="86">
        <v>45328</v>
      </c>
      <c r="J500" s="67" t="s">
        <v>234</v>
      </c>
      <c r="K500" s="62">
        <v>550</v>
      </c>
      <c r="L500" s="73"/>
      <c r="M500" s="73"/>
      <c r="N500" s="73"/>
    </row>
    <row r="501" spans="1:14" ht="18.45" customHeight="1" x14ac:dyDescent="0.3">
      <c r="A501" s="48" t="s">
        <v>1220</v>
      </c>
      <c r="B501" s="50" t="s">
        <v>1221</v>
      </c>
      <c r="C501" s="48" t="s">
        <v>135</v>
      </c>
      <c r="D501" s="62">
        <v>50</v>
      </c>
      <c r="E501" s="54">
        <v>45318</v>
      </c>
      <c r="F501" s="54">
        <v>45320</v>
      </c>
      <c r="G501" s="67" t="s">
        <v>234</v>
      </c>
      <c r="H501" s="55" t="s">
        <v>65</v>
      </c>
      <c r="I501" s="92">
        <v>45328</v>
      </c>
      <c r="J501" s="67" t="s">
        <v>234</v>
      </c>
      <c r="K501" s="62">
        <v>550</v>
      </c>
      <c r="L501" s="73"/>
      <c r="M501" s="73"/>
      <c r="N501" s="73"/>
    </row>
    <row r="502" spans="1:14" ht="18.45" customHeight="1" x14ac:dyDescent="0.3">
      <c r="A502" s="48" t="s">
        <v>1222</v>
      </c>
      <c r="B502" s="48" t="s">
        <v>1223</v>
      </c>
      <c r="C502" s="62" t="s">
        <v>135</v>
      </c>
      <c r="D502" s="62">
        <v>54</v>
      </c>
      <c r="E502" s="56">
        <v>45264</v>
      </c>
      <c r="F502" s="56">
        <v>45264</v>
      </c>
      <c r="G502" s="67" t="s">
        <v>234</v>
      </c>
      <c r="H502" s="55" t="s">
        <v>65</v>
      </c>
      <c r="I502" s="86">
        <v>45328</v>
      </c>
      <c r="J502" s="67" t="s">
        <v>234</v>
      </c>
      <c r="K502" s="62">
        <v>300</v>
      </c>
      <c r="L502" s="73"/>
      <c r="M502" s="73"/>
      <c r="N502" s="73"/>
    </row>
    <row r="503" spans="1:14" ht="18.45" customHeight="1" x14ac:dyDescent="0.3">
      <c r="A503" s="48" t="s">
        <v>1224</v>
      </c>
      <c r="B503" s="50" t="s">
        <v>1225</v>
      </c>
      <c r="C503" s="48" t="s">
        <v>120</v>
      </c>
      <c r="D503" s="62">
        <v>197</v>
      </c>
      <c r="E503" s="54">
        <v>45324</v>
      </c>
      <c r="F503" s="54">
        <v>45325</v>
      </c>
      <c r="G503" s="67" t="s">
        <v>234</v>
      </c>
      <c r="H503" s="55" t="s">
        <v>65</v>
      </c>
      <c r="I503" s="86">
        <v>45328</v>
      </c>
      <c r="J503" s="67" t="s">
        <v>234</v>
      </c>
      <c r="K503" s="62">
        <v>50</v>
      </c>
      <c r="L503" s="73"/>
      <c r="M503" s="73"/>
      <c r="N503" s="73"/>
    </row>
    <row r="504" spans="1:14" ht="18.45" customHeight="1" x14ac:dyDescent="0.3">
      <c r="A504" s="48" t="s">
        <v>1226</v>
      </c>
      <c r="B504" s="50" t="s">
        <v>1227</v>
      </c>
      <c r="C504" s="48" t="s">
        <v>95</v>
      </c>
      <c r="D504" s="62">
        <v>23</v>
      </c>
      <c r="E504" s="54">
        <v>45324</v>
      </c>
      <c r="F504" s="54">
        <v>45325</v>
      </c>
      <c r="G504" s="67" t="s">
        <v>234</v>
      </c>
      <c r="H504" s="55" t="s">
        <v>65</v>
      </c>
      <c r="I504" s="86">
        <v>45328</v>
      </c>
      <c r="J504" s="67" t="s">
        <v>234</v>
      </c>
      <c r="K504" s="62">
        <v>250</v>
      </c>
      <c r="L504" s="73"/>
      <c r="M504" s="73"/>
      <c r="N504" s="73"/>
    </row>
    <row r="505" spans="1:14" ht="18.45" customHeight="1" x14ac:dyDescent="0.3">
      <c r="A505" s="48" t="s">
        <v>1228</v>
      </c>
      <c r="B505" s="50" t="s">
        <v>1229</v>
      </c>
      <c r="C505" s="48" t="s">
        <v>2499</v>
      </c>
      <c r="D505" s="62">
        <v>88</v>
      </c>
      <c r="E505" s="54">
        <v>45324</v>
      </c>
      <c r="F505" s="54">
        <v>45327</v>
      </c>
      <c r="G505" s="67" t="s">
        <v>234</v>
      </c>
      <c r="H505" s="62" t="s">
        <v>65</v>
      </c>
      <c r="I505" s="92">
        <v>45328</v>
      </c>
      <c r="J505" s="67" t="s">
        <v>234</v>
      </c>
      <c r="K505" s="62">
        <v>300</v>
      </c>
      <c r="L505" s="73"/>
      <c r="M505" s="73"/>
      <c r="N505" s="73"/>
    </row>
    <row r="506" spans="1:14" ht="18.45" customHeight="1" x14ac:dyDescent="0.3">
      <c r="A506" s="51" t="s">
        <v>1230</v>
      </c>
      <c r="B506" s="51" t="s">
        <v>1231</v>
      </c>
      <c r="C506" s="51" t="s">
        <v>223</v>
      </c>
      <c r="D506" s="84">
        <v>14</v>
      </c>
      <c r="E506" s="54">
        <v>45326</v>
      </c>
      <c r="F506" s="54">
        <v>45328</v>
      </c>
      <c r="G506" s="67" t="s">
        <v>234</v>
      </c>
      <c r="H506" s="51" t="s">
        <v>65</v>
      </c>
      <c r="I506" s="58">
        <v>45328</v>
      </c>
      <c r="J506" s="67" t="s">
        <v>234</v>
      </c>
      <c r="K506" s="51">
        <v>300</v>
      </c>
      <c r="L506" s="73"/>
      <c r="M506" s="73"/>
      <c r="N506" s="73"/>
    </row>
    <row r="507" spans="1:14" ht="18.45" customHeight="1" x14ac:dyDescent="0.3">
      <c r="A507" s="51" t="s">
        <v>1232</v>
      </c>
      <c r="B507" s="51" t="s">
        <v>1233</v>
      </c>
      <c r="C507" s="51" t="s">
        <v>223</v>
      </c>
      <c r="D507" s="84">
        <v>5</v>
      </c>
      <c r="E507" s="54">
        <v>45326</v>
      </c>
      <c r="F507" s="54">
        <v>45328</v>
      </c>
      <c r="G507" s="67" t="s">
        <v>234</v>
      </c>
      <c r="H507" s="51" t="s">
        <v>65</v>
      </c>
      <c r="I507" s="58">
        <v>45328</v>
      </c>
      <c r="J507" s="67" t="s">
        <v>234</v>
      </c>
      <c r="K507" s="51">
        <v>500</v>
      </c>
      <c r="L507" s="73"/>
      <c r="M507" s="73"/>
      <c r="N507" s="73"/>
    </row>
    <row r="508" spans="1:14" ht="18.45" customHeight="1" x14ac:dyDescent="0.3">
      <c r="A508" s="51" t="s">
        <v>1234</v>
      </c>
      <c r="B508" s="51" t="s">
        <v>1235</v>
      </c>
      <c r="C508" s="51" t="s">
        <v>232</v>
      </c>
      <c r="D508" s="51">
        <v>19</v>
      </c>
      <c r="E508" s="58">
        <v>45320</v>
      </c>
      <c r="F508" s="58">
        <v>45321</v>
      </c>
      <c r="G508" s="67" t="s">
        <v>234</v>
      </c>
      <c r="H508" s="51" t="s">
        <v>65</v>
      </c>
      <c r="I508" s="58">
        <v>45328</v>
      </c>
      <c r="J508" s="67" t="s">
        <v>234</v>
      </c>
      <c r="K508" s="51">
        <v>350</v>
      </c>
      <c r="L508" s="73"/>
      <c r="M508" s="73"/>
      <c r="N508" s="73"/>
    </row>
    <row r="509" spans="1:14" ht="18.45" customHeight="1" x14ac:dyDescent="0.3">
      <c r="A509" s="51" t="s">
        <v>1236</v>
      </c>
      <c r="B509" s="51" t="s">
        <v>1237</v>
      </c>
      <c r="C509" s="51" t="s">
        <v>232</v>
      </c>
      <c r="D509" s="51">
        <v>34</v>
      </c>
      <c r="E509" s="58">
        <v>45323</v>
      </c>
      <c r="F509" s="58">
        <v>45325</v>
      </c>
      <c r="G509" s="67" t="s">
        <v>234</v>
      </c>
      <c r="H509" s="51" t="s">
        <v>65</v>
      </c>
      <c r="I509" s="58">
        <v>45328</v>
      </c>
      <c r="J509" s="67" t="s">
        <v>234</v>
      </c>
      <c r="K509" s="51">
        <v>200</v>
      </c>
      <c r="L509" s="73"/>
      <c r="M509" s="73"/>
      <c r="N509" s="73"/>
    </row>
    <row r="510" spans="1:14" ht="18.45" customHeight="1" x14ac:dyDescent="0.3">
      <c r="A510" s="51" t="s">
        <v>1238</v>
      </c>
      <c r="B510" s="51" t="s">
        <v>1239</v>
      </c>
      <c r="C510" s="51" t="s">
        <v>232</v>
      </c>
      <c r="D510" s="51">
        <v>75</v>
      </c>
      <c r="E510" s="58">
        <v>45324</v>
      </c>
      <c r="F510" s="58">
        <v>45325</v>
      </c>
      <c r="G510" s="67" t="s">
        <v>234</v>
      </c>
      <c r="H510" s="51" t="s">
        <v>65</v>
      </c>
      <c r="I510" s="58">
        <v>45328</v>
      </c>
      <c r="J510" s="67" t="s">
        <v>234</v>
      </c>
      <c r="K510" s="51">
        <v>50</v>
      </c>
      <c r="L510" s="73"/>
      <c r="M510" s="73"/>
      <c r="N510" s="73"/>
    </row>
    <row r="511" spans="1:14" ht="18.45" customHeight="1" x14ac:dyDescent="0.3">
      <c r="A511" s="51" t="s">
        <v>1240</v>
      </c>
      <c r="B511" s="81" t="s">
        <v>1241</v>
      </c>
      <c r="C511" s="51" t="s">
        <v>113</v>
      </c>
      <c r="D511" s="51">
        <v>122</v>
      </c>
      <c r="E511" s="58">
        <v>45313</v>
      </c>
      <c r="F511" s="58">
        <v>45322</v>
      </c>
      <c r="G511" s="67" t="s">
        <v>234</v>
      </c>
      <c r="H511" s="51" t="s">
        <v>65</v>
      </c>
      <c r="I511" s="58">
        <v>45328</v>
      </c>
      <c r="J511" s="67" t="s">
        <v>234</v>
      </c>
      <c r="K511" s="51">
        <v>150</v>
      </c>
      <c r="L511" s="73"/>
      <c r="M511" s="73"/>
      <c r="N511" s="73"/>
    </row>
    <row r="512" spans="1:14" ht="18.45" customHeight="1" x14ac:dyDescent="0.3">
      <c r="A512" s="51" t="s">
        <v>1242</v>
      </c>
      <c r="B512" s="51" t="s">
        <v>1243</v>
      </c>
      <c r="C512" s="51" t="s">
        <v>113</v>
      </c>
      <c r="D512" s="51">
        <v>22</v>
      </c>
      <c r="E512" s="58">
        <v>45320</v>
      </c>
      <c r="F512" s="58">
        <v>45321</v>
      </c>
      <c r="G512" s="67" t="s">
        <v>234</v>
      </c>
      <c r="H512" s="51" t="s">
        <v>65</v>
      </c>
      <c r="I512" s="58">
        <v>45328</v>
      </c>
      <c r="J512" s="67" t="s">
        <v>234</v>
      </c>
      <c r="K512" s="51">
        <v>500</v>
      </c>
      <c r="L512" s="73"/>
      <c r="M512" s="73"/>
      <c r="N512" s="73"/>
    </row>
    <row r="513" spans="1:14" ht="18.45" customHeight="1" x14ac:dyDescent="0.3">
      <c r="A513" s="48" t="s">
        <v>1244</v>
      </c>
      <c r="B513" s="48" t="s">
        <v>1245</v>
      </c>
      <c r="C513" s="48" t="s">
        <v>95</v>
      </c>
      <c r="D513" s="62">
        <v>51</v>
      </c>
      <c r="E513" s="56">
        <v>45316</v>
      </c>
      <c r="F513" s="56">
        <v>45317</v>
      </c>
      <c r="G513" s="67" t="s">
        <v>234</v>
      </c>
      <c r="H513" s="62" t="s">
        <v>65</v>
      </c>
      <c r="I513" s="86">
        <v>45329</v>
      </c>
      <c r="J513" s="67" t="s">
        <v>234</v>
      </c>
      <c r="K513" s="62">
        <v>100</v>
      </c>
      <c r="L513" s="73"/>
      <c r="M513" s="73"/>
      <c r="N513" s="73"/>
    </row>
    <row r="514" spans="1:14" ht="18.45" customHeight="1" x14ac:dyDescent="0.3">
      <c r="A514" s="48" t="s">
        <v>1246</v>
      </c>
      <c r="B514" s="50" t="s">
        <v>1247</v>
      </c>
      <c r="C514" s="48" t="s">
        <v>134</v>
      </c>
      <c r="D514" s="62">
        <v>54</v>
      </c>
      <c r="E514" s="54">
        <v>45323</v>
      </c>
      <c r="F514" s="54">
        <v>45324</v>
      </c>
      <c r="G514" s="67" t="s">
        <v>234</v>
      </c>
      <c r="H514" s="62" t="s">
        <v>65</v>
      </c>
      <c r="I514" s="86">
        <v>45329</v>
      </c>
      <c r="J514" s="67" t="s">
        <v>234</v>
      </c>
      <c r="K514" s="62">
        <v>250</v>
      </c>
      <c r="L514" s="73"/>
      <c r="M514" s="73"/>
      <c r="N514" s="73"/>
    </row>
    <row r="515" spans="1:14" ht="18.45" customHeight="1" x14ac:dyDescent="0.3">
      <c r="A515" s="48" t="s">
        <v>1248</v>
      </c>
      <c r="B515" s="50" t="s">
        <v>1249</v>
      </c>
      <c r="C515" s="48" t="s">
        <v>235</v>
      </c>
      <c r="D515" s="62">
        <v>37</v>
      </c>
      <c r="E515" s="54">
        <v>45323</v>
      </c>
      <c r="F515" s="54">
        <v>45324</v>
      </c>
      <c r="G515" s="67" t="s">
        <v>234</v>
      </c>
      <c r="H515" s="55" t="s">
        <v>65</v>
      </c>
      <c r="I515" s="86">
        <v>45329</v>
      </c>
      <c r="J515" s="67" t="s">
        <v>234</v>
      </c>
      <c r="K515" s="62">
        <v>200</v>
      </c>
      <c r="L515" s="73"/>
      <c r="M515" s="73"/>
      <c r="N515" s="73"/>
    </row>
    <row r="516" spans="1:14" ht="18.45" customHeight="1" x14ac:dyDescent="0.3">
      <c r="A516" s="48" t="s">
        <v>1250</v>
      </c>
      <c r="B516" s="48" t="s">
        <v>1251</v>
      </c>
      <c r="C516" s="48" t="s">
        <v>134</v>
      </c>
      <c r="D516" s="62">
        <v>53</v>
      </c>
      <c r="E516" s="56">
        <v>45280</v>
      </c>
      <c r="F516" s="56">
        <v>45282</v>
      </c>
      <c r="G516" s="67" t="s">
        <v>234</v>
      </c>
      <c r="H516" s="62" t="s">
        <v>65</v>
      </c>
      <c r="I516" s="86">
        <v>45329</v>
      </c>
      <c r="J516" s="67" t="s">
        <v>234</v>
      </c>
      <c r="K516" s="62">
        <v>100</v>
      </c>
      <c r="L516" s="73"/>
      <c r="M516" s="73"/>
      <c r="N516" s="73"/>
    </row>
    <row r="517" spans="1:14" ht="18.45" customHeight="1" x14ac:dyDescent="0.3">
      <c r="A517" s="48" t="s">
        <v>1252</v>
      </c>
      <c r="B517" s="50" t="s">
        <v>1253</v>
      </c>
      <c r="C517" s="48" t="s">
        <v>2477</v>
      </c>
      <c r="D517" s="62">
        <v>75</v>
      </c>
      <c r="E517" s="54">
        <v>45301</v>
      </c>
      <c r="F517" s="54">
        <v>45302</v>
      </c>
      <c r="G517" s="67" t="s">
        <v>234</v>
      </c>
      <c r="H517" s="55" t="s">
        <v>65</v>
      </c>
      <c r="I517" s="86">
        <v>45329</v>
      </c>
      <c r="J517" s="67" t="s">
        <v>234</v>
      </c>
      <c r="K517" s="62">
        <v>410</v>
      </c>
      <c r="L517" s="73"/>
      <c r="M517" s="73"/>
      <c r="N517" s="73"/>
    </row>
    <row r="518" spans="1:14" ht="18.45" customHeight="1" x14ac:dyDescent="0.3">
      <c r="A518" s="51" t="s">
        <v>1254</v>
      </c>
      <c r="B518" s="51" t="s">
        <v>1255</v>
      </c>
      <c r="C518" s="51" t="s">
        <v>223</v>
      </c>
      <c r="D518" s="84">
        <v>79</v>
      </c>
      <c r="E518" s="54">
        <v>45326</v>
      </c>
      <c r="F518" s="54">
        <v>45328</v>
      </c>
      <c r="G518" s="67" t="s">
        <v>234</v>
      </c>
      <c r="H518" s="51" t="s">
        <v>65</v>
      </c>
      <c r="I518" s="58">
        <v>45329</v>
      </c>
      <c r="J518" s="67" t="s">
        <v>234</v>
      </c>
      <c r="K518" s="51">
        <v>500</v>
      </c>
      <c r="L518" s="73"/>
      <c r="M518" s="73"/>
      <c r="N518" s="73"/>
    </row>
    <row r="519" spans="1:14" ht="18.45" customHeight="1" x14ac:dyDescent="0.3">
      <c r="A519" s="51" t="s">
        <v>1256</v>
      </c>
      <c r="B519" s="51" t="s">
        <v>1257</v>
      </c>
      <c r="C519" s="51" t="s">
        <v>223</v>
      </c>
      <c r="D519" s="84">
        <v>70</v>
      </c>
      <c r="E519" s="54">
        <v>45329</v>
      </c>
      <c r="F519" s="54">
        <v>45329</v>
      </c>
      <c r="G519" s="67" t="s">
        <v>234</v>
      </c>
      <c r="H519" s="51" t="s">
        <v>65</v>
      </c>
      <c r="I519" s="58">
        <v>45329</v>
      </c>
      <c r="J519" s="67" t="s">
        <v>234</v>
      </c>
      <c r="K519" s="51">
        <v>200</v>
      </c>
      <c r="L519" s="73"/>
      <c r="M519" s="73"/>
      <c r="N519" s="73"/>
    </row>
    <row r="520" spans="1:14" ht="18.45" customHeight="1" x14ac:dyDescent="0.3">
      <c r="A520" s="51" t="s">
        <v>1258</v>
      </c>
      <c r="B520" s="51" t="s">
        <v>1259</v>
      </c>
      <c r="C520" s="51" t="s">
        <v>232</v>
      </c>
      <c r="D520" s="51">
        <v>19</v>
      </c>
      <c r="E520" s="58">
        <v>45327</v>
      </c>
      <c r="F520" s="58">
        <v>45328</v>
      </c>
      <c r="G520" s="67" t="s">
        <v>234</v>
      </c>
      <c r="H520" s="51" t="s">
        <v>65</v>
      </c>
      <c r="I520" s="58">
        <v>45329</v>
      </c>
      <c r="J520" s="67" t="s">
        <v>234</v>
      </c>
      <c r="K520" s="51">
        <v>200</v>
      </c>
      <c r="L520" s="73"/>
      <c r="M520" s="73"/>
      <c r="N520" s="73"/>
    </row>
    <row r="521" spans="1:14" ht="18.45" customHeight="1" x14ac:dyDescent="0.3">
      <c r="A521" s="51" t="s">
        <v>1260</v>
      </c>
      <c r="B521" s="51" t="s">
        <v>1261</v>
      </c>
      <c r="C521" s="51" t="s">
        <v>232</v>
      </c>
      <c r="D521" s="51">
        <v>81</v>
      </c>
      <c r="E521" s="58">
        <v>45327</v>
      </c>
      <c r="F521" s="58">
        <v>45328</v>
      </c>
      <c r="G521" s="67" t="s">
        <v>234</v>
      </c>
      <c r="H521" s="51" t="s">
        <v>65</v>
      </c>
      <c r="I521" s="58">
        <v>45329</v>
      </c>
      <c r="J521" s="67" t="s">
        <v>234</v>
      </c>
      <c r="K521" s="51">
        <v>400</v>
      </c>
      <c r="L521" s="73"/>
      <c r="M521" s="73"/>
      <c r="N521" s="73"/>
    </row>
    <row r="522" spans="1:14" ht="18.45" customHeight="1" x14ac:dyDescent="0.3">
      <c r="A522" s="51" t="s">
        <v>1262</v>
      </c>
      <c r="B522" s="51" t="s">
        <v>1263</v>
      </c>
      <c r="C522" s="51" t="s">
        <v>232</v>
      </c>
      <c r="D522" s="51">
        <v>57</v>
      </c>
      <c r="E522" s="58">
        <v>45326</v>
      </c>
      <c r="F522" s="58">
        <v>45328</v>
      </c>
      <c r="G522" s="67" t="s">
        <v>234</v>
      </c>
      <c r="H522" s="51" t="s">
        <v>65</v>
      </c>
      <c r="I522" s="58">
        <v>45329</v>
      </c>
      <c r="J522" s="67" t="s">
        <v>234</v>
      </c>
      <c r="K522" s="51">
        <v>350</v>
      </c>
      <c r="L522" s="73"/>
      <c r="M522" s="73"/>
      <c r="N522" s="73"/>
    </row>
    <row r="523" spans="1:14" ht="18.45" customHeight="1" x14ac:dyDescent="0.3">
      <c r="A523" s="51" t="s">
        <v>1264</v>
      </c>
      <c r="B523" s="51" t="s">
        <v>1265</v>
      </c>
      <c r="C523" s="51" t="s">
        <v>227</v>
      </c>
      <c r="D523" s="51">
        <v>6</v>
      </c>
      <c r="E523" s="58">
        <v>45327</v>
      </c>
      <c r="F523" s="58">
        <v>45328</v>
      </c>
      <c r="G523" s="67" t="s">
        <v>234</v>
      </c>
      <c r="H523" s="51" t="s">
        <v>65</v>
      </c>
      <c r="I523" s="58">
        <v>45329</v>
      </c>
      <c r="J523" s="67" t="s">
        <v>234</v>
      </c>
      <c r="K523" s="51">
        <v>150</v>
      </c>
      <c r="L523" s="73"/>
      <c r="M523" s="73"/>
      <c r="N523" s="73"/>
    </row>
    <row r="524" spans="1:14" ht="18.45" customHeight="1" x14ac:dyDescent="0.3">
      <c r="A524" s="48" t="s">
        <v>1266</v>
      </c>
      <c r="B524" s="48" t="s">
        <v>1267</v>
      </c>
      <c r="C524" s="48" t="s">
        <v>92</v>
      </c>
      <c r="D524" s="62">
        <v>8</v>
      </c>
      <c r="E524" s="56">
        <v>45281</v>
      </c>
      <c r="F524" s="56">
        <v>45282</v>
      </c>
      <c r="G524" s="67" t="s">
        <v>234</v>
      </c>
      <c r="H524" s="62" t="s">
        <v>65</v>
      </c>
      <c r="I524" s="86">
        <v>45330</v>
      </c>
      <c r="J524" s="67" t="s">
        <v>234</v>
      </c>
      <c r="K524" s="62">
        <v>320</v>
      </c>
      <c r="L524" s="73"/>
      <c r="M524" s="73"/>
      <c r="N524" s="73"/>
    </row>
    <row r="525" spans="1:14" ht="18.45" customHeight="1" x14ac:dyDescent="0.3">
      <c r="A525" s="48" t="s">
        <v>1268</v>
      </c>
      <c r="B525" s="62" t="s">
        <v>1269</v>
      </c>
      <c r="C525" s="48" t="s">
        <v>2500</v>
      </c>
      <c r="D525" s="62">
        <v>18</v>
      </c>
      <c r="E525" s="54">
        <v>45323</v>
      </c>
      <c r="F525" s="54">
        <v>45323</v>
      </c>
      <c r="G525" s="67" t="s">
        <v>234</v>
      </c>
      <c r="H525" s="62" t="s">
        <v>65</v>
      </c>
      <c r="I525" s="86">
        <v>45330</v>
      </c>
      <c r="J525" s="67" t="s">
        <v>234</v>
      </c>
      <c r="K525" s="62">
        <v>200</v>
      </c>
      <c r="L525" s="73"/>
      <c r="M525" s="73"/>
      <c r="N525" s="73"/>
    </row>
    <row r="526" spans="1:14" ht="18.45" customHeight="1" x14ac:dyDescent="0.3">
      <c r="A526" s="48" t="s">
        <v>1270</v>
      </c>
      <c r="B526" s="50" t="s">
        <v>1271</v>
      </c>
      <c r="C526" s="48" t="s">
        <v>2500</v>
      </c>
      <c r="D526" s="62">
        <v>9</v>
      </c>
      <c r="E526" s="54">
        <v>45197</v>
      </c>
      <c r="F526" s="54">
        <v>45307</v>
      </c>
      <c r="G526" s="67" t="s">
        <v>234</v>
      </c>
      <c r="H526" s="55" t="s">
        <v>65</v>
      </c>
      <c r="I526" s="86">
        <v>45330</v>
      </c>
      <c r="J526" s="67" t="s">
        <v>234</v>
      </c>
      <c r="K526" s="62">
        <v>250</v>
      </c>
      <c r="L526" s="73"/>
      <c r="M526" s="73"/>
      <c r="N526" s="73"/>
    </row>
    <row r="527" spans="1:14" ht="18.45" customHeight="1" x14ac:dyDescent="0.3">
      <c r="A527" s="48" t="s">
        <v>1272</v>
      </c>
      <c r="B527" s="48" t="s">
        <v>1273</v>
      </c>
      <c r="C527" s="48" t="s">
        <v>118</v>
      </c>
      <c r="D527" s="62">
        <v>34</v>
      </c>
      <c r="E527" s="56">
        <v>45313</v>
      </c>
      <c r="F527" s="56">
        <v>45317</v>
      </c>
      <c r="G527" s="67" t="s">
        <v>234</v>
      </c>
      <c r="H527" s="55" t="s">
        <v>65</v>
      </c>
      <c r="I527" s="86">
        <v>45330</v>
      </c>
      <c r="J527" s="67" t="s">
        <v>234</v>
      </c>
      <c r="K527" s="62">
        <v>200</v>
      </c>
      <c r="L527" s="73"/>
      <c r="M527" s="73"/>
      <c r="N527" s="73"/>
    </row>
    <row r="528" spans="1:14" ht="18.45" customHeight="1" x14ac:dyDescent="0.3">
      <c r="A528" s="49" t="s">
        <v>1274</v>
      </c>
      <c r="B528" s="49" t="s">
        <v>1275</v>
      </c>
      <c r="C528" s="49" t="s">
        <v>137</v>
      </c>
      <c r="D528" s="71">
        <v>67</v>
      </c>
      <c r="E528" s="57">
        <v>45327</v>
      </c>
      <c r="F528" s="57">
        <v>45328</v>
      </c>
      <c r="G528" s="67" t="s">
        <v>234</v>
      </c>
      <c r="H528" s="71" t="s">
        <v>65</v>
      </c>
      <c r="I528" s="86">
        <v>45330</v>
      </c>
      <c r="J528" s="67" t="s">
        <v>234</v>
      </c>
      <c r="K528" s="71">
        <v>350</v>
      </c>
      <c r="L528" s="73"/>
      <c r="M528" s="73"/>
      <c r="N528" s="73"/>
    </row>
    <row r="529" spans="1:14" ht="18.45" customHeight="1" x14ac:dyDescent="0.3">
      <c r="A529" s="49" t="s">
        <v>1276</v>
      </c>
      <c r="B529" s="49" t="s">
        <v>1277</v>
      </c>
      <c r="C529" s="49" t="s">
        <v>99</v>
      </c>
      <c r="D529" s="71">
        <v>46</v>
      </c>
      <c r="E529" s="57">
        <v>45327</v>
      </c>
      <c r="F529" s="57">
        <v>45328</v>
      </c>
      <c r="G529" s="67" t="s">
        <v>234</v>
      </c>
      <c r="H529" s="71" t="s">
        <v>65</v>
      </c>
      <c r="I529" s="86">
        <v>45330</v>
      </c>
      <c r="J529" s="67" t="s">
        <v>234</v>
      </c>
      <c r="K529" s="71">
        <v>250</v>
      </c>
      <c r="L529" s="73"/>
      <c r="M529" s="73"/>
      <c r="N529" s="73"/>
    </row>
    <row r="530" spans="1:14" ht="18.45" customHeight="1" x14ac:dyDescent="0.3">
      <c r="A530" s="48" t="s">
        <v>1278</v>
      </c>
      <c r="B530" s="48" t="s">
        <v>1279</v>
      </c>
      <c r="C530" s="62" t="s">
        <v>2500</v>
      </c>
      <c r="D530" s="62">
        <v>17</v>
      </c>
      <c r="E530" s="56">
        <v>45272</v>
      </c>
      <c r="F530" s="56">
        <v>45274</v>
      </c>
      <c r="G530" s="67" t="s">
        <v>234</v>
      </c>
      <c r="H530" s="62" t="s">
        <v>65</v>
      </c>
      <c r="I530" s="86">
        <v>45330</v>
      </c>
      <c r="J530" s="67" t="s">
        <v>234</v>
      </c>
      <c r="K530" s="62">
        <v>450</v>
      </c>
      <c r="L530" s="73"/>
      <c r="M530" s="73"/>
      <c r="N530" s="73"/>
    </row>
    <row r="531" spans="1:14" ht="18.45" customHeight="1" x14ac:dyDescent="0.3">
      <c r="A531" s="51" t="s">
        <v>1280</v>
      </c>
      <c r="B531" s="51" t="s">
        <v>1281</v>
      </c>
      <c r="C531" s="51" t="s">
        <v>2494</v>
      </c>
      <c r="D531" s="84">
        <v>4</v>
      </c>
      <c r="E531" s="54">
        <v>45328</v>
      </c>
      <c r="F531" s="54">
        <v>45329</v>
      </c>
      <c r="G531" s="67" t="s">
        <v>234</v>
      </c>
      <c r="H531" s="51" t="s">
        <v>65</v>
      </c>
      <c r="I531" s="58">
        <v>45330</v>
      </c>
      <c r="J531" s="67" t="s">
        <v>234</v>
      </c>
      <c r="K531" s="51">
        <v>300</v>
      </c>
      <c r="L531" s="73"/>
      <c r="M531" s="73"/>
      <c r="N531" s="73"/>
    </row>
    <row r="532" spans="1:14" ht="18.45" customHeight="1" x14ac:dyDescent="0.3">
      <c r="A532" s="51" t="s">
        <v>1282</v>
      </c>
      <c r="B532" s="51" t="s">
        <v>1283</v>
      </c>
      <c r="C532" s="51" t="s">
        <v>220</v>
      </c>
      <c r="D532" s="84">
        <v>16</v>
      </c>
      <c r="E532" s="54">
        <v>45329</v>
      </c>
      <c r="F532" s="54">
        <v>45329</v>
      </c>
      <c r="G532" s="67" t="s">
        <v>234</v>
      </c>
      <c r="H532" s="51" t="s">
        <v>65</v>
      </c>
      <c r="I532" s="58">
        <v>45330</v>
      </c>
      <c r="J532" s="67" t="s">
        <v>234</v>
      </c>
      <c r="K532" s="51">
        <v>200</v>
      </c>
      <c r="L532" s="73"/>
      <c r="M532" s="73"/>
      <c r="N532" s="73"/>
    </row>
    <row r="533" spans="1:14" ht="18.45" customHeight="1" x14ac:dyDescent="0.3">
      <c r="A533" s="51" t="s">
        <v>1284</v>
      </c>
      <c r="B533" s="51" t="s">
        <v>1285</v>
      </c>
      <c r="C533" s="51" t="s">
        <v>222</v>
      </c>
      <c r="D533" s="84">
        <v>24</v>
      </c>
      <c r="E533" s="54">
        <v>45328</v>
      </c>
      <c r="F533" s="54">
        <v>45329</v>
      </c>
      <c r="G533" s="67" t="s">
        <v>234</v>
      </c>
      <c r="H533" s="51" t="s">
        <v>65</v>
      </c>
      <c r="I533" s="58">
        <v>45330</v>
      </c>
      <c r="J533" s="67" t="s">
        <v>234</v>
      </c>
      <c r="K533" s="51">
        <v>200</v>
      </c>
      <c r="L533" s="73"/>
      <c r="M533" s="73"/>
      <c r="N533" s="73"/>
    </row>
    <row r="534" spans="1:14" ht="18.45" customHeight="1" x14ac:dyDescent="0.3">
      <c r="A534" s="51" t="s">
        <v>1286</v>
      </c>
      <c r="B534" s="51" t="s">
        <v>1287</v>
      </c>
      <c r="C534" s="51" t="s">
        <v>223</v>
      </c>
      <c r="D534" s="84">
        <v>97</v>
      </c>
      <c r="E534" s="54">
        <v>45329</v>
      </c>
      <c r="F534" s="54">
        <v>45329</v>
      </c>
      <c r="G534" s="67" t="s">
        <v>234</v>
      </c>
      <c r="H534" s="51" t="s">
        <v>65</v>
      </c>
      <c r="I534" s="58">
        <v>45330</v>
      </c>
      <c r="J534" s="67" t="s">
        <v>234</v>
      </c>
      <c r="K534" s="51">
        <v>300</v>
      </c>
      <c r="L534" s="73"/>
      <c r="M534" s="73"/>
      <c r="N534" s="73"/>
    </row>
    <row r="535" spans="1:14" ht="18.45" customHeight="1" x14ac:dyDescent="0.3">
      <c r="A535" s="51" t="s">
        <v>1288</v>
      </c>
      <c r="B535" s="51" t="s">
        <v>1289</v>
      </c>
      <c r="C535" s="51" t="s">
        <v>232</v>
      </c>
      <c r="D535" s="51">
        <v>17</v>
      </c>
      <c r="E535" s="58">
        <v>45326</v>
      </c>
      <c r="F535" s="58">
        <v>45328</v>
      </c>
      <c r="G535" s="67" t="s">
        <v>234</v>
      </c>
      <c r="H535" s="51" t="s">
        <v>65</v>
      </c>
      <c r="I535" s="58">
        <v>45330</v>
      </c>
      <c r="J535" s="67" t="s">
        <v>234</v>
      </c>
      <c r="K535" s="51">
        <v>80</v>
      </c>
      <c r="L535" s="73"/>
      <c r="M535" s="73"/>
      <c r="N535" s="73"/>
    </row>
    <row r="536" spans="1:14" ht="18.45" customHeight="1" x14ac:dyDescent="0.3">
      <c r="A536" s="51" t="s">
        <v>1290</v>
      </c>
      <c r="B536" s="51" t="s">
        <v>1291</v>
      </c>
      <c r="C536" s="51" t="s">
        <v>232</v>
      </c>
      <c r="D536" s="51">
        <v>77</v>
      </c>
      <c r="E536" s="58">
        <v>45327</v>
      </c>
      <c r="F536" s="58">
        <v>45328</v>
      </c>
      <c r="G536" s="67" t="s">
        <v>234</v>
      </c>
      <c r="H536" s="51" t="s">
        <v>65</v>
      </c>
      <c r="I536" s="58">
        <v>45330</v>
      </c>
      <c r="J536" s="67" t="s">
        <v>234</v>
      </c>
      <c r="K536" s="51">
        <v>200</v>
      </c>
      <c r="L536" s="73"/>
      <c r="M536" s="73"/>
      <c r="N536" s="73"/>
    </row>
    <row r="537" spans="1:14" ht="18.45" customHeight="1" x14ac:dyDescent="0.3">
      <c r="A537" s="51" t="s">
        <v>1292</v>
      </c>
      <c r="B537" s="51" t="s">
        <v>1293</v>
      </c>
      <c r="C537" s="51" t="s">
        <v>227</v>
      </c>
      <c r="D537" s="51">
        <v>73</v>
      </c>
      <c r="E537" s="58">
        <v>45327</v>
      </c>
      <c r="F537" s="58">
        <v>45328</v>
      </c>
      <c r="G537" s="67" t="s">
        <v>234</v>
      </c>
      <c r="H537" s="51" t="s">
        <v>65</v>
      </c>
      <c r="I537" s="58">
        <v>45330</v>
      </c>
      <c r="J537" s="67" t="s">
        <v>234</v>
      </c>
      <c r="K537" s="51">
        <v>150</v>
      </c>
      <c r="L537" s="73"/>
      <c r="M537" s="73"/>
      <c r="N537" s="73"/>
    </row>
    <row r="538" spans="1:14" ht="18.45" customHeight="1" x14ac:dyDescent="0.3">
      <c r="A538" s="51" t="s">
        <v>1294</v>
      </c>
      <c r="B538" s="51" t="s">
        <v>1295</v>
      </c>
      <c r="C538" s="51" t="s">
        <v>113</v>
      </c>
      <c r="D538" s="51">
        <v>74</v>
      </c>
      <c r="E538" s="58">
        <v>45328</v>
      </c>
      <c r="F538" s="58">
        <v>45328</v>
      </c>
      <c r="G538" s="67" t="s">
        <v>234</v>
      </c>
      <c r="H538" s="51" t="s">
        <v>65</v>
      </c>
      <c r="I538" s="58">
        <v>45330</v>
      </c>
      <c r="J538" s="67" t="s">
        <v>234</v>
      </c>
      <c r="K538" s="51">
        <v>250</v>
      </c>
      <c r="L538" s="73"/>
      <c r="M538" s="73"/>
      <c r="N538" s="73"/>
    </row>
    <row r="539" spans="1:14" ht="18.45" customHeight="1" x14ac:dyDescent="0.3">
      <c r="A539" s="51" t="s">
        <v>1296</v>
      </c>
      <c r="B539" s="51" t="s">
        <v>1297</v>
      </c>
      <c r="C539" s="51" t="s">
        <v>2480</v>
      </c>
      <c r="D539" s="51">
        <v>37</v>
      </c>
      <c r="E539" s="58">
        <v>45327</v>
      </c>
      <c r="F539" s="58">
        <v>45328</v>
      </c>
      <c r="G539" s="67" t="s">
        <v>234</v>
      </c>
      <c r="H539" s="51" t="s">
        <v>65</v>
      </c>
      <c r="I539" s="58">
        <v>45330</v>
      </c>
      <c r="J539" s="67" t="s">
        <v>234</v>
      </c>
      <c r="K539" s="51">
        <v>70</v>
      </c>
      <c r="L539" s="73"/>
      <c r="M539" s="73"/>
      <c r="N539" s="73"/>
    </row>
    <row r="540" spans="1:14" ht="18.45" customHeight="1" x14ac:dyDescent="0.3">
      <c r="A540" s="51" t="s">
        <v>1298</v>
      </c>
      <c r="B540" s="51" t="s">
        <v>1299</v>
      </c>
      <c r="C540" s="51" t="s">
        <v>138</v>
      </c>
      <c r="D540" s="51">
        <v>41</v>
      </c>
      <c r="E540" s="58">
        <v>45327</v>
      </c>
      <c r="F540" s="58">
        <v>45328</v>
      </c>
      <c r="G540" s="67" t="s">
        <v>234</v>
      </c>
      <c r="H540" s="51" t="s">
        <v>65</v>
      </c>
      <c r="I540" s="58">
        <v>45330</v>
      </c>
      <c r="J540" s="67" t="s">
        <v>234</v>
      </c>
      <c r="K540" s="51">
        <v>80</v>
      </c>
      <c r="L540" s="73"/>
      <c r="M540" s="73"/>
      <c r="N540" s="73"/>
    </row>
    <row r="541" spans="1:14" ht="18.45" customHeight="1" x14ac:dyDescent="0.3">
      <c r="A541" s="51" t="s">
        <v>1300</v>
      </c>
      <c r="B541" s="51" t="s">
        <v>1301</v>
      </c>
      <c r="C541" s="51" t="s">
        <v>138</v>
      </c>
      <c r="D541" s="51">
        <v>45</v>
      </c>
      <c r="E541" s="58">
        <v>45327</v>
      </c>
      <c r="F541" s="58">
        <v>45328</v>
      </c>
      <c r="G541" s="67" t="s">
        <v>234</v>
      </c>
      <c r="H541" s="51" t="s">
        <v>65</v>
      </c>
      <c r="I541" s="58">
        <v>45330</v>
      </c>
      <c r="J541" s="67" t="s">
        <v>234</v>
      </c>
      <c r="K541" s="51">
        <v>100</v>
      </c>
      <c r="L541" s="73"/>
      <c r="M541" s="73"/>
      <c r="N541" s="73"/>
    </row>
    <row r="542" spans="1:14" ht="18.45" customHeight="1" x14ac:dyDescent="0.3">
      <c r="A542" s="51" t="s">
        <v>1302</v>
      </c>
      <c r="B542" s="51" t="s">
        <v>1303</v>
      </c>
      <c r="C542" s="51" t="s">
        <v>232</v>
      </c>
      <c r="D542" s="51">
        <v>65</v>
      </c>
      <c r="E542" s="58">
        <v>45328</v>
      </c>
      <c r="F542" s="58">
        <v>45329</v>
      </c>
      <c r="G542" s="67" t="s">
        <v>234</v>
      </c>
      <c r="H542" s="51" t="s">
        <v>65</v>
      </c>
      <c r="I542" s="58">
        <v>45330</v>
      </c>
      <c r="J542" s="67" t="s">
        <v>234</v>
      </c>
      <c r="K542" s="51">
        <v>200</v>
      </c>
      <c r="L542" s="73"/>
      <c r="M542" s="73"/>
      <c r="N542" s="73"/>
    </row>
    <row r="543" spans="1:14" ht="18.45" customHeight="1" x14ac:dyDescent="0.3">
      <c r="A543" s="51" t="s">
        <v>1304</v>
      </c>
      <c r="B543" s="51" t="s">
        <v>1305</v>
      </c>
      <c r="C543" s="51" t="s">
        <v>227</v>
      </c>
      <c r="D543" s="51">
        <v>13</v>
      </c>
      <c r="E543" s="58">
        <v>45328</v>
      </c>
      <c r="F543" s="58">
        <v>45329</v>
      </c>
      <c r="G543" s="67" t="s">
        <v>234</v>
      </c>
      <c r="H543" s="51" t="s">
        <v>65</v>
      </c>
      <c r="I543" s="58">
        <v>45330</v>
      </c>
      <c r="J543" s="67" t="s">
        <v>234</v>
      </c>
      <c r="K543" s="51">
        <v>250</v>
      </c>
      <c r="L543" s="73"/>
      <c r="M543" s="73"/>
      <c r="N543" s="73"/>
    </row>
    <row r="544" spans="1:14" ht="18.45" customHeight="1" x14ac:dyDescent="0.3">
      <c r="A544" s="51" t="s">
        <v>1306</v>
      </c>
      <c r="B544" s="51" t="s">
        <v>1307</v>
      </c>
      <c r="C544" s="51" t="s">
        <v>227</v>
      </c>
      <c r="D544" s="51">
        <v>38</v>
      </c>
      <c r="E544" s="58">
        <v>45198</v>
      </c>
      <c r="F544" s="58">
        <v>45201</v>
      </c>
      <c r="G544" s="67" t="s">
        <v>234</v>
      </c>
      <c r="H544" s="51" t="s">
        <v>65</v>
      </c>
      <c r="I544" s="58">
        <v>45330</v>
      </c>
      <c r="J544" s="67" t="s">
        <v>234</v>
      </c>
      <c r="K544" s="51">
        <v>350</v>
      </c>
      <c r="L544" s="73"/>
      <c r="M544" s="73"/>
      <c r="N544" s="73"/>
    </row>
    <row r="545" spans="1:14" ht="18.45" customHeight="1" x14ac:dyDescent="0.3">
      <c r="A545" s="51" t="s">
        <v>1308</v>
      </c>
      <c r="B545" s="51" t="s">
        <v>1309</v>
      </c>
      <c r="C545" s="51" t="s">
        <v>229</v>
      </c>
      <c r="D545" s="51">
        <v>32</v>
      </c>
      <c r="E545" s="58">
        <v>45327</v>
      </c>
      <c r="F545" s="58">
        <v>45328</v>
      </c>
      <c r="G545" s="67" t="s">
        <v>234</v>
      </c>
      <c r="H545" s="51" t="s">
        <v>65</v>
      </c>
      <c r="I545" s="58">
        <v>45330</v>
      </c>
      <c r="J545" s="67" t="s">
        <v>234</v>
      </c>
      <c r="K545" s="51">
        <v>500</v>
      </c>
      <c r="L545" s="73"/>
      <c r="M545" s="73"/>
      <c r="N545" s="73"/>
    </row>
    <row r="546" spans="1:14" ht="18.45" customHeight="1" x14ac:dyDescent="0.3">
      <c r="A546" s="51" t="s">
        <v>1310</v>
      </c>
      <c r="B546" s="51" t="s">
        <v>1311</v>
      </c>
      <c r="C546" s="51" t="s">
        <v>232</v>
      </c>
      <c r="D546" s="51">
        <v>67</v>
      </c>
      <c r="E546" s="58">
        <v>45327</v>
      </c>
      <c r="F546" s="58">
        <v>45329</v>
      </c>
      <c r="G546" s="67" t="s">
        <v>234</v>
      </c>
      <c r="H546" s="51" t="s">
        <v>65</v>
      </c>
      <c r="I546" s="58">
        <v>45330</v>
      </c>
      <c r="J546" s="67" t="s">
        <v>234</v>
      </c>
      <c r="K546" s="51">
        <v>500</v>
      </c>
      <c r="L546" s="73"/>
      <c r="M546" s="73"/>
      <c r="N546" s="73"/>
    </row>
    <row r="547" spans="1:14" ht="18.45" customHeight="1" x14ac:dyDescent="0.3">
      <c r="A547" s="51" t="s">
        <v>1312</v>
      </c>
      <c r="B547" s="51" t="s">
        <v>1313</v>
      </c>
      <c r="C547" s="51" t="s">
        <v>2480</v>
      </c>
      <c r="D547" s="51">
        <v>58</v>
      </c>
      <c r="E547" s="58">
        <v>45327</v>
      </c>
      <c r="F547" s="58">
        <v>45329</v>
      </c>
      <c r="G547" s="67" t="s">
        <v>234</v>
      </c>
      <c r="H547" s="51" t="s">
        <v>65</v>
      </c>
      <c r="I547" s="58">
        <v>45330</v>
      </c>
      <c r="J547" s="67" t="s">
        <v>234</v>
      </c>
      <c r="K547" s="51">
        <v>50</v>
      </c>
      <c r="L547" s="73"/>
      <c r="M547" s="73"/>
      <c r="N547" s="73"/>
    </row>
    <row r="548" spans="1:14" ht="18.45" customHeight="1" x14ac:dyDescent="0.3">
      <c r="A548" s="48" t="s">
        <v>1314</v>
      </c>
      <c r="B548" s="50" t="s">
        <v>391</v>
      </c>
      <c r="C548" s="62" t="s">
        <v>2477</v>
      </c>
      <c r="D548" s="62">
        <v>45</v>
      </c>
      <c r="E548" s="54">
        <v>45296</v>
      </c>
      <c r="F548" s="54">
        <v>45299</v>
      </c>
      <c r="G548" s="67" t="s">
        <v>234</v>
      </c>
      <c r="H548" s="62" t="s">
        <v>65</v>
      </c>
      <c r="I548" s="86">
        <v>45331</v>
      </c>
      <c r="J548" s="67" t="s">
        <v>234</v>
      </c>
      <c r="K548" s="62">
        <v>450</v>
      </c>
      <c r="L548" s="73"/>
      <c r="M548" s="73"/>
      <c r="N548" s="73"/>
    </row>
    <row r="549" spans="1:14" ht="18.45" customHeight="1" x14ac:dyDescent="0.3">
      <c r="A549" s="49" t="s">
        <v>1315</v>
      </c>
      <c r="B549" s="49" t="s">
        <v>1316</v>
      </c>
      <c r="C549" s="49" t="s">
        <v>120</v>
      </c>
      <c r="D549" s="71">
        <v>198</v>
      </c>
      <c r="E549" s="57">
        <v>45327</v>
      </c>
      <c r="F549" s="57">
        <v>45328</v>
      </c>
      <c r="G549" s="67" t="s">
        <v>234</v>
      </c>
      <c r="H549" s="71" t="s">
        <v>65</v>
      </c>
      <c r="I549" s="87">
        <v>45331</v>
      </c>
      <c r="J549" s="67" t="s">
        <v>234</v>
      </c>
      <c r="K549" s="71">
        <v>350</v>
      </c>
      <c r="L549" s="73"/>
      <c r="M549" s="73"/>
      <c r="N549" s="73"/>
    </row>
    <row r="550" spans="1:14" ht="18.45" customHeight="1" x14ac:dyDescent="0.3">
      <c r="A550" s="48" t="s">
        <v>1317</v>
      </c>
      <c r="B550" s="50" t="s">
        <v>1318</v>
      </c>
      <c r="C550" s="48" t="s">
        <v>135</v>
      </c>
      <c r="D550" s="62">
        <v>58</v>
      </c>
      <c r="E550" s="54">
        <v>45318</v>
      </c>
      <c r="F550" s="54">
        <v>45320</v>
      </c>
      <c r="G550" s="67" t="s">
        <v>234</v>
      </c>
      <c r="H550" s="55" t="s">
        <v>65</v>
      </c>
      <c r="I550" s="92">
        <v>45331</v>
      </c>
      <c r="J550" s="67" t="s">
        <v>234</v>
      </c>
      <c r="K550" s="62">
        <v>300</v>
      </c>
      <c r="L550" s="73"/>
      <c r="M550" s="73"/>
      <c r="N550" s="73"/>
    </row>
    <row r="551" spans="1:14" ht="18.45" customHeight="1" x14ac:dyDescent="0.3">
      <c r="A551" s="49" t="s">
        <v>1319</v>
      </c>
      <c r="B551" s="49" t="s">
        <v>1320</v>
      </c>
      <c r="C551" s="49" t="s">
        <v>2496</v>
      </c>
      <c r="D551" s="71">
        <v>33</v>
      </c>
      <c r="E551" s="57">
        <v>45327</v>
      </c>
      <c r="F551" s="57">
        <v>45328</v>
      </c>
      <c r="G551" s="67" t="s">
        <v>234</v>
      </c>
      <c r="H551" s="71" t="s">
        <v>65</v>
      </c>
      <c r="I551" s="92">
        <v>45331</v>
      </c>
      <c r="J551" s="67" t="s">
        <v>234</v>
      </c>
      <c r="K551" s="71">
        <v>250</v>
      </c>
      <c r="L551" s="73"/>
      <c r="M551" s="73"/>
      <c r="N551" s="73"/>
    </row>
    <row r="552" spans="1:14" ht="18.45" customHeight="1" x14ac:dyDescent="0.3">
      <c r="A552" s="51" t="s">
        <v>1321</v>
      </c>
      <c r="B552" s="51" t="s">
        <v>1322</v>
      </c>
      <c r="C552" s="51" t="s">
        <v>2494</v>
      </c>
      <c r="D552" s="84">
        <v>4</v>
      </c>
      <c r="E552" s="54">
        <v>45329</v>
      </c>
      <c r="F552" s="54">
        <v>45330</v>
      </c>
      <c r="G552" s="67" t="s">
        <v>234</v>
      </c>
      <c r="H552" s="51" t="s">
        <v>65</v>
      </c>
      <c r="I552" s="58">
        <v>45331</v>
      </c>
      <c r="J552" s="67" t="s">
        <v>234</v>
      </c>
      <c r="K552" s="51">
        <v>300</v>
      </c>
      <c r="L552" s="73"/>
      <c r="M552" s="73"/>
      <c r="N552" s="73"/>
    </row>
    <row r="553" spans="1:14" ht="18.45" customHeight="1" x14ac:dyDescent="0.3">
      <c r="A553" s="51" t="s">
        <v>1323</v>
      </c>
      <c r="B553" s="51" t="s">
        <v>1324</v>
      </c>
      <c r="C553" s="51" t="s">
        <v>223</v>
      </c>
      <c r="D553" s="84">
        <v>97</v>
      </c>
      <c r="E553" s="54">
        <v>45330</v>
      </c>
      <c r="F553" s="54">
        <v>45330</v>
      </c>
      <c r="G553" s="67" t="s">
        <v>234</v>
      </c>
      <c r="H553" s="51" t="s">
        <v>65</v>
      </c>
      <c r="I553" s="58">
        <v>45331</v>
      </c>
      <c r="J553" s="67" t="s">
        <v>234</v>
      </c>
      <c r="K553" s="51">
        <v>100</v>
      </c>
      <c r="L553" s="73"/>
      <c r="M553" s="73"/>
      <c r="N553" s="73"/>
    </row>
    <row r="554" spans="1:14" ht="18.45" customHeight="1" x14ac:dyDescent="0.3">
      <c r="A554" s="51" t="s">
        <v>1325</v>
      </c>
      <c r="B554" s="51" t="s">
        <v>1326</v>
      </c>
      <c r="C554" s="51" t="s">
        <v>223</v>
      </c>
      <c r="D554" s="84">
        <v>79</v>
      </c>
      <c r="E554" s="54">
        <v>45330</v>
      </c>
      <c r="F554" s="54">
        <v>45330</v>
      </c>
      <c r="G554" s="67" t="s">
        <v>234</v>
      </c>
      <c r="H554" s="51" t="s">
        <v>65</v>
      </c>
      <c r="I554" s="58">
        <v>45331</v>
      </c>
      <c r="J554" s="67" t="s">
        <v>234</v>
      </c>
      <c r="K554" s="51">
        <v>300</v>
      </c>
      <c r="L554" s="73"/>
      <c r="M554" s="73"/>
      <c r="N554" s="73"/>
    </row>
    <row r="555" spans="1:14" ht="18.45" customHeight="1" x14ac:dyDescent="0.3">
      <c r="A555" s="51" t="s">
        <v>1327</v>
      </c>
      <c r="B555" s="51" t="s">
        <v>1328</v>
      </c>
      <c r="C555" s="51" t="s">
        <v>211</v>
      </c>
      <c r="D555" s="84">
        <v>7</v>
      </c>
      <c r="E555" s="54">
        <v>45330</v>
      </c>
      <c r="F555" s="54">
        <v>45330</v>
      </c>
      <c r="G555" s="67" t="s">
        <v>234</v>
      </c>
      <c r="H555" s="51" t="s">
        <v>65</v>
      </c>
      <c r="I555" s="58">
        <v>45331</v>
      </c>
      <c r="J555" s="67" t="s">
        <v>234</v>
      </c>
      <c r="K555" s="51">
        <v>500</v>
      </c>
      <c r="L555" s="73"/>
      <c r="M555" s="73"/>
      <c r="N555" s="73"/>
    </row>
    <row r="556" spans="1:14" ht="18.45" customHeight="1" x14ac:dyDescent="0.3">
      <c r="A556" s="51" t="s">
        <v>1329</v>
      </c>
      <c r="B556" s="51" t="s">
        <v>1330</v>
      </c>
      <c r="C556" s="51" t="s">
        <v>227</v>
      </c>
      <c r="D556" s="51">
        <v>18</v>
      </c>
      <c r="E556" s="58">
        <v>45330</v>
      </c>
      <c r="F556" s="58">
        <v>45330</v>
      </c>
      <c r="G556" s="67" t="s">
        <v>234</v>
      </c>
      <c r="H556" s="51" t="s">
        <v>65</v>
      </c>
      <c r="I556" s="58">
        <v>45331</v>
      </c>
      <c r="J556" s="67" t="s">
        <v>234</v>
      </c>
      <c r="K556" s="51">
        <v>60</v>
      </c>
      <c r="L556" s="73"/>
      <c r="M556" s="73"/>
      <c r="N556" s="73"/>
    </row>
    <row r="557" spans="1:14" ht="18.45" customHeight="1" x14ac:dyDescent="0.3">
      <c r="A557" s="51" t="s">
        <v>1331</v>
      </c>
      <c r="B557" s="51" t="s">
        <v>1332</v>
      </c>
      <c r="C557" s="51" t="s">
        <v>232</v>
      </c>
      <c r="D557" s="51">
        <v>65</v>
      </c>
      <c r="E557" s="58">
        <v>45328</v>
      </c>
      <c r="F557" s="58">
        <v>45330</v>
      </c>
      <c r="G557" s="67" t="s">
        <v>234</v>
      </c>
      <c r="H557" s="51" t="s">
        <v>65</v>
      </c>
      <c r="I557" s="58">
        <v>45331</v>
      </c>
      <c r="J557" s="67" t="s">
        <v>234</v>
      </c>
      <c r="K557" s="51">
        <v>150</v>
      </c>
      <c r="L557" s="73"/>
      <c r="M557" s="73"/>
      <c r="N557" s="73"/>
    </row>
    <row r="558" spans="1:14" ht="18.45" customHeight="1" x14ac:dyDescent="0.3">
      <c r="A558" s="49" t="s">
        <v>1333</v>
      </c>
      <c r="B558" s="49" t="s">
        <v>1334</v>
      </c>
      <c r="C558" s="62" t="s">
        <v>2488</v>
      </c>
      <c r="D558" s="71">
        <v>10</v>
      </c>
      <c r="E558" s="57">
        <v>45328</v>
      </c>
      <c r="F558" s="57">
        <v>45328</v>
      </c>
      <c r="G558" s="67" t="s">
        <v>234</v>
      </c>
      <c r="H558" s="71" t="s">
        <v>65</v>
      </c>
      <c r="I558" s="92">
        <v>45332</v>
      </c>
      <c r="J558" s="67" t="s">
        <v>234</v>
      </c>
      <c r="K558" s="71">
        <v>300</v>
      </c>
      <c r="L558" s="73"/>
      <c r="M558" s="73"/>
      <c r="N558" s="73"/>
    </row>
    <row r="559" spans="1:14" ht="18.45" customHeight="1" x14ac:dyDescent="0.3">
      <c r="A559" s="99" t="s">
        <v>1335</v>
      </c>
      <c r="B559" s="75" t="s">
        <v>1336</v>
      </c>
      <c r="C559" s="99" t="s">
        <v>135</v>
      </c>
      <c r="D559" s="71">
        <v>46</v>
      </c>
      <c r="E559" s="85">
        <v>45328</v>
      </c>
      <c r="F559" s="85">
        <v>45330</v>
      </c>
      <c r="G559" s="67" t="s">
        <v>234</v>
      </c>
      <c r="H559" s="71" t="s">
        <v>65</v>
      </c>
      <c r="I559" s="92">
        <v>45332</v>
      </c>
      <c r="J559" s="67" t="s">
        <v>234</v>
      </c>
      <c r="K559" s="71">
        <v>100</v>
      </c>
      <c r="L559" s="73"/>
      <c r="M559" s="73"/>
      <c r="N559" s="73"/>
    </row>
    <row r="560" spans="1:14" ht="18.45" customHeight="1" x14ac:dyDescent="0.3">
      <c r="A560" s="99" t="s">
        <v>1337</v>
      </c>
      <c r="B560" s="75" t="s">
        <v>1338</v>
      </c>
      <c r="C560" s="99" t="s">
        <v>120</v>
      </c>
      <c r="D560" s="71">
        <v>95</v>
      </c>
      <c r="E560" s="85">
        <v>45329</v>
      </c>
      <c r="F560" s="85">
        <v>45330</v>
      </c>
      <c r="G560" s="67" t="s">
        <v>234</v>
      </c>
      <c r="H560" s="71" t="s">
        <v>65</v>
      </c>
      <c r="I560" s="92">
        <v>45332</v>
      </c>
      <c r="J560" s="67" t="s">
        <v>234</v>
      </c>
      <c r="K560" s="71">
        <v>100</v>
      </c>
      <c r="L560" s="73"/>
      <c r="M560" s="73"/>
      <c r="N560" s="73"/>
    </row>
    <row r="561" spans="1:14" ht="18.45" customHeight="1" x14ac:dyDescent="0.3">
      <c r="A561" s="99" t="s">
        <v>1339</v>
      </c>
      <c r="B561" s="75" t="s">
        <v>1340</v>
      </c>
      <c r="C561" s="99" t="s">
        <v>94</v>
      </c>
      <c r="D561" s="71">
        <v>31</v>
      </c>
      <c r="E561" s="85">
        <v>45329</v>
      </c>
      <c r="F561" s="85">
        <v>45330</v>
      </c>
      <c r="G561" s="67" t="s">
        <v>234</v>
      </c>
      <c r="H561" s="71" t="s">
        <v>65</v>
      </c>
      <c r="I561" s="87">
        <v>45332</v>
      </c>
      <c r="J561" s="67" t="s">
        <v>234</v>
      </c>
      <c r="K561" s="71">
        <v>150</v>
      </c>
      <c r="L561" s="73"/>
      <c r="M561" s="73"/>
      <c r="N561" s="73"/>
    </row>
    <row r="562" spans="1:14" ht="18.45" customHeight="1" x14ac:dyDescent="0.3">
      <c r="A562" s="80" t="s">
        <v>1341</v>
      </c>
      <c r="B562" s="78" t="s">
        <v>1342</v>
      </c>
      <c r="C562" s="62" t="s">
        <v>136</v>
      </c>
      <c r="D562" s="62">
        <v>2</v>
      </c>
      <c r="E562" s="93">
        <v>45320</v>
      </c>
      <c r="F562" s="93">
        <v>45324</v>
      </c>
      <c r="G562" s="67" t="s">
        <v>234</v>
      </c>
      <c r="H562" s="55" t="s">
        <v>65</v>
      </c>
      <c r="I562" s="92">
        <v>45332</v>
      </c>
      <c r="J562" s="67" t="s">
        <v>234</v>
      </c>
      <c r="K562" s="62">
        <v>500</v>
      </c>
      <c r="L562" s="73"/>
      <c r="M562" s="73"/>
      <c r="N562" s="73"/>
    </row>
    <row r="563" spans="1:14" ht="18.45" customHeight="1" x14ac:dyDescent="0.3">
      <c r="A563" s="51" t="s">
        <v>1343</v>
      </c>
      <c r="B563" s="51" t="s">
        <v>1344</v>
      </c>
      <c r="C563" s="51" t="s">
        <v>2474</v>
      </c>
      <c r="D563" s="84">
        <v>4</v>
      </c>
      <c r="E563" s="54">
        <v>45330</v>
      </c>
      <c r="F563" s="54">
        <v>45330</v>
      </c>
      <c r="G563" s="67" t="s">
        <v>234</v>
      </c>
      <c r="H563" s="51" t="s">
        <v>65</v>
      </c>
      <c r="I563" s="58">
        <v>45332</v>
      </c>
      <c r="J563" s="67" t="s">
        <v>234</v>
      </c>
      <c r="K563" s="51">
        <v>300</v>
      </c>
      <c r="L563" s="73"/>
      <c r="M563" s="73"/>
      <c r="N563" s="73"/>
    </row>
    <row r="564" spans="1:14" ht="18.45" customHeight="1" x14ac:dyDescent="0.3">
      <c r="A564" s="51" t="s">
        <v>1345</v>
      </c>
      <c r="B564" s="51" t="s">
        <v>1346</v>
      </c>
      <c r="C564" s="51" t="s">
        <v>223</v>
      </c>
      <c r="D564" s="84">
        <v>55</v>
      </c>
      <c r="E564" s="54">
        <v>45331</v>
      </c>
      <c r="F564" s="54">
        <v>45331</v>
      </c>
      <c r="G564" s="67" t="s">
        <v>234</v>
      </c>
      <c r="H564" s="51" t="s">
        <v>65</v>
      </c>
      <c r="I564" s="58">
        <v>45332</v>
      </c>
      <c r="J564" s="67" t="s">
        <v>234</v>
      </c>
      <c r="K564" s="51">
        <v>100</v>
      </c>
      <c r="L564" s="73"/>
      <c r="M564" s="73"/>
      <c r="N564" s="73"/>
    </row>
    <row r="565" spans="1:14" ht="18.45" customHeight="1" x14ac:dyDescent="0.3">
      <c r="A565" s="51" t="s">
        <v>1347</v>
      </c>
      <c r="B565" s="51" t="s">
        <v>1348</v>
      </c>
      <c r="C565" s="51" t="s">
        <v>223</v>
      </c>
      <c r="D565" s="84">
        <v>55</v>
      </c>
      <c r="E565" s="54">
        <v>45331</v>
      </c>
      <c r="F565" s="54">
        <v>45331</v>
      </c>
      <c r="G565" s="67" t="s">
        <v>234</v>
      </c>
      <c r="H565" s="51" t="s">
        <v>65</v>
      </c>
      <c r="I565" s="58">
        <v>45332</v>
      </c>
      <c r="J565" s="67" t="s">
        <v>234</v>
      </c>
      <c r="K565" s="51">
        <v>100</v>
      </c>
      <c r="L565" s="73"/>
      <c r="M565" s="73"/>
      <c r="N565" s="73"/>
    </row>
    <row r="566" spans="1:14" ht="18.45" customHeight="1" x14ac:dyDescent="0.3">
      <c r="A566" s="51" t="s">
        <v>1349</v>
      </c>
      <c r="B566" s="51" t="s">
        <v>1350</v>
      </c>
      <c r="C566" s="51" t="s">
        <v>226</v>
      </c>
      <c r="D566" s="84">
        <v>20</v>
      </c>
      <c r="E566" s="54">
        <v>45326</v>
      </c>
      <c r="F566" s="54">
        <v>45331</v>
      </c>
      <c r="G566" s="67" t="s">
        <v>234</v>
      </c>
      <c r="H566" s="51" t="s">
        <v>65</v>
      </c>
      <c r="I566" s="58">
        <v>45332</v>
      </c>
      <c r="J566" s="67" t="s">
        <v>234</v>
      </c>
      <c r="K566" s="51">
        <v>200</v>
      </c>
      <c r="L566" s="73"/>
      <c r="M566" s="73"/>
      <c r="N566" s="73"/>
    </row>
    <row r="567" spans="1:14" ht="18.45" customHeight="1" x14ac:dyDescent="0.3">
      <c r="A567" s="51" t="s">
        <v>1351</v>
      </c>
      <c r="B567" s="51" t="s">
        <v>1352</v>
      </c>
      <c r="C567" s="51" t="s">
        <v>223</v>
      </c>
      <c r="D567" s="84">
        <v>24</v>
      </c>
      <c r="E567" s="54">
        <v>45331</v>
      </c>
      <c r="F567" s="54">
        <v>45331</v>
      </c>
      <c r="G567" s="67" t="s">
        <v>234</v>
      </c>
      <c r="H567" s="51" t="s">
        <v>65</v>
      </c>
      <c r="I567" s="58">
        <v>45332</v>
      </c>
      <c r="J567" s="67" t="s">
        <v>234</v>
      </c>
      <c r="K567" s="51">
        <v>500</v>
      </c>
      <c r="L567" s="73"/>
      <c r="M567" s="73"/>
      <c r="N567" s="73"/>
    </row>
    <row r="568" spans="1:14" ht="18.45" customHeight="1" x14ac:dyDescent="0.3">
      <c r="A568" s="51" t="s">
        <v>1353</v>
      </c>
      <c r="B568" s="51" t="s">
        <v>1354</v>
      </c>
      <c r="C568" s="51" t="s">
        <v>215</v>
      </c>
      <c r="D568" s="84">
        <v>6</v>
      </c>
      <c r="E568" s="54">
        <v>45331</v>
      </c>
      <c r="F568" s="54">
        <v>45331</v>
      </c>
      <c r="G568" s="67" t="s">
        <v>234</v>
      </c>
      <c r="H568" s="51" t="s">
        <v>65</v>
      </c>
      <c r="I568" s="58">
        <v>45332</v>
      </c>
      <c r="J568" s="67" t="s">
        <v>234</v>
      </c>
      <c r="K568" s="51">
        <v>300</v>
      </c>
      <c r="L568" s="73"/>
      <c r="M568" s="73"/>
      <c r="N568" s="73"/>
    </row>
    <row r="569" spans="1:14" ht="18.45" customHeight="1" x14ac:dyDescent="0.3">
      <c r="A569" s="51" t="s">
        <v>1355</v>
      </c>
      <c r="B569" s="51" t="s">
        <v>1356</v>
      </c>
      <c r="C569" s="51" t="s">
        <v>220</v>
      </c>
      <c r="D569" s="84">
        <v>90</v>
      </c>
      <c r="E569" s="54">
        <v>45331</v>
      </c>
      <c r="F569" s="54">
        <v>45331</v>
      </c>
      <c r="G569" s="67" t="s">
        <v>234</v>
      </c>
      <c r="H569" s="51" t="s">
        <v>65</v>
      </c>
      <c r="I569" s="58">
        <v>45332</v>
      </c>
      <c r="J569" s="67" t="s">
        <v>234</v>
      </c>
      <c r="K569" s="51">
        <v>200</v>
      </c>
      <c r="L569" s="73"/>
      <c r="M569" s="73"/>
      <c r="N569" s="73"/>
    </row>
    <row r="570" spans="1:14" ht="18.45" customHeight="1" x14ac:dyDescent="0.3">
      <c r="A570" s="51" t="s">
        <v>1357</v>
      </c>
      <c r="B570" s="51" t="s">
        <v>1358</v>
      </c>
      <c r="C570" s="51" t="s">
        <v>232</v>
      </c>
      <c r="D570" s="51">
        <v>21</v>
      </c>
      <c r="E570" s="58">
        <v>45330</v>
      </c>
      <c r="F570" s="58">
        <v>45330</v>
      </c>
      <c r="G570" s="67" t="s">
        <v>234</v>
      </c>
      <c r="H570" s="51" t="s">
        <v>65</v>
      </c>
      <c r="I570" s="58">
        <v>45332</v>
      </c>
      <c r="J570" s="67" t="s">
        <v>234</v>
      </c>
      <c r="K570" s="51">
        <v>50</v>
      </c>
      <c r="L570" s="73"/>
      <c r="M570" s="73"/>
      <c r="N570" s="73"/>
    </row>
    <row r="571" spans="1:14" ht="18.45" customHeight="1" x14ac:dyDescent="0.3">
      <c r="A571" s="51" t="s">
        <v>1359</v>
      </c>
      <c r="B571" s="51" t="s">
        <v>1360</v>
      </c>
      <c r="C571" s="51" t="s">
        <v>232</v>
      </c>
      <c r="D571" s="51">
        <v>7</v>
      </c>
      <c r="E571" s="58">
        <v>45329</v>
      </c>
      <c r="F571" s="58">
        <v>45330</v>
      </c>
      <c r="G571" s="67" t="s">
        <v>234</v>
      </c>
      <c r="H571" s="51" t="s">
        <v>65</v>
      </c>
      <c r="I571" s="58">
        <v>45332</v>
      </c>
      <c r="J571" s="67" t="s">
        <v>234</v>
      </c>
      <c r="K571" s="51">
        <v>100</v>
      </c>
      <c r="L571" s="73"/>
      <c r="M571" s="73"/>
      <c r="N571" s="73"/>
    </row>
    <row r="572" spans="1:14" ht="18.45" customHeight="1" x14ac:dyDescent="0.3">
      <c r="A572" s="51" t="s">
        <v>1361</v>
      </c>
      <c r="B572" s="51" t="s">
        <v>1362</v>
      </c>
      <c r="C572" s="51" t="s">
        <v>2480</v>
      </c>
      <c r="D572" s="51">
        <v>50</v>
      </c>
      <c r="E572" s="58">
        <v>45329</v>
      </c>
      <c r="F572" s="58">
        <v>45330</v>
      </c>
      <c r="G572" s="67" t="s">
        <v>234</v>
      </c>
      <c r="H572" s="51" t="s">
        <v>65</v>
      </c>
      <c r="I572" s="58">
        <v>45332</v>
      </c>
      <c r="J572" s="67" t="s">
        <v>234</v>
      </c>
      <c r="K572" s="51">
        <v>100</v>
      </c>
      <c r="L572" s="73"/>
      <c r="M572" s="73"/>
      <c r="N572" s="73"/>
    </row>
    <row r="573" spans="1:14" ht="18.45" customHeight="1" x14ac:dyDescent="0.3">
      <c r="A573" s="51" t="s">
        <v>1363</v>
      </c>
      <c r="B573" s="51" t="s">
        <v>1364</v>
      </c>
      <c r="C573" s="51" t="s">
        <v>2480</v>
      </c>
      <c r="D573" s="51">
        <v>58</v>
      </c>
      <c r="E573" s="58">
        <v>45329</v>
      </c>
      <c r="F573" s="58">
        <v>45330</v>
      </c>
      <c r="G573" s="67" t="s">
        <v>234</v>
      </c>
      <c r="H573" s="51" t="s">
        <v>65</v>
      </c>
      <c r="I573" s="58">
        <v>45332</v>
      </c>
      <c r="J573" s="67" t="s">
        <v>234</v>
      </c>
      <c r="K573" s="51">
        <v>150</v>
      </c>
      <c r="L573" s="73"/>
      <c r="M573" s="73"/>
      <c r="N573" s="73"/>
    </row>
    <row r="574" spans="1:14" ht="18.45" customHeight="1" x14ac:dyDescent="0.3">
      <c r="A574" s="51" t="s">
        <v>1365</v>
      </c>
      <c r="B574" s="51" t="s">
        <v>1366</v>
      </c>
      <c r="C574" s="51" t="s">
        <v>113</v>
      </c>
      <c r="D574" s="51">
        <v>65</v>
      </c>
      <c r="E574" s="58">
        <v>45330</v>
      </c>
      <c r="F574" s="58">
        <v>45330</v>
      </c>
      <c r="G574" s="67" t="s">
        <v>234</v>
      </c>
      <c r="H574" s="51" t="s">
        <v>65</v>
      </c>
      <c r="I574" s="58">
        <v>45332</v>
      </c>
      <c r="J574" s="67" t="s">
        <v>234</v>
      </c>
      <c r="K574" s="51">
        <v>60</v>
      </c>
      <c r="L574" s="73"/>
      <c r="M574" s="73"/>
      <c r="N574" s="73"/>
    </row>
    <row r="575" spans="1:14" ht="18.45" customHeight="1" x14ac:dyDescent="0.3">
      <c r="A575" s="51" t="s">
        <v>1367</v>
      </c>
      <c r="B575" s="51" t="s">
        <v>1368</v>
      </c>
      <c r="C575" s="51" t="s">
        <v>232</v>
      </c>
      <c r="D575" s="51">
        <v>58</v>
      </c>
      <c r="E575" s="58">
        <v>45328</v>
      </c>
      <c r="F575" s="58">
        <v>45330</v>
      </c>
      <c r="G575" s="67" t="s">
        <v>234</v>
      </c>
      <c r="H575" s="51" t="s">
        <v>65</v>
      </c>
      <c r="I575" s="58">
        <v>45332</v>
      </c>
      <c r="J575" s="67" t="s">
        <v>234</v>
      </c>
      <c r="K575" s="51">
        <v>150</v>
      </c>
      <c r="L575" s="73"/>
      <c r="M575" s="73"/>
      <c r="N575" s="73"/>
    </row>
    <row r="576" spans="1:14" ht="18.45" customHeight="1" x14ac:dyDescent="0.3">
      <c r="A576" s="51" t="s">
        <v>1369</v>
      </c>
      <c r="B576" s="51" t="s">
        <v>1370</v>
      </c>
      <c r="C576" s="51" t="s">
        <v>227</v>
      </c>
      <c r="D576" s="51">
        <v>80</v>
      </c>
      <c r="E576" s="58">
        <v>45327</v>
      </c>
      <c r="F576" s="58">
        <v>45328</v>
      </c>
      <c r="G576" s="67" t="s">
        <v>234</v>
      </c>
      <c r="H576" s="51" t="s">
        <v>65</v>
      </c>
      <c r="I576" s="58">
        <v>45332</v>
      </c>
      <c r="J576" s="67" t="s">
        <v>234</v>
      </c>
      <c r="K576" s="51">
        <v>350</v>
      </c>
      <c r="L576" s="73"/>
      <c r="M576" s="73"/>
      <c r="N576" s="73"/>
    </row>
    <row r="577" spans="1:14" ht="18.45" customHeight="1" x14ac:dyDescent="0.3">
      <c r="A577" s="51" t="s">
        <v>1371</v>
      </c>
      <c r="B577" s="51" t="s">
        <v>1372</v>
      </c>
      <c r="C577" s="51" t="s">
        <v>227</v>
      </c>
      <c r="D577" s="51">
        <v>7</v>
      </c>
      <c r="E577" s="58">
        <v>45330</v>
      </c>
      <c r="F577" s="58">
        <v>45330</v>
      </c>
      <c r="G577" s="67" t="s">
        <v>234</v>
      </c>
      <c r="H577" s="51" t="s">
        <v>65</v>
      </c>
      <c r="I577" s="58">
        <v>45332</v>
      </c>
      <c r="J577" s="67" t="s">
        <v>234</v>
      </c>
      <c r="K577" s="51">
        <v>200</v>
      </c>
      <c r="L577" s="73"/>
      <c r="M577" s="73"/>
      <c r="N577" s="73"/>
    </row>
    <row r="578" spans="1:14" ht="18.45" customHeight="1" x14ac:dyDescent="0.3">
      <c r="A578" s="99" t="s">
        <v>1373</v>
      </c>
      <c r="B578" s="75" t="s">
        <v>1374</v>
      </c>
      <c r="C578" s="62" t="s">
        <v>2477</v>
      </c>
      <c r="D578" s="71">
        <v>80</v>
      </c>
      <c r="E578" s="85">
        <v>45329</v>
      </c>
      <c r="F578" s="85">
        <v>45330</v>
      </c>
      <c r="G578" s="67" t="s">
        <v>234</v>
      </c>
      <c r="H578" s="71" t="s">
        <v>65</v>
      </c>
      <c r="I578" s="87">
        <v>45335</v>
      </c>
      <c r="J578" s="67" t="s">
        <v>234</v>
      </c>
      <c r="K578" s="71">
        <v>500</v>
      </c>
      <c r="L578" s="73"/>
      <c r="M578" s="73"/>
      <c r="N578" s="73"/>
    </row>
    <row r="579" spans="1:14" ht="18.45" customHeight="1" x14ac:dyDescent="0.3">
      <c r="A579" s="99" t="s">
        <v>1375</v>
      </c>
      <c r="B579" s="75" t="s">
        <v>1376</v>
      </c>
      <c r="C579" s="99" t="s">
        <v>134</v>
      </c>
      <c r="D579" s="71">
        <v>33</v>
      </c>
      <c r="E579" s="85">
        <v>45329</v>
      </c>
      <c r="F579" s="85">
        <v>45331</v>
      </c>
      <c r="G579" s="67" t="s">
        <v>234</v>
      </c>
      <c r="H579" s="71" t="s">
        <v>65</v>
      </c>
      <c r="I579" s="87">
        <v>45335</v>
      </c>
      <c r="J579" s="67" t="s">
        <v>234</v>
      </c>
      <c r="K579" s="71">
        <v>400</v>
      </c>
      <c r="L579" s="73"/>
      <c r="M579" s="73"/>
      <c r="N579" s="73"/>
    </row>
    <row r="580" spans="1:14" ht="18.45" customHeight="1" x14ac:dyDescent="0.3">
      <c r="A580" s="99" t="s">
        <v>1377</v>
      </c>
      <c r="B580" s="75" t="s">
        <v>1378</v>
      </c>
      <c r="C580" s="99" t="s">
        <v>134</v>
      </c>
      <c r="D580" s="71">
        <v>25</v>
      </c>
      <c r="E580" s="85">
        <v>45328</v>
      </c>
      <c r="F580" s="85">
        <v>45331</v>
      </c>
      <c r="G580" s="67" t="s">
        <v>234</v>
      </c>
      <c r="H580" s="71" t="s">
        <v>65</v>
      </c>
      <c r="I580" s="87">
        <v>45335</v>
      </c>
      <c r="J580" s="67" t="s">
        <v>234</v>
      </c>
      <c r="K580" s="71">
        <v>200</v>
      </c>
      <c r="L580" s="73"/>
      <c r="M580" s="73"/>
      <c r="N580" s="73"/>
    </row>
    <row r="581" spans="1:14" ht="18.45" customHeight="1" x14ac:dyDescent="0.3">
      <c r="A581" s="99" t="s">
        <v>1379</v>
      </c>
      <c r="B581" s="75" t="s">
        <v>1380</v>
      </c>
      <c r="C581" s="99" t="s">
        <v>120</v>
      </c>
      <c r="D581" s="71">
        <v>197</v>
      </c>
      <c r="E581" s="85">
        <v>45331</v>
      </c>
      <c r="F581" s="85">
        <v>45332</v>
      </c>
      <c r="G581" s="67" t="s">
        <v>234</v>
      </c>
      <c r="H581" s="71" t="s">
        <v>65</v>
      </c>
      <c r="I581" s="87">
        <v>45335</v>
      </c>
      <c r="J581" s="67" t="s">
        <v>234</v>
      </c>
      <c r="K581" s="71">
        <v>100</v>
      </c>
      <c r="L581" s="73"/>
      <c r="M581" s="73"/>
      <c r="N581" s="73"/>
    </row>
    <row r="582" spans="1:14" ht="18.45" customHeight="1" x14ac:dyDescent="0.3">
      <c r="A582" s="99" t="s">
        <v>1381</v>
      </c>
      <c r="B582" s="75" t="s">
        <v>1382</v>
      </c>
      <c r="C582" s="99" t="s">
        <v>94</v>
      </c>
      <c r="D582" s="71">
        <v>57</v>
      </c>
      <c r="E582" s="85">
        <v>45330</v>
      </c>
      <c r="F582" s="85">
        <v>45331</v>
      </c>
      <c r="G582" s="67" t="s">
        <v>234</v>
      </c>
      <c r="H582" s="71" t="s">
        <v>65</v>
      </c>
      <c r="I582" s="87">
        <v>45335</v>
      </c>
      <c r="J582" s="67" t="s">
        <v>234</v>
      </c>
      <c r="K582" s="71">
        <v>450</v>
      </c>
      <c r="L582" s="73"/>
      <c r="M582" s="73"/>
      <c r="N582" s="73"/>
    </row>
    <row r="583" spans="1:14" ht="18.45" customHeight="1" x14ac:dyDescent="0.3">
      <c r="A583" s="99" t="s">
        <v>1383</v>
      </c>
      <c r="B583" s="75" t="s">
        <v>1384</v>
      </c>
      <c r="C583" s="99" t="s">
        <v>94</v>
      </c>
      <c r="D583" s="71">
        <v>58</v>
      </c>
      <c r="E583" s="85">
        <v>45329</v>
      </c>
      <c r="F583" s="85">
        <v>45331</v>
      </c>
      <c r="G583" s="67" t="s">
        <v>234</v>
      </c>
      <c r="H583" s="71" t="s">
        <v>65</v>
      </c>
      <c r="I583" s="87">
        <v>45335</v>
      </c>
      <c r="J583" s="67" t="s">
        <v>234</v>
      </c>
      <c r="K583" s="71">
        <v>450</v>
      </c>
      <c r="L583" s="73"/>
      <c r="M583" s="73"/>
      <c r="N583" s="73"/>
    </row>
    <row r="584" spans="1:14" ht="18.45" customHeight="1" x14ac:dyDescent="0.3">
      <c r="A584" s="99" t="s">
        <v>1385</v>
      </c>
      <c r="B584" s="75" t="s">
        <v>1386</v>
      </c>
      <c r="C584" s="99" t="s">
        <v>2477</v>
      </c>
      <c r="D584" s="71">
        <v>77</v>
      </c>
      <c r="E584" s="85">
        <v>45330</v>
      </c>
      <c r="F584" s="85">
        <v>45331</v>
      </c>
      <c r="G584" s="67" t="s">
        <v>234</v>
      </c>
      <c r="H584" s="71" t="s">
        <v>65</v>
      </c>
      <c r="I584" s="87">
        <v>45335</v>
      </c>
      <c r="J584" s="67" t="s">
        <v>234</v>
      </c>
      <c r="K584" s="71">
        <v>100</v>
      </c>
      <c r="L584" s="73"/>
      <c r="M584" s="73"/>
      <c r="N584" s="73"/>
    </row>
    <row r="585" spans="1:14" ht="18.45" customHeight="1" x14ac:dyDescent="0.3">
      <c r="A585" s="51" t="s">
        <v>1387</v>
      </c>
      <c r="B585" s="51" t="s">
        <v>1388</v>
      </c>
      <c r="C585" s="51" t="s">
        <v>225</v>
      </c>
      <c r="D585" s="84">
        <v>7</v>
      </c>
      <c r="E585" s="54">
        <v>45332</v>
      </c>
      <c r="F585" s="54">
        <v>45332</v>
      </c>
      <c r="G585" s="67" t="s">
        <v>234</v>
      </c>
      <c r="H585" s="51" t="s">
        <v>65</v>
      </c>
      <c r="I585" s="58">
        <v>45335</v>
      </c>
      <c r="J585" s="67" t="s">
        <v>234</v>
      </c>
      <c r="K585" s="51">
        <v>500</v>
      </c>
      <c r="L585" s="73"/>
      <c r="M585" s="73"/>
      <c r="N585" s="73"/>
    </row>
    <row r="586" spans="1:14" ht="18.45" customHeight="1" x14ac:dyDescent="0.3">
      <c r="A586" s="51" t="s">
        <v>1389</v>
      </c>
      <c r="B586" s="51" t="s">
        <v>1390</v>
      </c>
      <c r="C586" s="51" t="s">
        <v>223</v>
      </c>
      <c r="D586" s="84">
        <v>79</v>
      </c>
      <c r="E586" s="54">
        <v>45332</v>
      </c>
      <c r="F586" s="54">
        <v>45332</v>
      </c>
      <c r="G586" s="67" t="s">
        <v>234</v>
      </c>
      <c r="H586" s="51" t="s">
        <v>65</v>
      </c>
      <c r="I586" s="58">
        <v>45335</v>
      </c>
      <c r="J586" s="67" t="s">
        <v>234</v>
      </c>
      <c r="K586" s="51">
        <v>500</v>
      </c>
      <c r="L586" s="73"/>
      <c r="M586" s="73"/>
      <c r="N586" s="73"/>
    </row>
    <row r="587" spans="1:14" ht="18.45" customHeight="1" x14ac:dyDescent="0.3">
      <c r="A587" s="51" t="s">
        <v>1391</v>
      </c>
      <c r="B587" s="51" t="s">
        <v>1392</v>
      </c>
      <c r="C587" s="51" t="s">
        <v>220</v>
      </c>
      <c r="D587" s="84">
        <v>9</v>
      </c>
      <c r="E587" s="54">
        <v>45332</v>
      </c>
      <c r="F587" s="54">
        <v>45332</v>
      </c>
      <c r="G587" s="67" t="s">
        <v>234</v>
      </c>
      <c r="H587" s="51" t="s">
        <v>65</v>
      </c>
      <c r="I587" s="58">
        <v>45335</v>
      </c>
      <c r="J587" s="67" t="s">
        <v>234</v>
      </c>
      <c r="K587" s="51">
        <v>200</v>
      </c>
      <c r="L587" s="73"/>
      <c r="M587" s="73"/>
      <c r="N587" s="73"/>
    </row>
    <row r="588" spans="1:14" ht="18.45" customHeight="1" x14ac:dyDescent="0.3">
      <c r="A588" s="51" t="s">
        <v>1393</v>
      </c>
      <c r="B588" s="51" t="s">
        <v>1394</v>
      </c>
      <c r="C588" s="51" t="s">
        <v>223</v>
      </c>
      <c r="D588" s="84">
        <v>55</v>
      </c>
      <c r="E588" s="54">
        <v>45333</v>
      </c>
      <c r="F588" s="54">
        <v>45335</v>
      </c>
      <c r="G588" s="67" t="s">
        <v>234</v>
      </c>
      <c r="H588" s="51" t="s">
        <v>65</v>
      </c>
      <c r="I588" s="58">
        <v>45335</v>
      </c>
      <c r="J588" s="67" t="s">
        <v>234</v>
      </c>
      <c r="K588" s="51">
        <v>300</v>
      </c>
      <c r="L588" s="73"/>
      <c r="M588" s="73"/>
      <c r="N588" s="73"/>
    </row>
    <row r="589" spans="1:14" ht="18.45" customHeight="1" x14ac:dyDescent="0.3">
      <c r="A589" s="51" t="s">
        <v>1395</v>
      </c>
      <c r="B589" s="51" t="s">
        <v>1396</v>
      </c>
      <c r="C589" s="51" t="s">
        <v>218</v>
      </c>
      <c r="D589" s="84">
        <v>31</v>
      </c>
      <c r="E589" s="54">
        <v>45279</v>
      </c>
      <c r="F589" s="54">
        <v>45279</v>
      </c>
      <c r="G589" s="67" t="s">
        <v>234</v>
      </c>
      <c r="H589" s="51" t="s">
        <v>65</v>
      </c>
      <c r="I589" s="58">
        <v>45335</v>
      </c>
      <c r="J589" s="67" t="s">
        <v>234</v>
      </c>
      <c r="K589" s="51">
        <v>200</v>
      </c>
      <c r="L589" s="73"/>
      <c r="M589" s="73"/>
      <c r="N589" s="73"/>
    </row>
    <row r="590" spans="1:14" ht="18.45" customHeight="1" x14ac:dyDescent="0.3">
      <c r="A590" s="51" t="s">
        <v>1397</v>
      </c>
      <c r="B590" s="51" t="s">
        <v>1398</v>
      </c>
      <c r="C590" s="51" t="s">
        <v>223</v>
      </c>
      <c r="D590" s="84">
        <v>54</v>
      </c>
      <c r="E590" s="54">
        <v>45333</v>
      </c>
      <c r="F590" s="54">
        <v>45335</v>
      </c>
      <c r="G590" s="67" t="s">
        <v>234</v>
      </c>
      <c r="H590" s="51" t="s">
        <v>65</v>
      </c>
      <c r="I590" s="58">
        <v>45335</v>
      </c>
      <c r="J590" s="67" t="s">
        <v>234</v>
      </c>
      <c r="K590" s="51">
        <v>100</v>
      </c>
      <c r="L590" s="73"/>
      <c r="M590" s="73"/>
      <c r="N590" s="73"/>
    </row>
    <row r="591" spans="1:14" ht="18.45" customHeight="1" x14ac:dyDescent="0.3">
      <c r="A591" s="51" t="s">
        <v>1399</v>
      </c>
      <c r="B591" s="51" t="s">
        <v>1400</v>
      </c>
      <c r="C591" s="51" t="s">
        <v>2501</v>
      </c>
      <c r="D591" s="84">
        <v>73</v>
      </c>
      <c r="E591" s="54">
        <v>45331</v>
      </c>
      <c r="F591" s="54">
        <v>45331</v>
      </c>
      <c r="G591" s="67" t="s">
        <v>234</v>
      </c>
      <c r="H591" s="51" t="s">
        <v>65</v>
      </c>
      <c r="I591" s="58">
        <v>45335</v>
      </c>
      <c r="J591" s="67" t="s">
        <v>234</v>
      </c>
      <c r="K591" s="51">
        <v>200</v>
      </c>
      <c r="L591" s="73"/>
      <c r="M591" s="73"/>
      <c r="N591" s="73"/>
    </row>
    <row r="592" spans="1:14" ht="18.45" customHeight="1" x14ac:dyDescent="0.3">
      <c r="A592" s="51" t="s">
        <v>1401</v>
      </c>
      <c r="B592" s="51" t="s">
        <v>1402</v>
      </c>
      <c r="C592" s="51" t="s">
        <v>232</v>
      </c>
      <c r="D592" s="51">
        <v>34</v>
      </c>
      <c r="E592" s="58">
        <v>45330</v>
      </c>
      <c r="F592" s="58">
        <v>45330</v>
      </c>
      <c r="G592" s="67" t="s">
        <v>234</v>
      </c>
      <c r="H592" s="51" t="s">
        <v>65</v>
      </c>
      <c r="I592" s="58">
        <v>45335</v>
      </c>
      <c r="J592" s="67" t="s">
        <v>234</v>
      </c>
      <c r="K592" s="51">
        <v>100</v>
      </c>
      <c r="L592" s="73"/>
      <c r="M592" s="73"/>
      <c r="N592" s="73"/>
    </row>
    <row r="593" spans="1:14" ht="18.45" customHeight="1" x14ac:dyDescent="0.3">
      <c r="A593" s="51" t="s">
        <v>1403</v>
      </c>
      <c r="B593" s="51" t="s">
        <v>1404</v>
      </c>
      <c r="C593" s="51" t="s">
        <v>232</v>
      </c>
      <c r="D593" s="51">
        <v>30</v>
      </c>
      <c r="E593" s="58">
        <v>45330</v>
      </c>
      <c r="F593" s="58">
        <v>45330</v>
      </c>
      <c r="G593" s="67" t="s">
        <v>234</v>
      </c>
      <c r="H593" s="51" t="s">
        <v>65</v>
      </c>
      <c r="I593" s="58">
        <v>45335</v>
      </c>
      <c r="J593" s="67" t="s">
        <v>234</v>
      </c>
      <c r="K593" s="51">
        <v>500</v>
      </c>
      <c r="L593" s="73"/>
      <c r="M593" s="73"/>
      <c r="N593" s="73"/>
    </row>
    <row r="594" spans="1:14" ht="18.45" customHeight="1" x14ac:dyDescent="0.3">
      <c r="A594" s="51" t="s">
        <v>1405</v>
      </c>
      <c r="B594" s="51" t="s">
        <v>1406</v>
      </c>
      <c r="C594" s="51" t="s">
        <v>227</v>
      </c>
      <c r="D594" s="51">
        <v>38</v>
      </c>
      <c r="E594" s="58">
        <v>45331</v>
      </c>
      <c r="F594" s="58">
        <v>45331</v>
      </c>
      <c r="G594" s="67" t="s">
        <v>234</v>
      </c>
      <c r="H594" s="51" t="s">
        <v>65</v>
      </c>
      <c r="I594" s="58">
        <v>45335</v>
      </c>
      <c r="J594" s="67" t="s">
        <v>234</v>
      </c>
      <c r="K594" s="51">
        <v>250</v>
      </c>
      <c r="L594" s="73"/>
      <c r="M594" s="73"/>
      <c r="N594" s="73"/>
    </row>
    <row r="595" spans="1:14" ht="18.45" customHeight="1" x14ac:dyDescent="0.3">
      <c r="A595" s="51" t="s">
        <v>1407</v>
      </c>
      <c r="B595" s="51" t="s">
        <v>1408</v>
      </c>
      <c r="C595" s="51" t="s">
        <v>232</v>
      </c>
      <c r="D595" s="51">
        <v>45</v>
      </c>
      <c r="E595" s="58">
        <v>45329</v>
      </c>
      <c r="F595" s="58">
        <v>45332</v>
      </c>
      <c r="G595" s="67" t="s">
        <v>234</v>
      </c>
      <c r="H595" s="51" t="s">
        <v>65</v>
      </c>
      <c r="I595" s="58">
        <v>45335</v>
      </c>
      <c r="J595" s="67" t="s">
        <v>234</v>
      </c>
      <c r="K595" s="51">
        <v>150</v>
      </c>
      <c r="L595" s="73"/>
      <c r="M595" s="73"/>
      <c r="N595" s="73"/>
    </row>
    <row r="596" spans="1:14" ht="18.45" customHeight="1" x14ac:dyDescent="0.3">
      <c r="A596" s="51" t="s">
        <v>1409</v>
      </c>
      <c r="B596" s="51" t="s">
        <v>1410</v>
      </c>
      <c r="C596" s="51" t="s">
        <v>232</v>
      </c>
      <c r="D596" s="51">
        <v>5</v>
      </c>
      <c r="E596" s="58">
        <v>45329</v>
      </c>
      <c r="F596" s="58">
        <v>45332</v>
      </c>
      <c r="G596" s="67" t="s">
        <v>234</v>
      </c>
      <c r="H596" s="51" t="s">
        <v>65</v>
      </c>
      <c r="I596" s="58">
        <v>45335</v>
      </c>
      <c r="J596" s="67" t="s">
        <v>234</v>
      </c>
      <c r="K596" s="51">
        <v>400</v>
      </c>
      <c r="L596" s="73"/>
      <c r="M596" s="73"/>
      <c r="N596" s="73"/>
    </row>
    <row r="597" spans="1:14" ht="18.45" customHeight="1" x14ac:dyDescent="0.3">
      <c r="A597" s="51" t="s">
        <v>1411</v>
      </c>
      <c r="B597" s="51" t="s">
        <v>1412</v>
      </c>
      <c r="C597" s="51" t="s">
        <v>227</v>
      </c>
      <c r="D597" s="51">
        <v>38</v>
      </c>
      <c r="E597" s="58">
        <v>45331</v>
      </c>
      <c r="F597" s="58">
        <v>45332</v>
      </c>
      <c r="G597" s="67" t="s">
        <v>234</v>
      </c>
      <c r="H597" s="51" t="s">
        <v>65</v>
      </c>
      <c r="I597" s="58">
        <v>45335</v>
      </c>
      <c r="J597" s="67" t="s">
        <v>234</v>
      </c>
      <c r="K597" s="51">
        <v>400</v>
      </c>
      <c r="L597" s="73"/>
      <c r="M597" s="73"/>
      <c r="N597" s="73"/>
    </row>
    <row r="598" spans="1:14" ht="18.45" customHeight="1" x14ac:dyDescent="0.3">
      <c r="A598" s="51" t="s">
        <v>1413</v>
      </c>
      <c r="B598" s="51" t="s">
        <v>1414</v>
      </c>
      <c r="C598" s="51" t="s">
        <v>232</v>
      </c>
      <c r="D598" s="51">
        <v>37</v>
      </c>
      <c r="E598" s="58">
        <v>45331</v>
      </c>
      <c r="F598" s="58">
        <v>45332</v>
      </c>
      <c r="G598" s="67" t="s">
        <v>234</v>
      </c>
      <c r="H598" s="51" t="s">
        <v>65</v>
      </c>
      <c r="I598" s="58">
        <v>45335</v>
      </c>
      <c r="J598" s="67" t="s">
        <v>234</v>
      </c>
      <c r="K598" s="51">
        <v>50</v>
      </c>
      <c r="L598" s="73"/>
      <c r="M598" s="73"/>
      <c r="N598" s="73"/>
    </row>
    <row r="599" spans="1:14" ht="18.45" customHeight="1" x14ac:dyDescent="0.3">
      <c r="A599" s="51" t="s">
        <v>1415</v>
      </c>
      <c r="B599" s="51" t="s">
        <v>1416</v>
      </c>
      <c r="C599" s="51" t="s">
        <v>227</v>
      </c>
      <c r="D599" s="51">
        <v>65</v>
      </c>
      <c r="E599" s="58">
        <v>45331</v>
      </c>
      <c r="F599" s="58">
        <v>45332</v>
      </c>
      <c r="G599" s="67" t="s">
        <v>234</v>
      </c>
      <c r="H599" s="51" t="s">
        <v>65</v>
      </c>
      <c r="I599" s="58">
        <v>45335</v>
      </c>
      <c r="J599" s="67" t="s">
        <v>234</v>
      </c>
      <c r="K599" s="51">
        <v>150</v>
      </c>
      <c r="L599" s="73"/>
      <c r="M599" s="73"/>
      <c r="N599" s="73"/>
    </row>
    <row r="600" spans="1:14" ht="18.45" customHeight="1" x14ac:dyDescent="0.3">
      <c r="A600" s="51" t="s">
        <v>1417</v>
      </c>
      <c r="B600" s="51" t="s">
        <v>1418</v>
      </c>
      <c r="C600" s="51" t="s">
        <v>232</v>
      </c>
      <c r="D600" s="51">
        <v>54</v>
      </c>
      <c r="E600" s="58">
        <v>45331</v>
      </c>
      <c r="F600" s="58">
        <v>45332</v>
      </c>
      <c r="G600" s="67" t="s">
        <v>234</v>
      </c>
      <c r="H600" s="51" t="s">
        <v>65</v>
      </c>
      <c r="I600" s="58">
        <v>45335</v>
      </c>
      <c r="J600" s="67" t="s">
        <v>234</v>
      </c>
      <c r="K600" s="51">
        <v>250</v>
      </c>
      <c r="L600" s="73"/>
      <c r="M600" s="73"/>
      <c r="N600" s="73"/>
    </row>
    <row r="601" spans="1:14" ht="18.45" customHeight="1" x14ac:dyDescent="0.3">
      <c r="A601" s="51" t="s">
        <v>1419</v>
      </c>
      <c r="B601" s="51" t="s">
        <v>1420</v>
      </c>
      <c r="C601" s="51" t="s">
        <v>232</v>
      </c>
      <c r="D601" s="51">
        <v>30</v>
      </c>
      <c r="E601" s="58">
        <v>45332</v>
      </c>
      <c r="F601" s="58">
        <v>45332</v>
      </c>
      <c r="G601" s="67" t="s">
        <v>234</v>
      </c>
      <c r="H601" s="51" t="s">
        <v>65</v>
      </c>
      <c r="I601" s="58">
        <v>45335</v>
      </c>
      <c r="J601" s="67" t="s">
        <v>234</v>
      </c>
      <c r="K601" s="51">
        <v>350</v>
      </c>
      <c r="L601" s="73"/>
      <c r="M601" s="73"/>
      <c r="N601" s="73"/>
    </row>
    <row r="602" spans="1:14" ht="18.45" customHeight="1" x14ac:dyDescent="0.3">
      <c r="A602" s="48" t="s">
        <v>1421</v>
      </c>
      <c r="B602" s="48" t="s">
        <v>1422</v>
      </c>
      <c r="C602" s="48" t="s">
        <v>135</v>
      </c>
      <c r="D602" s="62">
        <v>45</v>
      </c>
      <c r="E602" s="56">
        <v>45326</v>
      </c>
      <c r="F602" s="56">
        <v>45328</v>
      </c>
      <c r="G602" s="67" t="s">
        <v>234</v>
      </c>
      <c r="H602" s="62" t="s">
        <v>65</v>
      </c>
      <c r="I602" s="92">
        <v>45336</v>
      </c>
      <c r="J602" s="67" t="s">
        <v>234</v>
      </c>
      <c r="K602" s="62">
        <v>150</v>
      </c>
      <c r="L602" s="73"/>
      <c r="M602" s="73"/>
      <c r="N602" s="73"/>
    </row>
    <row r="603" spans="1:14" ht="18.45" customHeight="1" x14ac:dyDescent="0.3">
      <c r="A603" s="48" t="s">
        <v>1423</v>
      </c>
      <c r="B603" s="50" t="s">
        <v>1424</v>
      </c>
      <c r="C603" s="48" t="s">
        <v>135</v>
      </c>
      <c r="D603" s="62">
        <v>47</v>
      </c>
      <c r="E603" s="54">
        <v>45331</v>
      </c>
      <c r="F603" s="54">
        <v>45332</v>
      </c>
      <c r="G603" s="67" t="s">
        <v>234</v>
      </c>
      <c r="H603" s="62" t="s">
        <v>65</v>
      </c>
      <c r="I603" s="92">
        <v>45336</v>
      </c>
      <c r="J603" s="67" t="s">
        <v>234</v>
      </c>
      <c r="K603" s="62">
        <v>300</v>
      </c>
      <c r="L603" s="73"/>
      <c r="M603" s="73"/>
      <c r="N603" s="73"/>
    </row>
    <row r="604" spans="1:14" ht="18.45" customHeight="1" x14ac:dyDescent="0.3">
      <c r="A604" s="48" t="s">
        <v>1425</v>
      </c>
      <c r="B604" s="50" t="s">
        <v>1426</v>
      </c>
      <c r="C604" s="48" t="s">
        <v>94</v>
      </c>
      <c r="D604" s="62">
        <v>55</v>
      </c>
      <c r="E604" s="54">
        <v>45330</v>
      </c>
      <c r="F604" s="54">
        <v>45331</v>
      </c>
      <c r="G604" s="67" t="s">
        <v>234</v>
      </c>
      <c r="H604" s="62" t="s">
        <v>65</v>
      </c>
      <c r="I604" s="92">
        <v>45336</v>
      </c>
      <c r="J604" s="67" t="s">
        <v>234</v>
      </c>
      <c r="K604" s="62">
        <v>300</v>
      </c>
      <c r="L604" s="73"/>
      <c r="M604" s="73"/>
      <c r="N604" s="73"/>
    </row>
    <row r="605" spans="1:14" ht="18.45" customHeight="1" x14ac:dyDescent="0.3">
      <c r="A605" s="51" t="s">
        <v>1427</v>
      </c>
      <c r="B605" s="51" t="s">
        <v>1428</v>
      </c>
      <c r="C605" s="51" t="s">
        <v>220</v>
      </c>
      <c r="D605" s="84">
        <v>6</v>
      </c>
      <c r="E605" s="54">
        <v>45332</v>
      </c>
      <c r="F605" s="54">
        <v>45332</v>
      </c>
      <c r="G605" s="67" t="s">
        <v>234</v>
      </c>
      <c r="H605" s="51" t="s">
        <v>65</v>
      </c>
      <c r="I605" s="58">
        <v>45336</v>
      </c>
      <c r="J605" s="67" t="s">
        <v>234</v>
      </c>
      <c r="K605" s="51">
        <v>200</v>
      </c>
      <c r="L605" s="73"/>
      <c r="M605" s="73"/>
      <c r="N605" s="73"/>
    </row>
    <row r="606" spans="1:14" ht="18.45" customHeight="1" x14ac:dyDescent="0.3">
      <c r="A606" s="51" t="s">
        <v>1429</v>
      </c>
      <c r="B606" s="51" t="s">
        <v>1430</v>
      </c>
      <c r="C606" s="51" t="s">
        <v>226</v>
      </c>
      <c r="D606" s="84">
        <v>26</v>
      </c>
      <c r="E606" s="54">
        <v>45332</v>
      </c>
      <c r="F606" s="54">
        <v>45332</v>
      </c>
      <c r="G606" s="67" t="s">
        <v>234</v>
      </c>
      <c r="H606" s="51" t="s">
        <v>65</v>
      </c>
      <c r="I606" s="58">
        <v>45336</v>
      </c>
      <c r="J606" s="67" t="s">
        <v>234</v>
      </c>
      <c r="K606" s="51">
        <v>200</v>
      </c>
      <c r="L606" s="73"/>
      <c r="M606" s="73"/>
      <c r="N606" s="73"/>
    </row>
    <row r="607" spans="1:14" ht="18.45" customHeight="1" x14ac:dyDescent="0.3">
      <c r="A607" s="51" t="s">
        <v>1431</v>
      </c>
      <c r="B607" s="51" t="s">
        <v>1432</v>
      </c>
      <c r="C607" s="51" t="s">
        <v>220</v>
      </c>
      <c r="D607" s="84">
        <v>75</v>
      </c>
      <c r="E607" s="54">
        <v>45333</v>
      </c>
      <c r="F607" s="54">
        <v>45335</v>
      </c>
      <c r="G607" s="67" t="s">
        <v>234</v>
      </c>
      <c r="H607" s="51" t="s">
        <v>65</v>
      </c>
      <c r="I607" s="58">
        <v>45336</v>
      </c>
      <c r="J607" s="67" t="s">
        <v>234</v>
      </c>
      <c r="K607" s="51">
        <v>200</v>
      </c>
      <c r="L607" s="73"/>
      <c r="M607" s="73"/>
      <c r="N607" s="73"/>
    </row>
    <row r="608" spans="1:14" ht="18.45" customHeight="1" x14ac:dyDescent="0.3">
      <c r="A608" s="51" t="s">
        <v>1433</v>
      </c>
      <c r="B608" s="51" t="s">
        <v>1434</v>
      </c>
      <c r="C608" s="51" t="s">
        <v>218</v>
      </c>
      <c r="D608" s="84">
        <v>31</v>
      </c>
      <c r="E608" s="54">
        <v>45333</v>
      </c>
      <c r="F608" s="54">
        <v>45335</v>
      </c>
      <c r="G608" s="67" t="s">
        <v>234</v>
      </c>
      <c r="H608" s="51" t="s">
        <v>65</v>
      </c>
      <c r="I608" s="58">
        <v>45336</v>
      </c>
      <c r="J608" s="67" t="s">
        <v>234</v>
      </c>
      <c r="K608" s="51">
        <v>300</v>
      </c>
      <c r="L608" s="73"/>
      <c r="M608" s="73"/>
      <c r="N608" s="73"/>
    </row>
    <row r="609" spans="1:14" ht="18.45" customHeight="1" x14ac:dyDescent="0.3">
      <c r="A609" s="51" t="s">
        <v>1435</v>
      </c>
      <c r="B609" s="51" t="s">
        <v>1436</v>
      </c>
      <c r="C609" s="51" t="s">
        <v>223</v>
      </c>
      <c r="D609" s="51">
        <v>55</v>
      </c>
      <c r="E609" s="54">
        <v>45333</v>
      </c>
      <c r="F609" s="54">
        <v>45335</v>
      </c>
      <c r="G609" s="67" t="s">
        <v>234</v>
      </c>
      <c r="H609" s="51" t="s">
        <v>65</v>
      </c>
      <c r="I609" s="58">
        <v>45336</v>
      </c>
      <c r="J609" s="67" t="s">
        <v>234</v>
      </c>
      <c r="K609" s="51">
        <v>200</v>
      </c>
      <c r="L609" s="73"/>
      <c r="M609" s="73"/>
      <c r="N609" s="73"/>
    </row>
    <row r="610" spans="1:14" ht="18.45" customHeight="1" x14ac:dyDescent="0.3">
      <c r="A610" s="51" t="s">
        <v>1437</v>
      </c>
      <c r="B610" s="51" t="s">
        <v>1438</v>
      </c>
      <c r="C610" s="51" t="s">
        <v>223</v>
      </c>
      <c r="D610" s="84">
        <v>55</v>
      </c>
      <c r="E610" s="54">
        <v>45333</v>
      </c>
      <c r="F610" s="54">
        <v>45335</v>
      </c>
      <c r="G610" s="67" t="s">
        <v>234</v>
      </c>
      <c r="H610" s="51" t="s">
        <v>65</v>
      </c>
      <c r="I610" s="58">
        <v>45336</v>
      </c>
      <c r="J610" s="67" t="s">
        <v>234</v>
      </c>
      <c r="K610" s="51">
        <v>200</v>
      </c>
      <c r="L610" s="73"/>
      <c r="M610" s="73"/>
      <c r="N610" s="73"/>
    </row>
    <row r="611" spans="1:14" ht="18.45" customHeight="1" x14ac:dyDescent="0.3">
      <c r="A611" s="51" t="s">
        <v>1439</v>
      </c>
      <c r="B611" s="51" t="s">
        <v>1440</v>
      </c>
      <c r="C611" s="51" t="s">
        <v>232</v>
      </c>
      <c r="D611" s="51">
        <v>69</v>
      </c>
      <c r="E611" s="58">
        <v>45331</v>
      </c>
      <c r="F611" s="58">
        <v>45332</v>
      </c>
      <c r="G611" s="67" t="s">
        <v>234</v>
      </c>
      <c r="H611" s="51" t="s">
        <v>65</v>
      </c>
      <c r="I611" s="58">
        <v>45336</v>
      </c>
      <c r="J611" s="67" t="s">
        <v>234</v>
      </c>
      <c r="K611" s="51">
        <v>450</v>
      </c>
      <c r="L611" s="73"/>
      <c r="M611" s="73"/>
      <c r="N611" s="73"/>
    </row>
    <row r="612" spans="1:14" ht="18.45" customHeight="1" x14ac:dyDescent="0.3">
      <c r="A612" s="51" t="s">
        <v>1441</v>
      </c>
      <c r="B612" s="51" t="s">
        <v>1442</v>
      </c>
      <c r="C612" s="51" t="s">
        <v>227</v>
      </c>
      <c r="D612" s="51">
        <v>86</v>
      </c>
      <c r="E612" s="58">
        <v>45322</v>
      </c>
      <c r="F612" s="58">
        <v>45323</v>
      </c>
      <c r="G612" s="67" t="s">
        <v>234</v>
      </c>
      <c r="H612" s="51" t="s">
        <v>65</v>
      </c>
      <c r="I612" s="58">
        <v>45336</v>
      </c>
      <c r="J612" s="67" t="s">
        <v>234</v>
      </c>
      <c r="K612" s="51">
        <v>450</v>
      </c>
      <c r="L612" s="73"/>
      <c r="M612" s="73"/>
      <c r="N612" s="73"/>
    </row>
    <row r="613" spans="1:14" ht="18.45" customHeight="1" x14ac:dyDescent="0.3">
      <c r="A613" s="51" t="s">
        <v>1443</v>
      </c>
      <c r="B613" s="51" t="s">
        <v>1444</v>
      </c>
      <c r="C613" s="51" t="s">
        <v>232</v>
      </c>
      <c r="D613" s="51">
        <v>75</v>
      </c>
      <c r="E613" s="58">
        <v>45322</v>
      </c>
      <c r="F613" s="58">
        <v>45323</v>
      </c>
      <c r="G613" s="67" t="s">
        <v>234</v>
      </c>
      <c r="H613" s="51" t="s">
        <v>65</v>
      </c>
      <c r="I613" s="58">
        <v>45336</v>
      </c>
      <c r="J613" s="67" t="s">
        <v>234</v>
      </c>
      <c r="K613" s="51">
        <v>100</v>
      </c>
      <c r="L613" s="73"/>
      <c r="M613" s="73"/>
      <c r="N613" s="73"/>
    </row>
    <row r="614" spans="1:14" ht="18.45" customHeight="1" x14ac:dyDescent="0.3">
      <c r="A614" s="51" t="s">
        <v>1445</v>
      </c>
      <c r="B614" s="51" t="s">
        <v>1446</v>
      </c>
      <c r="C614" s="51" t="s">
        <v>227</v>
      </c>
      <c r="D614" s="51">
        <v>20</v>
      </c>
      <c r="E614" s="58">
        <v>45322</v>
      </c>
      <c r="F614" s="58">
        <v>45323</v>
      </c>
      <c r="G614" s="67" t="s">
        <v>234</v>
      </c>
      <c r="H614" s="51" t="s">
        <v>65</v>
      </c>
      <c r="I614" s="58">
        <v>45336</v>
      </c>
      <c r="J614" s="67" t="s">
        <v>234</v>
      </c>
      <c r="K614" s="51">
        <v>50</v>
      </c>
      <c r="L614" s="73"/>
      <c r="M614" s="73"/>
      <c r="N614" s="73"/>
    </row>
    <row r="615" spans="1:14" ht="18.45" customHeight="1" x14ac:dyDescent="0.3">
      <c r="A615" s="51" t="s">
        <v>1447</v>
      </c>
      <c r="B615" s="51" t="s">
        <v>1448</v>
      </c>
      <c r="C615" s="51" t="s">
        <v>232</v>
      </c>
      <c r="D615" s="51">
        <v>42</v>
      </c>
      <c r="E615" s="58">
        <v>45333</v>
      </c>
      <c r="F615" s="58">
        <v>45335</v>
      </c>
      <c r="G615" s="67" t="s">
        <v>234</v>
      </c>
      <c r="H615" s="51" t="s">
        <v>65</v>
      </c>
      <c r="I615" s="58">
        <v>45336</v>
      </c>
      <c r="J615" s="67" t="s">
        <v>234</v>
      </c>
      <c r="K615" s="51">
        <v>150</v>
      </c>
      <c r="L615" s="73"/>
      <c r="M615" s="73"/>
      <c r="N615" s="73"/>
    </row>
    <row r="616" spans="1:14" ht="18.45" customHeight="1" x14ac:dyDescent="0.3">
      <c r="A616" s="51" t="s">
        <v>1449</v>
      </c>
      <c r="B616" s="51" t="s">
        <v>1450</v>
      </c>
      <c r="C616" s="51" t="s">
        <v>113</v>
      </c>
      <c r="D616" s="51">
        <v>114</v>
      </c>
      <c r="E616" s="58">
        <v>45322</v>
      </c>
      <c r="F616" s="58">
        <v>45323</v>
      </c>
      <c r="G616" s="67" t="s">
        <v>234</v>
      </c>
      <c r="H616" s="51" t="s">
        <v>65</v>
      </c>
      <c r="I616" s="58">
        <v>45336</v>
      </c>
      <c r="J616" s="67" t="s">
        <v>234</v>
      </c>
      <c r="K616" s="51">
        <v>500</v>
      </c>
      <c r="L616" s="73"/>
      <c r="M616" s="73"/>
      <c r="N616" s="73"/>
    </row>
    <row r="617" spans="1:14" ht="18.45" customHeight="1" x14ac:dyDescent="0.3">
      <c r="A617" s="51" t="s">
        <v>1451</v>
      </c>
      <c r="B617" s="51" t="s">
        <v>1452</v>
      </c>
      <c r="C617" s="51" t="s">
        <v>227</v>
      </c>
      <c r="D617" s="51">
        <v>74</v>
      </c>
      <c r="E617" s="58">
        <v>45322</v>
      </c>
      <c r="F617" s="58">
        <v>45323</v>
      </c>
      <c r="G617" s="67" t="s">
        <v>234</v>
      </c>
      <c r="H617" s="51" t="s">
        <v>65</v>
      </c>
      <c r="I617" s="58">
        <v>45336</v>
      </c>
      <c r="J617" s="67" t="s">
        <v>234</v>
      </c>
      <c r="K617" s="51">
        <v>180</v>
      </c>
      <c r="L617" s="73"/>
      <c r="M617" s="73"/>
      <c r="N617" s="73"/>
    </row>
    <row r="618" spans="1:14" ht="18.45" customHeight="1" x14ac:dyDescent="0.3">
      <c r="A618" s="51" t="s">
        <v>1453</v>
      </c>
      <c r="B618" s="51" t="s">
        <v>1454</v>
      </c>
      <c r="C618" s="51" t="s">
        <v>113</v>
      </c>
      <c r="D618" s="51">
        <v>121</v>
      </c>
      <c r="E618" s="58">
        <v>45333</v>
      </c>
      <c r="F618" s="58">
        <v>45335</v>
      </c>
      <c r="G618" s="67" t="s">
        <v>234</v>
      </c>
      <c r="H618" s="51" t="s">
        <v>65</v>
      </c>
      <c r="I618" s="58">
        <v>45336</v>
      </c>
      <c r="J618" s="67" t="s">
        <v>234</v>
      </c>
      <c r="K618" s="51">
        <v>150</v>
      </c>
      <c r="L618" s="73"/>
      <c r="M618" s="73"/>
      <c r="N618" s="73"/>
    </row>
    <row r="619" spans="1:14" ht="18.45" customHeight="1" x14ac:dyDescent="0.3">
      <c r="A619" s="48" t="s">
        <v>1455</v>
      </c>
      <c r="B619" s="48" t="s">
        <v>1456</v>
      </c>
      <c r="C619" s="48" t="s">
        <v>94</v>
      </c>
      <c r="D619" s="62">
        <v>76</v>
      </c>
      <c r="E619" s="56">
        <v>45294</v>
      </c>
      <c r="F619" s="56">
        <v>45296</v>
      </c>
      <c r="G619" s="67" t="s">
        <v>234</v>
      </c>
      <c r="H619" s="62" t="s">
        <v>65</v>
      </c>
      <c r="I619" s="92">
        <v>45337</v>
      </c>
      <c r="J619" s="67" t="s">
        <v>234</v>
      </c>
      <c r="K619" s="62">
        <v>550</v>
      </c>
      <c r="L619" s="73"/>
      <c r="M619" s="73"/>
      <c r="N619" s="73"/>
    </row>
    <row r="620" spans="1:14" ht="18.45" customHeight="1" x14ac:dyDescent="0.3">
      <c r="A620" s="48" t="s">
        <v>1457</v>
      </c>
      <c r="B620" s="50" t="s">
        <v>1458</v>
      </c>
      <c r="C620" s="62" t="s">
        <v>136</v>
      </c>
      <c r="D620" s="62">
        <v>12</v>
      </c>
      <c r="E620" s="54">
        <v>45329</v>
      </c>
      <c r="F620" s="54">
        <v>45331</v>
      </c>
      <c r="G620" s="67" t="s">
        <v>234</v>
      </c>
      <c r="H620" s="62" t="s">
        <v>65</v>
      </c>
      <c r="I620" s="92">
        <v>45337</v>
      </c>
      <c r="J620" s="67" t="s">
        <v>234</v>
      </c>
      <c r="K620" s="62">
        <v>550</v>
      </c>
      <c r="L620" s="73"/>
      <c r="M620" s="73"/>
      <c r="N620" s="73"/>
    </row>
    <row r="621" spans="1:14" ht="18.45" customHeight="1" x14ac:dyDescent="0.3">
      <c r="A621" s="48" t="s">
        <v>1459</v>
      </c>
      <c r="B621" s="50" t="s">
        <v>1460</v>
      </c>
      <c r="C621" s="48" t="s">
        <v>134</v>
      </c>
      <c r="D621" s="62">
        <v>11</v>
      </c>
      <c r="E621" s="54">
        <v>45331</v>
      </c>
      <c r="F621" s="54">
        <v>45331</v>
      </c>
      <c r="G621" s="67" t="s">
        <v>234</v>
      </c>
      <c r="H621" s="62" t="s">
        <v>65</v>
      </c>
      <c r="I621" s="92">
        <v>45337</v>
      </c>
      <c r="J621" s="67" t="s">
        <v>234</v>
      </c>
      <c r="K621" s="62">
        <v>300</v>
      </c>
      <c r="L621" s="73"/>
      <c r="M621" s="73"/>
      <c r="N621" s="73"/>
    </row>
    <row r="622" spans="1:14" ht="18.45" customHeight="1" x14ac:dyDescent="0.3">
      <c r="A622" s="48" t="s">
        <v>1461</v>
      </c>
      <c r="B622" s="50" t="s">
        <v>1462</v>
      </c>
      <c r="C622" s="48" t="s">
        <v>120</v>
      </c>
      <c r="D622" s="62">
        <v>436</v>
      </c>
      <c r="E622" s="54">
        <v>45328</v>
      </c>
      <c r="F622" s="54">
        <v>45330</v>
      </c>
      <c r="G622" s="67" t="s">
        <v>234</v>
      </c>
      <c r="H622" s="62" t="s">
        <v>65</v>
      </c>
      <c r="I622" s="92">
        <v>45337</v>
      </c>
      <c r="J622" s="67" t="s">
        <v>234</v>
      </c>
      <c r="K622" s="62">
        <v>150</v>
      </c>
      <c r="L622" s="73"/>
      <c r="M622" s="73"/>
      <c r="N622" s="73"/>
    </row>
    <row r="623" spans="1:14" ht="18.45" customHeight="1" x14ac:dyDescent="0.3">
      <c r="A623" s="51" t="s">
        <v>1463</v>
      </c>
      <c r="B623" s="51" t="s">
        <v>1464</v>
      </c>
      <c r="C623" s="51" t="s">
        <v>223</v>
      </c>
      <c r="D623" s="84">
        <v>77</v>
      </c>
      <c r="E623" s="54">
        <v>45332</v>
      </c>
      <c r="F623" s="54">
        <v>45332</v>
      </c>
      <c r="G623" s="67" t="s">
        <v>234</v>
      </c>
      <c r="H623" s="51" t="s">
        <v>65</v>
      </c>
      <c r="I623" s="58">
        <v>45337</v>
      </c>
      <c r="J623" s="67" t="s">
        <v>234</v>
      </c>
      <c r="K623" s="51">
        <v>500</v>
      </c>
      <c r="L623" s="73"/>
      <c r="M623" s="73"/>
      <c r="N623" s="73"/>
    </row>
    <row r="624" spans="1:14" ht="18.45" customHeight="1" x14ac:dyDescent="0.3">
      <c r="A624" s="51" t="s">
        <v>1465</v>
      </c>
      <c r="B624" s="51" t="s">
        <v>1466</v>
      </c>
      <c r="C624" s="51" t="s">
        <v>213</v>
      </c>
      <c r="D624" s="84">
        <v>7</v>
      </c>
      <c r="E624" s="54">
        <v>45332</v>
      </c>
      <c r="F624" s="54">
        <v>45332</v>
      </c>
      <c r="G624" s="67" t="s">
        <v>234</v>
      </c>
      <c r="H624" s="51" t="s">
        <v>65</v>
      </c>
      <c r="I624" s="58">
        <v>45337</v>
      </c>
      <c r="J624" s="67" t="s">
        <v>234</v>
      </c>
      <c r="K624" s="51">
        <v>500</v>
      </c>
      <c r="L624" s="73"/>
      <c r="M624" s="73"/>
      <c r="N624" s="73"/>
    </row>
    <row r="625" spans="1:14" ht="18.45" customHeight="1" x14ac:dyDescent="0.3">
      <c r="A625" s="51" t="s">
        <v>1467</v>
      </c>
      <c r="B625" s="51" t="s">
        <v>1468</v>
      </c>
      <c r="C625" s="51" t="s">
        <v>227</v>
      </c>
      <c r="D625" s="51">
        <v>38</v>
      </c>
      <c r="E625" s="58">
        <v>45332</v>
      </c>
      <c r="F625" s="58">
        <v>45332</v>
      </c>
      <c r="G625" s="67" t="s">
        <v>234</v>
      </c>
      <c r="H625" s="51" t="s">
        <v>65</v>
      </c>
      <c r="I625" s="58">
        <v>45337</v>
      </c>
      <c r="J625" s="67" t="s">
        <v>234</v>
      </c>
      <c r="K625" s="51">
        <v>450</v>
      </c>
      <c r="L625" s="73"/>
      <c r="M625" s="73"/>
      <c r="N625" s="73"/>
    </row>
    <row r="626" spans="1:14" ht="18.45" customHeight="1" x14ac:dyDescent="0.3">
      <c r="A626" s="51" t="s">
        <v>1469</v>
      </c>
      <c r="B626" s="51" t="s">
        <v>1470</v>
      </c>
      <c r="C626" s="51" t="s">
        <v>227</v>
      </c>
      <c r="D626" s="51">
        <v>75</v>
      </c>
      <c r="E626" s="58">
        <v>45333</v>
      </c>
      <c r="F626" s="58">
        <v>45335</v>
      </c>
      <c r="G626" s="67" t="s">
        <v>234</v>
      </c>
      <c r="H626" s="51" t="s">
        <v>65</v>
      </c>
      <c r="I626" s="58">
        <v>45337</v>
      </c>
      <c r="J626" s="67" t="s">
        <v>234</v>
      </c>
      <c r="K626" s="51">
        <v>500</v>
      </c>
      <c r="L626" s="73"/>
      <c r="M626" s="73"/>
      <c r="N626" s="73"/>
    </row>
    <row r="627" spans="1:14" ht="18.45" customHeight="1" x14ac:dyDescent="0.3">
      <c r="A627" s="51" t="s">
        <v>1471</v>
      </c>
      <c r="B627" s="51" t="s">
        <v>1472</v>
      </c>
      <c r="C627" s="51" t="s">
        <v>232</v>
      </c>
      <c r="D627" s="51">
        <v>81</v>
      </c>
      <c r="E627" s="58">
        <v>45333</v>
      </c>
      <c r="F627" s="58">
        <v>45335</v>
      </c>
      <c r="G627" s="67" t="s">
        <v>234</v>
      </c>
      <c r="H627" s="51" t="s">
        <v>65</v>
      </c>
      <c r="I627" s="58">
        <v>45337</v>
      </c>
      <c r="J627" s="67" t="s">
        <v>234</v>
      </c>
      <c r="K627" s="51">
        <v>400</v>
      </c>
      <c r="L627" s="73"/>
      <c r="M627" s="73"/>
      <c r="N627" s="73"/>
    </row>
    <row r="628" spans="1:14" ht="18.45" customHeight="1" x14ac:dyDescent="0.3">
      <c r="A628" s="51" t="s">
        <v>1473</v>
      </c>
      <c r="B628" s="51" t="s">
        <v>1474</v>
      </c>
      <c r="C628" s="51" t="s">
        <v>227</v>
      </c>
      <c r="D628" s="51">
        <v>7</v>
      </c>
      <c r="E628" s="58">
        <v>45335</v>
      </c>
      <c r="F628" s="58">
        <v>45336</v>
      </c>
      <c r="G628" s="67" t="s">
        <v>234</v>
      </c>
      <c r="H628" s="51" t="s">
        <v>65</v>
      </c>
      <c r="I628" s="58">
        <v>45337</v>
      </c>
      <c r="J628" s="67" t="s">
        <v>234</v>
      </c>
      <c r="K628" s="51">
        <v>350</v>
      </c>
      <c r="L628" s="73"/>
      <c r="M628" s="73"/>
      <c r="N628" s="73"/>
    </row>
    <row r="629" spans="1:14" ht="18.45" customHeight="1" x14ac:dyDescent="0.3">
      <c r="A629" s="51" t="s">
        <v>1475</v>
      </c>
      <c r="B629" s="51" t="s">
        <v>1476</v>
      </c>
      <c r="C629" s="51" t="s">
        <v>227</v>
      </c>
      <c r="D629" s="51">
        <v>74</v>
      </c>
      <c r="E629" s="58">
        <v>45335</v>
      </c>
      <c r="F629" s="58">
        <v>45336</v>
      </c>
      <c r="G629" s="67" t="s">
        <v>234</v>
      </c>
      <c r="H629" s="51" t="s">
        <v>65</v>
      </c>
      <c r="I629" s="58">
        <v>45337</v>
      </c>
      <c r="J629" s="67" t="s">
        <v>234</v>
      </c>
      <c r="K629" s="51">
        <v>300</v>
      </c>
      <c r="L629" s="73"/>
      <c r="M629" s="73"/>
      <c r="N629" s="73"/>
    </row>
    <row r="630" spans="1:14" ht="18.45" customHeight="1" x14ac:dyDescent="0.3">
      <c r="A630" s="51" t="s">
        <v>1477</v>
      </c>
      <c r="B630" s="51" t="s">
        <v>1478</v>
      </c>
      <c r="C630" s="51" t="s">
        <v>232</v>
      </c>
      <c r="D630" s="51">
        <v>17</v>
      </c>
      <c r="E630" s="58">
        <v>45335</v>
      </c>
      <c r="F630" s="58">
        <v>45336</v>
      </c>
      <c r="G630" s="67" t="s">
        <v>234</v>
      </c>
      <c r="H630" s="51" t="s">
        <v>65</v>
      </c>
      <c r="I630" s="58">
        <v>45337</v>
      </c>
      <c r="J630" s="67" t="s">
        <v>234</v>
      </c>
      <c r="K630" s="51">
        <v>350</v>
      </c>
      <c r="L630" s="73"/>
      <c r="M630" s="73"/>
      <c r="N630" s="73"/>
    </row>
    <row r="631" spans="1:14" ht="18.45" customHeight="1" x14ac:dyDescent="0.3">
      <c r="A631" s="51" t="s">
        <v>1479</v>
      </c>
      <c r="B631" s="51" t="s">
        <v>1480</v>
      </c>
      <c r="C631" s="51" t="s">
        <v>227</v>
      </c>
      <c r="D631" s="51">
        <v>36</v>
      </c>
      <c r="E631" s="58">
        <v>45335</v>
      </c>
      <c r="F631" s="58">
        <v>45336</v>
      </c>
      <c r="G631" s="67" t="s">
        <v>234</v>
      </c>
      <c r="H631" s="51" t="s">
        <v>65</v>
      </c>
      <c r="I631" s="58">
        <v>45337</v>
      </c>
      <c r="J631" s="67" t="s">
        <v>234</v>
      </c>
      <c r="K631" s="51">
        <v>350</v>
      </c>
      <c r="L631" s="73"/>
      <c r="M631" s="73"/>
      <c r="N631" s="73"/>
    </row>
    <row r="632" spans="1:14" ht="18.45" customHeight="1" x14ac:dyDescent="0.3">
      <c r="A632" s="101" t="s">
        <v>1481</v>
      </c>
      <c r="B632" s="82" t="s">
        <v>1482</v>
      </c>
      <c r="C632" s="101" t="s">
        <v>134</v>
      </c>
      <c r="D632" s="82">
        <v>35</v>
      </c>
      <c r="E632" s="94">
        <v>45331</v>
      </c>
      <c r="F632" s="94">
        <v>45331</v>
      </c>
      <c r="G632" s="67" t="s">
        <v>234</v>
      </c>
      <c r="H632" s="82" t="s">
        <v>65</v>
      </c>
      <c r="I632" s="94">
        <v>45338</v>
      </c>
      <c r="J632" s="67" t="s">
        <v>234</v>
      </c>
      <c r="K632" s="82">
        <v>200</v>
      </c>
      <c r="L632" s="73"/>
      <c r="M632" s="73"/>
      <c r="N632" s="73"/>
    </row>
    <row r="633" spans="1:14" ht="18.45" customHeight="1" x14ac:dyDescent="0.3">
      <c r="A633" s="101" t="s">
        <v>1483</v>
      </c>
      <c r="B633" s="82" t="s">
        <v>1484</v>
      </c>
      <c r="C633" s="101" t="s">
        <v>134</v>
      </c>
      <c r="D633" s="82">
        <v>10</v>
      </c>
      <c r="E633" s="94">
        <v>45331</v>
      </c>
      <c r="F633" s="94">
        <v>45332</v>
      </c>
      <c r="G633" s="67" t="s">
        <v>234</v>
      </c>
      <c r="H633" s="82" t="s">
        <v>65</v>
      </c>
      <c r="I633" s="94">
        <v>45338</v>
      </c>
      <c r="J633" s="67" t="s">
        <v>234</v>
      </c>
      <c r="K633" s="82">
        <v>350</v>
      </c>
      <c r="L633" s="73"/>
      <c r="M633" s="73"/>
      <c r="N633" s="73"/>
    </row>
    <row r="634" spans="1:14" ht="18.45" customHeight="1" x14ac:dyDescent="0.3">
      <c r="A634" s="72" t="s">
        <v>1485</v>
      </c>
      <c r="B634" s="68" t="s">
        <v>1486</v>
      </c>
      <c r="C634" s="72" t="s">
        <v>94</v>
      </c>
      <c r="D634" s="68">
        <v>78</v>
      </c>
      <c r="E634" s="95">
        <v>45336</v>
      </c>
      <c r="F634" s="95">
        <v>45337</v>
      </c>
      <c r="G634" s="67" t="s">
        <v>234</v>
      </c>
      <c r="H634" s="82" t="s">
        <v>65</v>
      </c>
      <c r="I634" s="94">
        <v>45338</v>
      </c>
      <c r="J634" s="67" t="s">
        <v>234</v>
      </c>
      <c r="K634" s="68">
        <v>350</v>
      </c>
      <c r="L634" s="73"/>
      <c r="M634" s="73"/>
      <c r="N634" s="73"/>
    </row>
    <row r="635" spans="1:14" ht="18.45" customHeight="1" x14ac:dyDescent="0.3">
      <c r="A635" s="101" t="s">
        <v>1487</v>
      </c>
      <c r="B635" s="82" t="s">
        <v>1488</v>
      </c>
      <c r="C635" s="101" t="s">
        <v>120</v>
      </c>
      <c r="D635" s="82">
        <v>197</v>
      </c>
      <c r="E635" s="94">
        <v>45331</v>
      </c>
      <c r="F635" s="94">
        <v>45332</v>
      </c>
      <c r="G635" s="67" t="s">
        <v>234</v>
      </c>
      <c r="H635" s="82" t="s">
        <v>65</v>
      </c>
      <c r="I635" s="94">
        <v>45338</v>
      </c>
      <c r="J635" s="67" t="s">
        <v>234</v>
      </c>
      <c r="K635" s="82">
        <v>150</v>
      </c>
      <c r="L635" s="73"/>
      <c r="M635" s="73"/>
      <c r="N635" s="73"/>
    </row>
    <row r="636" spans="1:14" ht="18.45" customHeight="1" x14ac:dyDescent="0.3">
      <c r="A636" s="101" t="s">
        <v>1489</v>
      </c>
      <c r="B636" s="82" t="s">
        <v>1490</v>
      </c>
      <c r="C636" s="101" t="s">
        <v>136</v>
      </c>
      <c r="D636" s="82">
        <v>52</v>
      </c>
      <c r="E636" s="94">
        <v>45324</v>
      </c>
      <c r="F636" s="94">
        <v>45325</v>
      </c>
      <c r="G636" s="67" t="s">
        <v>234</v>
      </c>
      <c r="H636" s="82" t="s">
        <v>65</v>
      </c>
      <c r="I636" s="94">
        <v>45338</v>
      </c>
      <c r="J636" s="67" t="s">
        <v>234</v>
      </c>
      <c r="K636" s="82">
        <v>250</v>
      </c>
      <c r="L636" s="73"/>
      <c r="M636" s="73"/>
      <c r="N636" s="73"/>
    </row>
    <row r="637" spans="1:14" ht="18.45" customHeight="1" x14ac:dyDescent="0.3">
      <c r="A637" s="101" t="s">
        <v>1491</v>
      </c>
      <c r="B637" s="82" t="s">
        <v>1426</v>
      </c>
      <c r="C637" s="101" t="s">
        <v>94</v>
      </c>
      <c r="D637" s="82">
        <v>55</v>
      </c>
      <c r="E637" s="94">
        <v>45330</v>
      </c>
      <c r="F637" s="94">
        <v>45331</v>
      </c>
      <c r="G637" s="67" t="s">
        <v>234</v>
      </c>
      <c r="H637" s="82" t="s">
        <v>65</v>
      </c>
      <c r="I637" s="94">
        <v>45338</v>
      </c>
      <c r="J637" s="67" t="s">
        <v>234</v>
      </c>
      <c r="K637" s="82">
        <v>350</v>
      </c>
      <c r="L637" s="73"/>
      <c r="M637" s="73"/>
      <c r="N637" s="73"/>
    </row>
    <row r="638" spans="1:14" ht="18.45" customHeight="1" x14ac:dyDescent="0.3">
      <c r="A638" s="51" t="s">
        <v>1492</v>
      </c>
      <c r="B638" s="51" t="s">
        <v>1493</v>
      </c>
      <c r="C638" s="51" t="s">
        <v>113</v>
      </c>
      <c r="D638" s="51">
        <v>66</v>
      </c>
      <c r="E638" s="58">
        <v>45335</v>
      </c>
      <c r="F638" s="58">
        <v>45336</v>
      </c>
      <c r="G638" s="67" t="s">
        <v>234</v>
      </c>
      <c r="H638" s="51" t="s">
        <v>65</v>
      </c>
      <c r="I638" s="58">
        <v>45338</v>
      </c>
      <c r="J638" s="67" t="s">
        <v>234</v>
      </c>
      <c r="K638" s="51">
        <v>60</v>
      </c>
      <c r="L638" s="73"/>
      <c r="M638" s="73"/>
      <c r="N638" s="73"/>
    </row>
    <row r="639" spans="1:14" ht="18.45" customHeight="1" x14ac:dyDescent="0.3">
      <c r="A639" s="51" t="s">
        <v>1494</v>
      </c>
      <c r="B639" s="51" t="s">
        <v>1495</v>
      </c>
      <c r="C639" s="51" t="s">
        <v>232</v>
      </c>
      <c r="D639" s="51">
        <v>18</v>
      </c>
      <c r="E639" s="58">
        <v>45336</v>
      </c>
      <c r="F639" s="58">
        <v>45337</v>
      </c>
      <c r="G639" s="67" t="s">
        <v>234</v>
      </c>
      <c r="H639" s="51" t="s">
        <v>65</v>
      </c>
      <c r="I639" s="58">
        <v>45338</v>
      </c>
      <c r="J639" s="67" t="s">
        <v>234</v>
      </c>
      <c r="K639" s="51">
        <v>60</v>
      </c>
      <c r="L639" s="73"/>
      <c r="M639" s="73"/>
      <c r="N639" s="73"/>
    </row>
    <row r="640" spans="1:14" ht="18.45" customHeight="1" x14ac:dyDescent="0.3">
      <c r="A640" s="51" t="s">
        <v>1496</v>
      </c>
      <c r="B640" s="51" t="s">
        <v>1497</v>
      </c>
      <c r="C640" s="51" t="s">
        <v>223</v>
      </c>
      <c r="D640" s="84">
        <v>1</v>
      </c>
      <c r="E640" s="54">
        <v>45337</v>
      </c>
      <c r="F640" s="54">
        <v>45337</v>
      </c>
      <c r="G640" s="67" t="s">
        <v>234</v>
      </c>
      <c r="H640" s="51" t="s">
        <v>65</v>
      </c>
      <c r="I640" s="58">
        <v>45338</v>
      </c>
      <c r="J640" s="67" t="s">
        <v>234</v>
      </c>
      <c r="K640" s="51">
        <v>300</v>
      </c>
      <c r="L640" s="73"/>
      <c r="M640" s="73"/>
      <c r="N640" s="73"/>
    </row>
    <row r="641" spans="1:14" ht="18.45" customHeight="1" x14ac:dyDescent="0.3">
      <c r="A641" s="51" t="s">
        <v>1498</v>
      </c>
      <c r="B641" s="51" t="s">
        <v>1499</v>
      </c>
      <c r="C641" s="51" t="s">
        <v>2502</v>
      </c>
      <c r="D641" s="84">
        <v>4</v>
      </c>
      <c r="E641" s="54">
        <v>45337</v>
      </c>
      <c r="F641" s="54">
        <v>45337</v>
      </c>
      <c r="G641" s="67" t="s">
        <v>234</v>
      </c>
      <c r="H641" s="51" t="s">
        <v>65</v>
      </c>
      <c r="I641" s="58">
        <v>45338</v>
      </c>
      <c r="J641" s="67" t="s">
        <v>234</v>
      </c>
      <c r="K641" s="51">
        <v>500</v>
      </c>
      <c r="L641" s="73"/>
      <c r="M641" s="73"/>
      <c r="N641" s="73"/>
    </row>
    <row r="642" spans="1:14" ht="18.45" customHeight="1" x14ac:dyDescent="0.3">
      <c r="A642" s="51" t="s">
        <v>1500</v>
      </c>
      <c r="B642" s="51" t="s">
        <v>1501</v>
      </c>
      <c r="C642" s="51" t="s">
        <v>223</v>
      </c>
      <c r="D642" s="84">
        <v>24</v>
      </c>
      <c r="E642" s="54">
        <v>45337</v>
      </c>
      <c r="F642" s="54">
        <v>45337</v>
      </c>
      <c r="G642" s="67" t="s">
        <v>234</v>
      </c>
      <c r="H642" s="51" t="s">
        <v>65</v>
      </c>
      <c r="I642" s="58">
        <v>45338</v>
      </c>
      <c r="J642" s="67" t="s">
        <v>234</v>
      </c>
      <c r="K642" s="51">
        <v>300</v>
      </c>
      <c r="L642" s="73"/>
      <c r="M642" s="73"/>
      <c r="N642" s="73"/>
    </row>
    <row r="643" spans="1:14" ht="18.45" customHeight="1" x14ac:dyDescent="0.3">
      <c r="A643" s="101" t="s">
        <v>1502</v>
      </c>
      <c r="B643" s="82" t="s">
        <v>1503</v>
      </c>
      <c r="C643" s="101" t="s">
        <v>2477</v>
      </c>
      <c r="D643" s="82">
        <v>40</v>
      </c>
      <c r="E643" s="94">
        <v>45330</v>
      </c>
      <c r="F643" s="94">
        <v>45331</v>
      </c>
      <c r="G643" s="67" t="s">
        <v>234</v>
      </c>
      <c r="H643" s="82" t="s">
        <v>65</v>
      </c>
      <c r="I643" s="94">
        <v>45339</v>
      </c>
      <c r="J643" s="67" t="s">
        <v>234</v>
      </c>
      <c r="K643" s="82">
        <v>100</v>
      </c>
      <c r="L643" s="73"/>
      <c r="M643" s="73"/>
      <c r="N643" s="73"/>
    </row>
    <row r="644" spans="1:14" ht="18.45" customHeight="1" x14ac:dyDescent="0.3">
      <c r="A644" s="101" t="s">
        <v>1504</v>
      </c>
      <c r="B644" s="82" t="s">
        <v>1505</v>
      </c>
      <c r="C644" s="101" t="s">
        <v>120</v>
      </c>
      <c r="D644" s="82">
        <v>13</v>
      </c>
      <c r="E644" s="94">
        <v>45331</v>
      </c>
      <c r="F644" s="94">
        <v>45332</v>
      </c>
      <c r="G644" s="67" t="s">
        <v>234</v>
      </c>
      <c r="H644" s="82" t="s">
        <v>65</v>
      </c>
      <c r="I644" s="94">
        <v>45339</v>
      </c>
      <c r="J644" s="67" t="s">
        <v>234</v>
      </c>
      <c r="K644" s="82">
        <v>200</v>
      </c>
      <c r="L644" s="73"/>
      <c r="M644" s="73"/>
      <c r="N644" s="73"/>
    </row>
    <row r="645" spans="1:14" ht="18.45" customHeight="1" x14ac:dyDescent="0.3">
      <c r="A645" s="101" t="s">
        <v>1506</v>
      </c>
      <c r="B645" s="82" t="s">
        <v>1507</v>
      </c>
      <c r="C645" s="101" t="s">
        <v>2503</v>
      </c>
      <c r="D645" s="68">
        <v>24</v>
      </c>
      <c r="E645" s="94">
        <v>45335</v>
      </c>
      <c r="F645" s="94">
        <v>45336</v>
      </c>
      <c r="G645" s="67" t="s">
        <v>234</v>
      </c>
      <c r="H645" s="82" t="s">
        <v>65</v>
      </c>
      <c r="I645" s="94">
        <v>45339</v>
      </c>
      <c r="J645" s="67" t="s">
        <v>234</v>
      </c>
      <c r="K645" s="82">
        <v>200</v>
      </c>
      <c r="L645" s="73"/>
      <c r="M645" s="73"/>
      <c r="N645" s="73"/>
    </row>
    <row r="646" spans="1:14" ht="18.45" customHeight="1" x14ac:dyDescent="0.3">
      <c r="A646" s="101" t="s">
        <v>1508</v>
      </c>
      <c r="B646" s="82" t="s">
        <v>1509</v>
      </c>
      <c r="C646" s="101" t="s">
        <v>120</v>
      </c>
      <c r="D646" s="82">
        <v>292</v>
      </c>
      <c r="E646" s="94">
        <v>45331</v>
      </c>
      <c r="F646" s="94">
        <v>45332</v>
      </c>
      <c r="G646" s="67" t="s">
        <v>234</v>
      </c>
      <c r="H646" s="82" t="s">
        <v>65</v>
      </c>
      <c r="I646" s="94">
        <v>45339</v>
      </c>
      <c r="J646" s="67" t="s">
        <v>234</v>
      </c>
      <c r="K646" s="82">
        <v>250</v>
      </c>
      <c r="L646" s="73"/>
      <c r="M646" s="73"/>
      <c r="N646" s="73"/>
    </row>
    <row r="647" spans="1:14" ht="18.45" customHeight="1" x14ac:dyDescent="0.3">
      <c r="A647" s="101" t="s">
        <v>1510</v>
      </c>
      <c r="B647" s="82" t="s">
        <v>1511</v>
      </c>
      <c r="C647" s="101" t="s">
        <v>2503</v>
      </c>
      <c r="D647" s="82">
        <v>39</v>
      </c>
      <c r="E647" s="94">
        <v>45326</v>
      </c>
      <c r="F647" s="94">
        <v>45328</v>
      </c>
      <c r="G647" s="67" t="s">
        <v>234</v>
      </c>
      <c r="H647" s="82" t="s">
        <v>65</v>
      </c>
      <c r="I647" s="94">
        <v>45339</v>
      </c>
      <c r="J647" s="67" t="s">
        <v>234</v>
      </c>
      <c r="K647" s="82">
        <v>250</v>
      </c>
      <c r="L647" s="73"/>
      <c r="M647" s="73"/>
      <c r="N647" s="73"/>
    </row>
    <row r="648" spans="1:14" ht="18.45" customHeight="1" x14ac:dyDescent="0.3">
      <c r="A648" s="51" t="s">
        <v>1512</v>
      </c>
      <c r="B648" s="51" t="s">
        <v>1513</v>
      </c>
      <c r="C648" s="51" t="s">
        <v>223</v>
      </c>
      <c r="D648" s="84">
        <v>55</v>
      </c>
      <c r="E648" s="54">
        <v>45333</v>
      </c>
      <c r="F648" s="54">
        <v>45335</v>
      </c>
      <c r="G648" s="67" t="s">
        <v>234</v>
      </c>
      <c r="H648" s="51" t="s">
        <v>65</v>
      </c>
      <c r="I648" s="58">
        <v>45339</v>
      </c>
      <c r="J648" s="67" t="s">
        <v>234</v>
      </c>
      <c r="K648" s="51">
        <v>500</v>
      </c>
      <c r="L648" s="73"/>
      <c r="M648" s="73"/>
      <c r="N648" s="73"/>
    </row>
    <row r="649" spans="1:14" ht="18.45" customHeight="1" x14ac:dyDescent="0.3">
      <c r="A649" s="51" t="s">
        <v>1514</v>
      </c>
      <c r="B649" s="51" t="s">
        <v>1515</v>
      </c>
      <c r="C649" s="51" t="s">
        <v>223</v>
      </c>
      <c r="D649" s="84">
        <v>59</v>
      </c>
      <c r="E649" s="54">
        <v>45337</v>
      </c>
      <c r="F649" s="54">
        <v>45337</v>
      </c>
      <c r="G649" s="67" t="s">
        <v>234</v>
      </c>
      <c r="H649" s="51" t="s">
        <v>65</v>
      </c>
      <c r="I649" s="58">
        <v>45339</v>
      </c>
      <c r="J649" s="67" t="s">
        <v>234</v>
      </c>
      <c r="K649" s="51">
        <v>200</v>
      </c>
      <c r="L649" s="73"/>
      <c r="M649" s="73"/>
      <c r="N649" s="73"/>
    </row>
    <row r="650" spans="1:14" ht="18.45" customHeight="1" x14ac:dyDescent="0.3">
      <c r="A650" s="51" t="s">
        <v>1516</v>
      </c>
      <c r="B650" s="51" t="s">
        <v>1517</v>
      </c>
      <c r="C650" s="51" t="s">
        <v>223</v>
      </c>
      <c r="D650" s="84">
        <v>55</v>
      </c>
      <c r="E650" s="54">
        <v>45338</v>
      </c>
      <c r="F650" s="54">
        <v>45338</v>
      </c>
      <c r="G650" s="67" t="s">
        <v>234</v>
      </c>
      <c r="H650" s="51" t="s">
        <v>65</v>
      </c>
      <c r="I650" s="58">
        <v>45339</v>
      </c>
      <c r="J650" s="67" t="s">
        <v>234</v>
      </c>
      <c r="K650" s="51">
        <v>300</v>
      </c>
      <c r="L650" s="73"/>
      <c r="M650" s="73"/>
      <c r="N650" s="73"/>
    </row>
    <row r="651" spans="1:14" ht="18.45" customHeight="1" x14ac:dyDescent="0.3">
      <c r="A651" s="51" t="s">
        <v>1518</v>
      </c>
      <c r="B651" s="51" t="s">
        <v>1519</v>
      </c>
      <c r="C651" s="51" t="s">
        <v>227</v>
      </c>
      <c r="D651" s="51">
        <v>80</v>
      </c>
      <c r="E651" s="58">
        <v>45329</v>
      </c>
      <c r="F651" s="58">
        <v>45330</v>
      </c>
      <c r="G651" s="67" t="s">
        <v>234</v>
      </c>
      <c r="H651" s="51" t="s">
        <v>65</v>
      </c>
      <c r="I651" s="58">
        <v>45339</v>
      </c>
      <c r="J651" s="67" t="s">
        <v>234</v>
      </c>
      <c r="K651" s="51">
        <v>450</v>
      </c>
      <c r="L651" s="73"/>
      <c r="M651" s="73"/>
      <c r="N651" s="73"/>
    </row>
    <row r="652" spans="1:14" ht="18.45" customHeight="1" x14ac:dyDescent="0.3">
      <c r="A652" s="51" t="s">
        <v>1520</v>
      </c>
      <c r="B652" s="51" t="s">
        <v>1521</v>
      </c>
      <c r="C652" s="51" t="s">
        <v>228</v>
      </c>
      <c r="D652" s="51">
        <v>9</v>
      </c>
      <c r="E652" s="58">
        <v>45337</v>
      </c>
      <c r="F652" s="58">
        <v>45338</v>
      </c>
      <c r="G652" s="67" t="s">
        <v>234</v>
      </c>
      <c r="H652" s="51" t="s">
        <v>65</v>
      </c>
      <c r="I652" s="58">
        <v>45339</v>
      </c>
      <c r="J652" s="67" t="s">
        <v>234</v>
      </c>
      <c r="K652" s="51">
        <v>100</v>
      </c>
      <c r="L652" s="73"/>
      <c r="M652" s="73"/>
      <c r="N652" s="73"/>
    </row>
    <row r="653" spans="1:14" ht="18.45" customHeight="1" x14ac:dyDescent="0.3">
      <c r="A653" s="51" t="s">
        <v>1522</v>
      </c>
      <c r="B653" s="51" t="s">
        <v>1523</v>
      </c>
      <c r="C653" s="51" t="s">
        <v>232</v>
      </c>
      <c r="D653" s="51">
        <v>69</v>
      </c>
      <c r="E653" s="58">
        <v>45337</v>
      </c>
      <c r="F653" s="58">
        <v>45338</v>
      </c>
      <c r="G653" s="67" t="s">
        <v>234</v>
      </c>
      <c r="H653" s="51" t="s">
        <v>65</v>
      </c>
      <c r="I653" s="58">
        <v>45339</v>
      </c>
      <c r="J653" s="67" t="s">
        <v>234</v>
      </c>
      <c r="K653" s="51">
        <v>400</v>
      </c>
      <c r="L653" s="73"/>
      <c r="M653" s="73"/>
      <c r="N653" s="73"/>
    </row>
    <row r="654" spans="1:14" ht="18.45" customHeight="1" x14ac:dyDescent="0.3">
      <c r="A654" s="51" t="s">
        <v>1524</v>
      </c>
      <c r="B654" s="51" t="s">
        <v>1525</v>
      </c>
      <c r="C654" s="51" t="s">
        <v>227</v>
      </c>
      <c r="D654" s="51">
        <v>59</v>
      </c>
      <c r="E654" s="58">
        <v>45337</v>
      </c>
      <c r="F654" s="58">
        <v>45338</v>
      </c>
      <c r="G654" s="67" t="s">
        <v>234</v>
      </c>
      <c r="H654" s="51" t="s">
        <v>65</v>
      </c>
      <c r="I654" s="58">
        <v>45339</v>
      </c>
      <c r="J654" s="67" t="s">
        <v>234</v>
      </c>
      <c r="K654" s="51">
        <v>50</v>
      </c>
      <c r="L654" s="73"/>
      <c r="M654" s="73"/>
      <c r="N654" s="73"/>
    </row>
    <row r="655" spans="1:14" ht="18.45" customHeight="1" x14ac:dyDescent="0.3">
      <c r="A655" s="51" t="s">
        <v>1526</v>
      </c>
      <c r="B655" s="51" t="s">
        <v>1527</v>
      </c>
      <c r="C655" s="51" t="s">
        <v>138</v>
      </c>
      <c r="D655" s="51">
        <v>60</v>
      </c>
      <c r="E655" s="58">
        <v>45337</v>
      </c>
      <c r="F655" s="58">
        <v>45338</v>
      </c>
      <c r="G655" s="67" t="s">
        <v>234</v>
      </c>
      <c r="H655" s="51" t="s">
        <v>65</v>
      </c>
      <c r="I655" s="58">
        <v>45339</v>
      </c>
      <c r="J655" s="67" t="s">
        <v>234</v>
      </c>
      <c r="K655" s="51">
        <v>80</v>
      </c>
      <c r="L655" s="73"/>
      <c r="M655" s="73"/>
      <c r="N655" s="73"/>
    </row>
    <row r="656" spans="1:14" ht="18.45" customHeight="1" x14ac:dyDescent="0.3">
      <c r="A656" s="101" t="s">
        <v>1528</v>
      </c>
      <c r="B656" s="82" t="s">
        <v>1529</v>
      </c>
      <c r="C656" s="101" t="s">
        <v>92</v>
      </c>
      <c r="D656" s="82">
        <v>41</v>
      </c>
      <c r="E656" s="94">
        <v>45331</v>
      </c>
      <c r="F656" s="94">
        <v>45331</v>
      </c>
      <c r="G656" s="67" t="s">
        <v>234</v>
      </c>
      <c r="H656" s="82" t="s">
        <v>65</v>
      </c>
      <c r="I656" s="94">
        <v>45341</v>
      </c>
      <c r="J656" s="67" t="s">
        <v>234</v>
      </c>
      <c r="K656" s="82">
        <v>250</v>
      </c>
      <c r="L656" s="73"/>
      <c r="M656" s="73"/>
      <c r="N656" s="73"/>
    </row>
    <row r="657" spans="1:14" ht="18.45" customHeight="1" x14ac:dyDescent="0.3">
      <c r="A657" s="101" t="s">
        <v>1530</v>
      </c>
      <c r="B657" s="82" t="s">
        <v>1531</v>
      </c>
      <c r="C657" s="101" t="s">
        <v>2504</v>
      </c>
      <c r="D657" s="82">
        <v>74</v>
      </c>
      <c r="E657" s="94">
        <v>45287</v>
      </c>
      <c r="F657" s="94">
        <v>45288</v>
      </c>
      <c r="G657" s="67" t="s">
        <v>234</v>
      </c>
      <c r="H657" s="82" t="s">
        <v>65</v>
      </c>
      <c r="I657" s="94">
        <v>45341</v>
      </c>
      <c r="J657" s="67" t="s">
        <v>234</v>
      </c>
      <c r="K657" s="82">
        <v>350</v>
      </c>
      <c r="L657" s="73"/>
      <c r="M657" s="73"/>
      <c r="N657" s="73"/>
    </row>
    <row r="658" spans="1:14" ht="18.45" customHeight="1" x14ac:dyDescent="0.3">
      <c r="A658" s="99" t="s">
        <v>1532</v>
      </c>
      <c r="B658" s="75" t="s">
        <v>1533</v>
      </c>
      <c r="C658" s="99" t="s">
        <v>93</v>
      </c>
      <c r="D658" s="71">
        <v>8</v>
      </c>
      <c r="E658" s="85">
        <v>45337</v>
      </c>
      <c r="F658" s="85">
        <v>45339</v>
      </c>
      <c r="G658" s="67" t="s">
        <v>234</v>
      </c>
      <c r="H658" s="82" t="s">
        <v>65</v>
      </c>
      <c r="I658" s="87">
        <v>45341</v>
      </c>
      <c r="J658" s="67" t="s">
        <v>234</v>
      </c>
      <c r="K658" s="71">
        <v>350</v>
      </c>
      <c r="L658" s="73"/>
      <c r="M658" s="73"/>
      <c r="N658" s="73"/>
    </row>
    <row r="659" spans="1:14" ht="18.45" customHeight="1" x14ac:dyDescent="0.3">
      <c r="A659" s="51" t="s">
        <v>1512</v>
      </c>
      <c r="B659" s="51" t="s">
        <v>1513</v>
      </c>
      <c r="C659" s="51" t="s">
        <v>223</v>
      </c>
      <c r="D659" s="84">
        <v>55</v>
      </c>
      <c r="E659" s="54">
        <v>45333</v>
      </c>
      <c r="F659" s="54">
        <v>45335</v>
      </c>
      <c r="G659" s="67" t="s">
        <v>234</v>
      </c>
      <c r="H659" s="51" t="s">
        <v>65</v>
      </c>
      <c r="I659" s="58">
        <v>45341</v>
      </c>
      <c r="J659" s="67" t="s">
        <v>234</v>
      </c>
      <c r="K659" s="51">
        <v>500</v>
      </c>
      <c r="L659" s="73"/>
      <c r="M659" s="73"/>
      <c r="N659" s="73"/>
    </row>
    <row r="660" spans="1:14" ht="18.45" customHeight="1" x14ac:dyDescent="0.3">
      <c r="A660" s="51" t="s">
        <v>1514</v>
      </c>
      <c r="B660" s="51" t="s">
        <v>1515</v>
      </c>
      <c r="C660" s="51" t="s">
        <v>223</v>
      </c>
      <c r="D660" s="84">
        <v>59</v>
      </c>
      <c r="E660" s="54">
        <v>45337</v>
      </c>
      <c r="F660" s="54">
        <v>45337</v>
      </c>
      <c r="G660" s="67" t="s">
        <v>234</v>
      </c>
      <c r="H660" s="51" t="s">
        <v>65</v>
      </c>
      <c r="I660" s="58">
        <v>45341</v>
      </c>
      <c r="J660" s="67" t="s">
        <v>234</v>
      </c>
      <c r="K660" s="51">
        <v>200</v>
      </c>
      <c r="L660" s="73"/>
      <c r="M660" s="73"/>
      <c r="N660" s="73"/>
    </row>
    <row r="661" spans="1:14" ht="18.45" customHeight="1" x14ac:dyDescent="0.3">
      <c r="A661" s="51" t="s">
        <v>1516</v>
      </c>
      <c r="B661" s="51" t="s">
        <v>1517</v>
      </c>
      <c r="C661" s="51" t="s">
        <v>223</v>
      </c>
      <c r="D661" s="84">
        <v>55</v>
      </c>
      <c r="E661" s="54">
        <v>45338</v>
      </c>
      <c r="F661" s="54">
        <v>45338</v>
      </c>
      <c r="G661" s="67" t="s">
        <v>234</v>
      </c>
      <c r="H661" s="51" t="s">
        <v>65</v>
      </c>
      <c r="I661" s="58">
        <v>45341</v>
      </c>
      <c r="J661" s="67" t="s">
        <v>234</v>
      </c>
      <c r="K661" s="51">
        <v>300</v>
      </c>
      <c r="L661" s="73"/>
      <c r="M661" s="73"/>
      <c r="N661" s="73"/>
    </row>
    <row r="662" spans="1:14" ht="18.45" customHeight="1" x14ac:dyDescent="0.3">
      <c r="A662" s="51" t="s">
        <v>1518</v>
      </c>
      <c r="B662" s="51" t="s">
        <v>1519</v>
      </c>
      <c r="C662" s="51" t="s">
        <v>227</v>
      </c>
      <c r="D662" s="51">
        <v>80</v>
      </c>
      <c r="E662" s="58">
        <v>45329</v>
      </c>
      <c r="F662" s="58">
        <v>45330</v>
      </c>
      <c r="G662" s="67" t="s">
        <v>234</v>
      </c>
      <c r="H662" s="51" t="s">
        <v>65</v>
      </c>
      <c r="I662" s="58">
        <v>45341</v>
      </c>
      <c r="J662" s="67" t="s">
        <v>234</v>
      </c>
      <c r="K662" s="51">
        <v>450</v>
      </c>
      <c r="L662" s="73"/>
      <c r="M662" s="73"/>
      <c r="N662" s="73"/>
    </row>
    <row r="663" spans="1:14" ht="18.45" customHeight="1" x14ac:dyDescent="0.3">
      <c r="A663" s="51" t="s">
        <v>1520</v>
      </c>
      <c r="B663" s="51" t="s">
        <v>1521</v>
      </c>
      <c r="C663" s="51" t="s">
        <v>228</v>
      </c>
      <c r="D663" s="51">
        <v>9</v>
      </c>
      <c r="E663" s="58">
        <v>45337</v>
      </c>
      <c r="F663" s="58">
        <v>45338</v>
      </c>
      <c r="G663" s="67" t="s">
        <v>234</v>
      </c>
      <c r="H663" s="51" t="s">
        <v>65</v>
      </c>
      <c r="I663" s="58">
        <v>45341</v>
      </c>
      <c r="J663" s="67" t="s">
        <v>234</v>
      </c>
      <c r="K663" s="51">
        <v>100</v>
      </c>
      <c r="L663" s="73"/>
      <c r="M663" s="73"/>
      <c r="N663" s="73"/>
    </row>
    <row r="664" spans="1:14" ht="18.45" customHeight="1" x14ac:dyDescent="0.3">
      <c r="A664" s="51" t="s">
        <v>1522</v>
      </c>
      <c r="B664" s="51" t="s">
        <v>1523</v>
      </c>
      <c r="C664" s="51" t="s">
        <v>232</v>
      </c>
      <c r="D664" s="51">
        <v>69</v>
      </c>
      <c r="E664" s="58">
        <v>45337</v>
      </c>
      <c r="F664" s="58">
        <v>45338</v>
      </c>
      <c r="G664" s="67" t="s">
        <v>234</v>
      </c>
      <c r="H664" s="51" t="s">
        <v>65</v>
      </c>
      <c r="I664" s="58">
        <v>45341</v>
      </c>
      <c r="J664" s="67" t="s">
        <v>234</v>
      </c>
      <c r="K664" s="51">
        <v>400</v>
      </c>
      <c r="L664" s="73"/>
      <c r="M664" s="73"/>
      <c r="N664" s="73"/>
    </row>
    <row r="665" spans="1:14" ht="18.45" customHeight="1" x14ac:dyDescent="0.3">
      <c r="A665" s="51" t="s">
        <v>1524</v>
      </c>
      <c r="B665" s="51" t="s">
        <v>1525</v>
      </c>
      <c r="C665" s="51" t="s">
        <v>227</v>
      </c>
      <c r="D665" s="51">
        <v>59</v>
      </c>
      <c r="E665" s="58">
        <v>45337</v>
      </c>
      <c r="F665" s="58">
        <v>45338</v>
      </c>
      <c r="G665" s="67" t="s">
        <v>234</v>
      </c>
      <c r="H665" s="51" t="s">
        <v>65</v>
      </c>
      <c r="I665" s="58">
        <v>45341</v>
      </c>
      <c r="J665" s="67" t="s">
        <v>234</v>
      </c>
      <c r="K665" s="51">
        <v>50</v>
      </c>
      <c r="L665" s="73"/>
      <c r="M665" s="73"/>
      <c r="N665" s="73"/>
    </row>
    <row r="666" spans="1:14" ht="18.45" customHeight="1" x14ac:dyDescent="0.3">
      <c r="A666" s="51" t="s">
        <v>1526</v>
      </c>
      <c r="B666" s="51" t="s">
        <v>1527</v>
      </c>
      <c r="C666" s="51" t="s">
        <v>138</v>
      </c>
      <c r="D666" s="51">
        <v>60</v>
      </c>
      <c r="E666" s="58">
        <v>45337</v>
      </c>
      <c r="F666" s="58">
        <v>45338</v>
      </c>
      <c r="G666" s="67" t="s">
        <v>234</v>
      </c>
      <c r="H666" s="51" t="s">
        <v>65</v>
      </c>
      <c r="I666" s="58">
        <v>45341</v>
      </c>
      <c r="J666" s="67" t="s">
        <v>234</v>
      </c>
      <c r="K666" s="51">
        <v>80</v>
      </c>
      <c r="L666" s="73"/>
      <c r="M666" s="73"/>
      <c r="N666" s="73"/>
    </row>
    <row r="667" spans="1:14" ht="18.45" customHeight="1" x14ac:dyDescent="0.3">
      <c r="A667" s="99" t="s">
        <v>1534</v>
      </c>
      <c r="B667" s="75" t="s">
        <v>1535</v>
      </c>
      <c r="C667" s="99" t="s">
        <v>92</v>
      </c>
      <c r="D667" s="71">
        <v>19</v>
      </c>
      <c r="E667" s="85">
        <v>45338</v>
      </c>
      <c r="F667" s="85">
        <v>45339</v>
      </c>
      <c r="G667" s="67" t="s">
        <v>234</v>
      </c>
      <c r="H667" s="82" t="s">
        <v>65</v>
      </c>
      <c r="I667" s="94">
        <v>45342</v>
      </c>
      <c r="J667" s="67" t="s">
        <v>234</v>
      </c>
      <c r="K667" s="71">
        <v>50</v>
      </c>
      <c r="L667" s="73"/>
      <c r="M667" s="73"/>
      <c r="N667" s="73"/>
    </row>
    <row r="668" spans="1:14" ht="18.45" customHeight="1" x14ac:dyDescent="0.3">
      <c r="A668" s="101" t="s">
        <v>1536</v>
      </c>
      <c r="B668" s="82" t="s">
        <v>1537</v>
      </c>
      <c r="C668" s="101" t="s">
        <v>2488</v>
      </c>
      <c r="D668" s="82">
        <v>36</v>
      </c>
      <c r="E668" s="94">
        <v>45318</v>
      </c>
      <c r="F668" s="94">
        <v>45320</v>
      </c>
      <c r="G668" s="67" t="s">
        <v>234</v>
      </c>
      <c r="H668" s="82" t="s">
        <v>65</v>
      </c>
      <c r="I668" s="94">
        <v>45342</v>
      </c>
      <c r="J668" s="67" t="s">
        <v>234</v>
      </c>
      <c r="K668" s="82">
        <v>200</v>
      </c>
      <c r="L668" s="73"/>
      <c r="M668" s="73"/>
      <c r="N668" s="73"/>
    </row>
    <row r="669" spans="1:14" ht="18.45" customHeight="1" x14ac:dyDescent="0.3">
      <c r="A669" s="101" t="s">
        <v>1538</v>
      </c>
      <c r="B669" s="82" t="s">
        <v>1539</v>
      </c>
      <c r="C669" s="101" t="s">
        <v>120</v>
      </c>
      <c r="D669" s="82">
        <v>223</v>
      </c>
      <c r="E669" s="94">
        <v>45326</v>
      </c>
      <c r="F669" s="94">
        <v>45328</v>
      </c>
      <c r="G669" s="67" t="s">
        <v>234</v>
      </c>
      <c r="H669" s="82" t="s">
        <v>65</v>
      </c>
      <c r="I669" s="94">
        <v>45342</v>
      </c>
      <c r="J669" s="67" t="s">
        <v>234</v>
      </c>
      <c r="K669" s="82">
        <v>350</v>
      </c>
      <c r="L669" s="73"/>
      <c r="M669" s="73"/>
      <c r="N669" s="73"/>
    </row>
    <row r="670" spans="1:14" ht="18.45" customHeight="1" x14ac:dyDescent="0.3">
      <c r="A670" s="99" t="s">
        <v>1540</v>
      </c>
      <c r="B670" s="75" t="s">
        <v>1541</v>
      </c>
      <c r="C670" s="101" t="s">
        <v>134</v>
      </c>
      <c r="D670" s="71">
        <v>54</v>
      </c>
      <c r="E670" s="85">
        <v>45338</v>
      </c>
      <c r="F670" s="85">
        <v>45339</v>
      </c>
      <c r="G670" s="67" t="s">
        <v>234</v>
      </c>
      <c r="H670" s="82" t="s">
        <v>65</v>
      </c>
      <c r="I670" s="94">
        <v>45342</v>
      </c>
      <c r="J670" s="67" t="s">
        <v>234</v>
      </c>
      <c r="K670" s="71">
        <v>250</v>
      </c>
      <c r="L670" s="73"/>
      <c r="M670" s="73"/>
      <c r="N670" s="73"/>
    </row>
    <row r="671" spans="1:14" ht="18.45" customHeight="1" x14ac:dyDescent="0.3">
      <c r="A671" s="99" t="s">
        <v>1542</v>
      </c>
      <c r="B671" s="75" t="s">
        <v>1543</v>
      </c>
      <c r="C671" s="99" t="s">
        <v>94</v>
      </c>
      <c r="D671" s="71">
        <v>75</v>
      </c>
      <c r="E671" s="85">
        <v>45338</v>
      </c>
      <c r="F671" s="85">
        <v>45339</v>
      </c>
      <c r="G671" s="67" t="s">
        <v>234</v>
      </c>
      <c r="H671" s="82" t="s">
        <v>65</v>
      </c>
      <c r="I671" s="94">
        <v>45342</v>
      </c>
      <c r="J671" s="67" t="s">
        <v>234</v>
      </c>
      <c r="K671" s="71">
        <v>150</v>
      </c>
      <c r="L671" s="73"/>
      <c r="M671" s="73"/>
      <c r="N671" s="73"/>
    </row>
    <row r="672" spans="1:14" ht="18.45" customHeight="1" x14ac:dyDescent="0.3">
      <c r="A672" s="99" t="s">
        <v>1544</v>
      </c>
      <c r="B672" s="75" t="s">
        <v>1545</v>
      </c>
      <c r="C672" s="99" t="s">
        <v>94</v>
      </c>
      <c r="D672" s="71">
        <v>60</v>
      </c>
      <c r="E672" s="85">
        <v>45338</v>
      </c>
      <c r="F672" s="85">
        <v>45339</v>
      </c>
      <c r="G672" s="67" t="s">
        <v>234</v>
      </c>
      <c r="H672" s="82" t="s">
        <v>65</v>
      </c>
      <c r="I672" s="94">
        <v>45342</v>
      </c>
      <c r="J672" s="67" t="s">
        <v>234</v>
      </c>
      <c r="K672" s="71">
        <v>250</v>
      </c>
      <c r="L672" s="73"/>
      <c r="M672" s="73"/>
      <c r="N672" s="73"/>
    </row>
    <row r="673" spans="1:14" ht="18.45" customHeight="1" x14ac:dyDescent="0.3">
      <c r="A673" s="101" t="s">
        <v>1546</v>
      </c>
      <c r="B673" s="82" t="s">
        <v>1547</v>
      </c>
      <c r="C673" s="101" t="s">
        <v>2488</v>
      </c>
      <c r="D673" s="82">
        <v>2</v>
      </c>
      <c r="E673" s="94">
        <v>45331</v>
      </c>
      <c r="F673" s="94">
        <v>45332</v>
      </c>
      <c r="G673" s="67" t="s">
        <v>234</v>
      </c>
      <c r="H673" s="82" t="s">
        <v>65</v>
      </c>
      <c r="I673" s="94">
        <v>45342</v>
      </c>
      <c r="J673" s="67" t="s">
        <v>234</v>
      </c>
      <c r="K673" s="82">
        <v>100</v>
      </c>
      <c r="L673" s="73"/>
      <c r="M673" s="73"/>
      <c r="N673" s="73"/>
    </row>
    <row r="674" spans="1:14" ht="18.45" customHeight="1" x14ac:dyDescent="0.3">
      <c r="A674" s="51" t="s">
        <v>1548</v>
      </c>
      <c r="B674" s="51" t="s">
        <v>1549</v>
      </c>
      <c r="C674" s="51" t="s">
        <v>223</v>
      </c>
      <c r="D674" s="84">
        <v>106</v>
      </c>
      <c r="E674" s="54">
        <v>45339</v>
      </c>
      <c r="F674" s="54">
        <v>45341</v>
      </c>
      <c r="G674" s="67" t="s">
        <v>234</v>
      </c>
      <c r="H674" s="51" t="s">
        <v>65</v>
      </c>
      <c r="I674" s="58">
        <v>45342</v>
      </c>
      <c r="J674" s="67" t="s">
        <v>234</v>
      </c>
      <c r="K674" s="51">
        <v>300</v>
      </c>
      <c r="L674" s="73"/>
      <c r="M674" s="73"/>
      <c r="N674" s="73"/>
    </row>
    <row r="675" spans="1:14" ht="18.45" customHeight="1" x14ac:dyDescent="0.3">
      <c r="A675" s="51" t="s">
        <v>1550</v>
      </c>
      <c r="B675" s="51" t="s">
        <v>1551</v>
      </c>
      <c r="C675" s="51" t="s">
        <v>223</v>
      </c>
      <c r="D675" s="84">
        <v>59</v>
      </c>
      <c r="E675" s="54">
        <v>45341</v>
      </c>
      <c r="F675" s="54">
        <v>45341</v>
      </c>
      <c r="G675" s="67" t="s">
        <v>234</v>
      </c>
      <c r="H675" s="51" t="s">
        <v>65</v>
      </c>
      <c r="I675" s="58">
        <v>45342</v>
      </c>
      <c r="J675" s="67" t="s">
        <v>234</v>
      </c>
      <c r="K675" s="51">
        <v>100</v>
      </c>
      <c r="L675" s="73"/>
      <c r="M675" s="73"/>
      <c r="N675" s="73"/>
    </row>
    <row r="676" spans="1:14" ht="18.45" customHeight="1" x14ac:dyDescent="0.3">
      <c r="A676" s="51" t="s">
        <v>1552</v>
      </c>
      <c r="B676" s="51" t="s">
        <v>1553</v>
      </c>
      <c r="C676" s="51" t="s">
        <v>223</v>
      </c>
      <c r="D676" s="84">
        <v>103</v>
      </c>
      <c r="E676" s="54">
        <v>45337</v>
      </c>
      <c r="F676" s="54">
        <v>45337</v>
      </c>
      <c r="G676" s="67" t="s">
        <v>234</v>
      </c>
      <c r="H676" s="51" t="s">
        <v>65</v>
      </c>
      <c r="I676" s="58">
        <v>45342</v>
      </c>
      <c r="J676" s="67" t="s">
        <v>234</v>
      </c>
      <c r="K676" s="51">
        <v>300</v>
      </c>
      <c r="L676" s="73"/>
      <c r="M676" s="73"/>
      <c r="N676" s="73"/>
    </row>
    <row r="677" spans="1:14" ht="18.45" customHeight="1" x14ac:dyDescent="0.3">
      <c r="A677" s="51" t="s">
        <v>1554</v>
      </c>
      <c r="B677" s="51" t="s">
        <v>1555</v>
      </c>
      <c r="C677" s="51" t="s">
        <v>227</v>
      </c>
      <c r="D677" s="51">
        <v>50</v>
      </c>
      <c r="E677" s="58">
        <v>45338</v>
      </c>
      <c r="F677" s="58">
        <v>45341</v>
      </c>
      <c r="G677" s="67" t="s">
        <v>234</v>
      </c>
      <c r="H677" s="51" t="s">
        <v>65</v>
      </c>
      <c r="I677" s="58">
        <v>45342</v>
      </c>
      <c r="J677" s="67" t="s">
        <v>234</v>
      </c>
      <c r="K677" s="51">
        <v>150</v>
      </c>
      <c r="L677" s="73"/>
      <c r="M677" s="73"/>
      <c r="N677" s="73"/>
    </row>
    <row r="678" spans="1:14" ht="18.45" customHeight="1" x14ac:dyDescent="0.3">
      <c r="A678" s="51" t="s">
        <v>1556</v>
      </c>
      <c r="B678" s="51" t="s">
        <v>1557</v>
      </c>
      <c r="C678" s="51" t="s">
        <v>232</v>
      </c>
      <c r="D678" s="51">
        <v>67</v>
      </c>
      <c r="E678" s="58">
        <v>45339</v>
      </c>
      <c r="F678" s="58">
        <v>45341</v>
      </c>
      <c r="G678" s="67" t="s">
        <v>234</v>
      </c>
      <c r="H678" s="51" t="s">
        <v>65</v>
      </c>
      <c r="I678" s="58">
        <v>45342</v>
      </c>
      <c r="J678" s="67" t="s">
        <v>234</v>
      </c>
      <c r="K678" s="51">
        <v>350</v>
      </c>
      <c r="L678" s="73"/>
      <c r="M678" s="73"/>
      <c r="N678" s="73"/>
    </row>
    <row r="679" spans="1:14" ht="18.45" customHeight="1" x14ac:dyDescent="0.3">
      <c r="A679" s="51" t="s">
        <v>1558</v>
      </c>
      <c r="B679" s="51" t="s">
        <v>1559</v>
      </c>
      <c r="C679" s="51" t="s">
        <v>113</v>
      </c>
      <c r="D679" s="51">
        <v>77</v>
      </c>
      <c r="E679" s="58">
        <v>45338</v>
      </c>
      <c r="F679" s="58">
        <v>45341</v>
      </c>
      <c r="G679" s="67" t="s">
        <v>234</v>
      </c>
      <c r="H679" s="51" t="s">
        <v>65</v>
      </c>
      <c r="I679" s="58">
        <v>45342</v>
      </c>
      <c r="J679" s="67" t="s">
        <v>234</v>
      </c>
      <c r="K679" s="51">
        <v>150</v>
      </c>
      <c r="L679" s="73"/>
      <c r="M679" s="73"/>
      <c r="N679" s="73"/>
    </row>
    <row r="680" spans="1:14" ht="18.45" customHeight="1" x14ac:dyDescent="0.3">
      <c r="A680" s="51" t="s">
        <v>1560</v>
      </c>
      <c r="B680" s="51" t="s">
        <v>1561</v>
      </c>
      <c r="C680" s="51" t="s">
        <v>227</v>
      </c>
      <c r="D680" s="51">
        <v>80</v>
      </c>
      <c r="E680" s="58">
        <v>45329</v>
      </c>
      <c r="F680" s="58">
        <v>45330</v>
      </c>
      <c r="G680" s="67" t="s">
        <v>234</v>
      </c>
      <c r="H680" s="51" t="s">
        <v>65</v>
      </c>
      <c r="I680" s="58">
        <v>45342</v>
      </c>
      <c r="J680" s="67" t="s">
        <v>234</v>
      </c>
      <c r="K680" s="51">
        <v>500</v>
      </c>
      <c r="L680" s="73"/>
      <c r="M680" s="73"/>
      <c r="N680" s="73"/>
    </row>
    <row r="681" spans="1:14" ht="18.45" customHeight="1" x14ac:dyDescent="0.3">
      <c r="A681" s="51" t="s">
        <v>1562</v>
      </c>
      <c r="B681" s="51" t="s">
        <v>1563</v>
      </c>
      <c r="C681" s="51" t="s">
        <v>227</v>
      </c>
      <c r="D681" s="51">
        <v>80</v>
      </c>
      <c r="E681" s="58">
        <v>45329</v>
      </c>
      <c r="F681" s="58">
        <v>45330</v>
      </c>
      <c r="G681" s="67" t="s">
        <v>234</v>
      </c>
      <c r="H681" s="51" t="s">
        <v>65</v>
      </c>
      <c r="I681" s="58">
        <v>45342</v>
      </c>
      <c r="J681" s="67" t="s">
        <v>234</v>
      </c>
      <c r="K681" s="51">
        <v>500</v>
      </c>
      <c r="L681" s="73"/>
      <c r="M681" s="73"/>
      <c r="N681" s="73"/>
    </row>
    <row r="682" spans="1:14" ht="18.45" customHeight="1" x14ac:dyDescent="0.3">
      <c r="A682" s="51" t="s">
        <v>1564</v>
      </c>
      <c r="B682" s="51" t="s">
        <v>1565</v>
      </c>
      <c r="C682" s="51" t="s">
        <v>227</v>
      </c>
      <c r="D682" s="51">
        <v>80</v>
      </c>
      <c r="E682" s="58">
        <v>45329</v>
      </c>
      <c r="F682" s="58">
        <v>45330</v>
      </c>
      <c r="G682" s="67" t="s">
        <v>234</v>
      </c>
      <c r="H682" s="51" t="s">
        <v>65</v>
      </c>
      <c r="I682" s="58">
        <v>45342</v>
      </c>
      <c r="J682" s="67" t="s">
        <v>234</v>
      </c>
      <c r="K682" s="51">
        <v>500</v>
      </c>
      <c r="L682" s="73"/>
      <c r="M682" s="73"/>
      <c r="N682" s="73"/>
    </row>
    <row r="683" spans="1:14" ht="18.45" customHeight="1" x14ac:dyDescent="0.3">
      <c r="A683" s="51" t="s">
        <v>1566</v>
      </c>
      <c r="B683" s="51" t="s">
        <v>1567</v>
      </c>
      <c r="C683" s="51" t="s">
        <v>227</v>
      </c>
      <c r="D683" s="51">
        <v>80</v>
      </c>
      <c r="E683" s="58">
        <v>45329</v>
      </c>
      <c r="F683" s="58">
        <v>45330</v>
      </c>
      <c r="G683" s="67" t="s">
        <v>234</v>
      </c>
      <c r="H683" s="51" t="s">
        <v>65</v>
      </c>
      <c r="I683" s="58">
        <v>45342</v>
      </c>
      <c r="J683" s="67" t="s">
        <v>234</v>
      </c>
      <c r="K683" s="51">
        <v>500</v>
      </c>
      <c r="L683" s="73"/>
      <c r="M683" s="73"/>
      <c r="N683" s="73"/>
    </row>
    <row r="684" spans="1:14" ht="18.45" customHeight="1" x14ac:dyDescent="0.3">
      <c r="A684" s="101" t="s">
        <v>1568</v>
      </c>
      <c r="B684" s="82" t="s">
        <v>1569</v>
      </c>
      <c r="C684" s="101" t="s">
        <v>2503</v>
      </c>
      <c r="D684" s="68">
        <v>31</v>
      </c>
      <c r="E684" s="94">
        <v>45335</v>
      </c>
      <c r="F684" s="94">
        <v>45336</v>
      </c>
      <c r="G684" s="67" t="s">
        <v>234</v>
      </c>
      <c r="H684" s="82" t="s">
        <v>65</v>
      </c>
      <c r="I684" s="94">
        <v>45343</v>
      </c>
      <c r="J684" s="67" t="s">
        <v>234</v>
      </c>
      <c r="K684" s="82">
        <v>200</v>
      </c>
      <c r="L684" s="73"/>
      <c r="M684" s="73"/>
      <c r="N684" s="73"/>
    </row>
    <row r="685" spans="1:14" ht="18.45" customHeight="1" x14ac:dyDescent="0.3">
      <c r="A685" s="70" t="s">
        <v>1570</v>
      </c>
      <c r="B685" s="83" t="s">
        <v>1571</v>
      </c>
      <c r="C685" s="101" t="s">
        <v>134</v>
      </c>
      <c r="D685" s="71">
        <v>45</v>
      </c>
      <c r="E685" s="96">
        <v>45339</v>
      </c>
      <c r="F685" s="96">
        <v>45341</v>
      </c>
      <c r="G685" s="67" t="s">
        <v>234</v>
      </c>
      <c r="H685" s="82" t="s">
        <v>65</v>
      </c>
      <c r="I685" s="87">
        <v>45343</v>
      </c>
      <c r="J685" s="67" t="s">
        <v>234</v>
      </c>
      <c r="K685" s="71">
        <v>100</v>
      </c>
      <c r="L685" s="73"/>
      <c r="M685" s="73"/>
      <c r="N685" s="73"/>
    </row>
    <row r="686" spans="1:14" ht="18.45" customHeight="1" x14ac:dyDescent="0.3">
      <c r="A686" s="72" t="s">
        <v>1572</v>
      </c>
      <c r="B686" s="72" t="s">
        <v>1573</v>
      </c>
      <c r="C686" s="72" t="s">
        <v>94</v>
      </c>
      <c r="D686" s="71">
        <v>15</v>
      </c>
      <c r="E686" s="90">
        <v>44568</v>
      </c>
      <c r="F686" s="90">
        <v>45335</v>
      </c>
      <c r="G686" s="67" t="s">
        <v>234</v>
      </c>
      <c r="H686" s="82" t="s">
        <v>65</v>
      </c>
      <c r="I686" s="87">
        <v>45343</v>
      </c>
      <c r="J686" s="67" t="s">
        <v>234</v>
      </c>
      <c r="K686" s="71">
        <v>250</v>
      </c>
      <c r="L686" s="73"/>
      <c r="M686" s="73"/>
      <c r="N686" s="73"/>
    </row>
    <row r="687" spans="1:14" ht="18.45" customHeight="1" x14ac:dyDescent="0.3">
      <c r="A687" s="99" t="s">
        <v>1574</v>
      </c>
      <c r="B687" s="75" t="s">
        <v>1575</v>
      </c>
      <c r="C687" s="101" t="s">
        <v>134</v>
      </c>
      <c r="D687" s="71">
        <v>31</v>
      </c>
      <c r="E687" s="85">
        <v>45338</v>
      </c>
      <c r="F687" s="85">
        <v>45339</v>
      </c>
      <c r="G687" s="67" t="s">
        <v>234</v>
      </c>
      <c r="H687" s="82" t="s">
        <v>65</v>
      </c>
      <c r="I687" s="87">
        <v>45343</v>
      </c>
      <c r="J687" s="67" t="s">
        <v>234</v>
      </c>
      <c r="K687" s="71">
        <v>200</v>
      </c>
      <c r="L687" s="73"/>
      <c r="M687" s="73"/>
      <c r="N687" s="73"/>
    </row>
    <row r="688" spans="1:14" ht="18.45" customHeight="1" x14ac:dyDescent="0.3">
      <c r="A688" s="101" t="s">
        <v>1576</v>
      </c>
      <c r="B688" s="82" t="s">
        <v>1577</v>
      </c>
      <c r="C688" s="101" t="s">
        <v>166</v>
      </c>
      <c r="D688" s="68">
        <v>20</v>
      </c>
      <c r="E688" s="94">
        <v>45335</v>
      </c>
      <c r="F688" s="94">
        <v>45336</v>
      </c>
      <c r="G688" s="67" t="s">
        <v>234</v>
      </c>
      <c r="H688" s="82" t="s">
        <v>65</v>
      </c>
      <c r="I688" s="94">
        <v>45343</v>
      </c>
      <c r="J688" s="67" t="s">
        <v>234</v>
      </c>
      <c r="K688" s="82">
        <v>250</v>
      </c>
      <c r="L688" s="73"/>
      <c r="M688" s="73"/>
      <c r="N688" s="73"/>
    </row>
    <row r="689" spans="1:14" ht="18.45" customHeight="1" x14ac:dyDescent="0.3">
      <c r="A689" s="99" t="s">
        <v>1578</v>
      </c>
      <c r="B689" s="75" t="s">
        <v>1579</v>
      </c>
      <c r="C689" s="99" t="s">
        <v>135</v>
      </c>
      <c r="D689" s="71">
        <v>71</v>
      </c>
      <c r="E689" s="85">
        <v>45338</v>
      </c>
      <c r="F689" s="85">
        <v>45339</v>
      </c>
      <c r="G689" s="67" t="s">
        <v>234</v>
      </c>
      <c r="H689" s="82" t="s">
        <v>65</v>
      </c>
      <c r="I689" s="94">
        <v>45343</v>
      </c>
      <c r="J689" s="67" t="s">
        <v>234</v>
      </c>
      <c r="K689" s="71">
        <v>50</v>
      </c>
      <c r="L689" s="73"/>
      <c r="M689" s="73"/>
      <c r="N689" s="73"/>
    </row>
    <row r="690" spans="1:14" ht="18.45" customHeight="1" x14ac:dyDescent="0.3">
      <c r="A690" s="49" t="s">
        <v>1580</v>
      </c>
      <c r="B690" s="49" t="s">
        <v>1581</v>
      </c>
      <c r="C690" s="72" t="s">
        <v>2505</v>
      </c>
      <c r="D690" s="71">
        <v>32</v>
      </c>
      <c r="E690" s="90">
        <v>45341</v>
      </c>
      <c r="F690" s="90">
        <v>45341</v>
      </c>
      <c r="G690" s="67" t="s">
        <v>234</v>
      </c>
      <c r="H690" s="82" t="s">
        <v>65</v>
      </c>
      <c r="I690" s="87">
        <v>45343</v>
      </c>
      <c r="J690" s="67" t="s">
        <v>234</v>
      </c>
      <c r="K690" s="71">
        <v>370</v>
      </c>
      <c r="L690" s="73"/>
      <c r="M690" s="73"/>
      <c r="N690" s="73"/>
    </row>
    <row r="691" spans="1:14" ht="18.45" customHeight="1" x14ac:dyDescent="0.3">
      <c r="A691" s="51" t="s">
        <v>1582</v>
      </c>
      <c r="B691" s="51" t="s">
        <v>1583</v>
      </c>
      <c r="C691" s="51" t="s">
        <v>220</v>
      </c>
      <c r="D691" s="84">
        <v>4</v>
      </c>
      <c r="E691" s="54">
        <v>45328</v>
      </c>
      <c r="F691" s="54">
        <v>45342</v>
      </c>
      <c r="G691" s="67" t="s">
        <v>234</v>
      </c>
      <c r="H691" s="51" t="s">
        <v>65</v>
      </c>
      <c r="I691" s="58">
        <v>45343</v>
      </c>
      <c r="J691" s="67" t="s">
        <v>234</v>
      </c>
      <c r="K691" s="51">
        <v>50</v>
      </c>
      <c r="L691" s="73"/>
      <c r="M691" s="73"/>
      <c r="N691" s="73"/>
    </row>
    <row r="692" spans="1:14" ht="18.45" customHeight="1" x14ac:dyDescent="0.3">
      <c r="A692" s="51" t="s">
        <v>1584</v>
      </c>
      <c r="B692" s="51" t="s">
        <v>1585</v>
      </c>
      <c r="C692" s="51" t="s">
        <v>220</v>
      </c>
      <c r="D692" s="84">
        <v>67</v>
      </c>
      <c r="E692" s="54">
        <v>45339</v>
      </c>
      <c r="F692" s="54">
        <v>45341</v>
      </c>
      <c r="G692" s="67" t="s">
        <v>234</v>
      </c>
      <c r="H692" s="51" t="s">
        <v>65</v>
      </c>
      <c r="I692" s="58">
        <v>45343</v>
      </c>
      <c r="J692" s="67" t="s">
        <v>234</v>
      </c>
      <c r="K692" s="51">
        <v>200</v>
      </c>
      <c r="L692" s="73"/>
      <c r="M692" s="73"/>
      <c r="N692" s="73"/>
    </row>
    <row r="693" spans="1:14" ht="18.45" customHeight="1" x14ac:dyDescent="0.3">
      <c r="A693" s="51" t="s">
        <v>1586</v>
      </c>
      <c r="B693" s="51" t="s">
        <v>1587</v>
      </c>
      <c r="C693" s="51" t="s">
        <v>220</v>
      </c>
      <c r="D693" s="84">
        <v>54</v>
      </c>
      <c r="E693" s="54">
        <v>45328</v>
      </c>
      <c r="F693" s="54">
        <v>45335</v>
      </c>
      <c r="G693" s="67" t="s">
        <v>234</v>
      </c>
      <c r="H693" s="51" t="s">
        <v>65</v>
      </c>
      <c r="I693" s="58">
        <v>45343</v>
      </c>
      <c r="J693" s="67" t="s">
        <v>234</v>
      </c>
      <c r="K693" s="51">
        <v>50</v>
      </c>
      <c r="L693" s="73"/>
      <c r="M693" s="73"/>
      <c r="N693" s="73"/>
    </row>
    <row r="694" spans="1:14" ht="18.45" customHeight="1" x14ac:dyDescent="0.3">
      <c r="A694" s="51" t="s">
        <v>1588</v>
      </c>
      <c r="B694" s="51" t="s">
        <v>1589</v>
      </c>
      <c r="C694" s="51" t="s">
        <v>225</v>
      </c>
      <c r="D694" s="84">
        <v>6</v>
      </c>
      <c r="E694" s="54">
        <v>45336</v>
      </c>
      <c r="F694" s="54">
        <v>45336</v>
      </c>
      <c r="G694" s="67" t="s">
        <v>234</v>
      </c>
      <c r="H694" s="51" t="s">
        <v>65</v>
      </c>
      <c r="I694" s="58">
        <v>45343</v>
      </c>
      <c r="J694" s="67" t="s">
        <v>234</v>
      </c>
      <c r="K694" s="51">
        <v>200</v>
      </c>
      <c r="L694" s="73"/>
      <c r="M694" s="73"/>
      <c r="N694" s="73"/>
    </row>
    <row r="695" spans="1:14" ht="18.45" customHeight="1" x14ac:dyDescent="0.3">
      <c r="A695" s="51" t="s">
        <v>1590</v>
      </c>
      <c r="B695" s="51" t="s">
        <v>1591</v>
      </c>
      <c r="C695" s="51" t="s">
        <v>220</v>
      </c>
      <c r="D695" s="84">
        <v>7</v>
      </c>
      <c r="E695" s="54">
        <v>45340</v>
      </c>
      <c r="F695" s="54">
        <v>45342</v>
      </c>
      <c r="G695" s="67" t="s">
        <v>234</v>
      </c>
      <c r="H695" s="51" t="s">
        <v>65</v>
      </c>
      <c r="I695" s="58">
        <v>45343</v>
      </c>
      <c r="J695" s="67" t="s">
        <v>234</v>
      </c>
      <c r="K695" s="51">
        <v>100</v>
      </c>
      <c r="L695" s="73"/>
      <c r="M695" s="73"/>
      <c r="N695" s="73"/>
    </row>
    <row r="696" spans="1:14" ht="18.45" customHeight="1" x14ac:dyDescent="0.3">
      <c r="A696" s="51" t="s">
        <v>1592</v>
      </c>
      <c r="B696" s="51" t="s">
        <v>1593</v>
      </c>
      <c r="C696" s="51" t="s">
        <v>220</v>
      </c>
      <c r="D696" s="84">
        <v>83</v>
      </c>
      <c r="E696" s="54">
        <v>45336</v>
      </c>
      <c r="F696" s="54">
        <v>45336</v>
      </c>
      <c r="G696" s="67" t="s">
        <v>234</v>
      </c>
      <c r="H696" s="51" t="s">
        <v>65</v>
      </c>
      <c r="I696" s="58">
        <v>45343</v>
      </c>
      <c r="J696" s="67" t="s">
        <v>234</v>
      </c>
      <c r="K696" s="51">
        <v>100</v>
      </c>
      <c r="L696" s="73"/>
      <c r="M696" s="73"/>
      <c r="N696" s="73"/>
    </row>
    <row r="697" spans="1:14" ht="18.45" customHeight="1" x14ac:dyDescent="0.3">
      <c r="A697" s="51" t="s">
        <v>1594</v>
      </c>
      <c r="B697" s="51" t="s">
        <v>1595</v>
      </c>
      <c r="C697" s="51" t="s">
        <v>225</v>
      </c>
      <c r="D697" s="84">
        <v>4</v>
      </c>
      <c r="E697" s="54">
        <v>45336</v>
      </c>
      <c r="F697" s="54">
        <v>45336</v>
      </c>
      <c r="G697" s="67" t="s">
        <v>234</v>
      </c>
      <c r="H697" s="51" t="s">
        <v>65</v>
      </c>
      <c r="I697" s="58">
        <v>45343</v>
      </c>
      <c r="J697" s="67" t="s">
        <v>234</v>
      </c>
      <c r="K697" s="51">
        <v>200</v>
      </c>
      <c r="L697" s="73"/>
      <c r="M697" s="73"/>
      <c r="N697" s="73"/>
    </row>
    <row r="698" spans="1:14" ht="18.45" customHeight="1" x14ac:dyDescent="0.3">
      <c r="A698" s="51" t="s">
        <v>1596</v>
      </c>
      <c r="B698" s="51" t="s">
        <v>1597</v>
      </c>
      <c r="C698" s="51" t="s">
        <v>231</v>
      </c>
      <c r="D698" s="51">
        <v>23</v>
      </c>
      <c r="E698" s="58">
        <v>45180</v>
      </c>
      <c r="F698" s="58">
        <v>45180</v>
      </c>
      <c r="G698" s="67" t="s">
        <v>234</v>
      </c>
      <c r="H698" s="51" t="s">
        <v>65</v>
      </c>
      <c r="I698" s="58">
        <v>45343</v>
      </c>
      <c r="J698" s="67" t="s">
        <v>234</v>
      </c>
      <c r="K698" s="51">
        <v>150</v>
      </c>
      <c r="L698" s="73"/>
      <c r="M698" s="73"/>
      <c r="N698" s="73"/>
    </row>
    <row r="699" spans="1:14" ht="18.45" customHeight="1" x14ac:dyDescent="0.3">
      <c r="A699" s="51" t="s">
        <v>1598</v>
      </c>
      <c r="B699" s="51" t="s">
        <v>1599</v>
      </c>
      <c r="C699" s="51" t="s">
        <v>231</v>
      </c>
      <c r="D699" s="51">
        <v>7</v>
      </c>
      <c r="E699" s="58">
        <v>45328</v>
      </c>
      <c r="F699" s="58">
        <v>45329</v>
      </c>
      <c r="G699" s="67" t="s">
        <v>234</v>
      </c>
      <c r="H699" s="51" t="s">
        <v>65</v>
      </c>
      <c r="I699" s="58">
        <v>45343</v>
      </c>
      <c r="J699" s="67" t="s">
        <v>234</v>
      </c>
      <c r="K699" s="51">
        <v>60</v>
      </c>
      <c r="L699" s="73"/>
      <c r="M699" s="73"/>
      <c r="N699" s="73"/>
    </row>
    <row r="700" spans="1:14" ht="18.45" customHeight="1" x14ac:dyDescent="0.3">
      <c r="A700" s="51" t="s">
        <v>1600</v>
      </c>
      <c r="B700" s="51" t="s">
        <v>1601</v>
      </c>
      <c r="C700" s="51" t="s">
        <v>113</v>
      </c>
      <c r="D700" s="51">
        <v>71</v>
      </c>
      <c r="E700" s="58">
        <v>45323</v>
      </c>
      <c r="F700" s="58">
        <v>45336</v>
      </c>
      <c r="G700" s="67" t="s">
        <v>234</v>
      </c>
      <c r="H700" s="51" t="s">
        <v>65</v>
      </c>
      <c r="I700" s="58">
        <v>45343</v>
      </c>
      <c r="J700" s="67" t="s">
        <v>234</v>
      </c>
      <c r="K700" s="51">
        <v>250</v>
      </c>
      <c r="L700" s="73"/>
      <c r="M700" s="73"/>
      <c r="N700" s="73"/>
    </row>
    <row r="701" spans="1:14" ht="18.45" customHeight="1" x14ac:dyDescent="0.3">
      <c r="A701" s="51" t="s">
        <v>1602</v>
      </c>
      <c r="B701" s="51" t="s">
        <v>1603</v>
      </c>
      <c r="C701" s="51" t="s">
        <v>231</v>
      </c>
      <c r="D701" s="51">
        <v>25</v>
      </c>
      <c r="E701" s="58">
        <v>45303</v>
      </c>
      <c r="F701" s="58">
        <v>45303</v>
      </c>
      <c r="G701" s="67" t="s">
        <v>234</v>
      </c>
      <c r="H701" s="51" t="s">
        <v>65</v>
      </c>
      <c r="I701" s="58">
        <v>45343</v>
      </c>
      <c r="J701" s="67" t="s">
        <v>234</v>
      </c>
      <c r="K701" s="51">
        <v>70</v>
      </c>
      <c r="L701" s="73"/>
      <c r="M701" s="73"/>
      <c r="N701" s="73"/>
    </row>
    <row r="702" spans="1:14" ht="18.45" customHeight="1" x14ac:dyDescent="0.3">
      <c r="A702" s="51" t="s">
        <v>1604</v>
      </c>
      <c r="B702" s="51" t="s">
        <v>1605</v>
      </c>
      <c r="C702" s="51" t="s">
        <v>231</v>
      </c>
      <c r="D702" s="51">
        <v>10</v>
      </c>
      <c r="E702" s="58">
        <v>45328</v>
      </c>
      <c r="F702" s="58">
        <v>45329</v>
      </c>
      <c r="G702" s="67" t="s">
        <v>234</v>
      </c>
      <c r="H702" s="51" t="s">
        <v>65</v>
      </c>
      <c r="I702" s="58">
        <v>45343</v>
      </c>
      <c r="J702" s="67" t="s">
        <v>234</v>
      </c>
      <c r="K702" s="51">
        <v>250</v>
      </c>
      <c r="L702" s="73"/>
      <c r="M702" s="73"/>
      <c r="N702" s="73"/>
    </row>
    <row r="703" spans="1:14" ht="18.45" customHeight="1" x14ac:dyDescent="0.3">
      <c r="A703" s="51" t="s">
        <v>1606</v>
      </c>
      <c r="B703" s="51" t="s">
        <v>1607</v>
      </c>
      <c r="C703" s="51" t="s">
        <v>231</v>
      </c>
      <c r="D703" s="51">
        <v>9</v>
      </c>
      <c r="E703" s="58">
        <v>45282</v>
      </c>
      <c r="F703" s="58">
        <v>45286</v>
      </c>
      <c r="G703" s="67" t="s">
        <v>234</v>
      </c>
      <c r="H703" s="51" t="s">
        <v>65</v>
      </c>
      <c r="I703" s="58">
        <v>45343</v>
      </c>
      <c r="J703" s="67" t="s">
        <v>234</v>
      </c>
      <c r="K703" s="51">
        <v>350</v>
      </c>
      <c r="L703" s="73"/>
      <c r="M703" s="73"/>
      <c r="N703" s="73"/>
    </row>
    <row r="704" spans="1:14" ht="18.45" customHeight="1" x14ac:dyDescent="0.3">
      <c r="A704" s="51" t="s">
        <v>1608</v>
      </c>
      <c r="B704" s="51" t="s">
        <v>1609</v>
      </c>
      <c r="C704" s="51" t="s">
        <v>231</v>
      </c>
      <c r="D704" s="51">
        <v>9</v>
      </c>
      <c r="E704" s="58">
        <v>45279</v>
      </c>
      <c r="F704" s="58">
        <v>45281</v>
      </c>
      <c r="G704" s="67" t="s">
        <v>234</v>
      </c>
      <c r="H704" s="51" t="s">
        <v>65</v>
      </c>
      <c r="I704" s="58">
        <v>45343</v>
      </c>
      <c r="J704" s="67" t="s">
        <v>234</v>
      </c>
      <c r="K704" s="51">
        <v>200</v>
      </c>
      <c r="L704" s="73"/>
      <c r="M704" s="73"/>
      <c r="N704" s="73"/>
    </row>
    <row r="705" spans="1:14" ht="18.45" customHeight="1" x14ac:dyDescent="0.3">
      <c r="A705" s="51" t="s">
        <v>1610</v>
      </c>
      <c r="B705" s="51" t="s">
        <v>1611</v>
      </c>
      <c r="C705" s="51" t="s">
        <v>113</v>
      </c>
      <c r="D705" s="51">
        <v>14</v>
      </c>
      <c r="E705" s="58">
        <v>45323</v>
      </c>
      <c r="F705" s="58">
        <v>45336</v>
      </c>
      <c r="G705" s="67" t="s">
        <v>234</v>
      </c>
      <c r="H705" s="51" t="s">
        <v>65</v>
      </c>
      <c r="I705" s="58">
        <v>45343</v>
      </c>
      <c r="J705" s="67" t="s">
        <v>234</v>
      </c>
      <c r="K705" s="51">
        <v>350</v>
      </c>
      <c r="L705" s="73"/>
      <c r="M705" s="73"/>
      <c r="N705" s="73"/>
    </row>
    <row r="706" spans="1:14" ht="18.45" customHeight="1" x14ac:dyDescent="0.3">
      <c r="A706" s="51" t="s">
        <v>175</v>
      </c>
      <c r="B706" s="51" t="s">
        <v>176</v>
      </c>
      <c r="C706" s="51" t="s">
        <v>231</v>
      </c>
      <c r="D706" s="51">
        <v>15</v>
      </c>
      <c r="E706" s="58">
        <v>45320</v>
      </c>
      <c r="F706" s="58">
        <v>45321</v>
      </c>
      <c r="G706" s="67" t="s">
        <v>234</v>
      </c>
      <c r="H706" s="51" t="s">
        <v>65</v>
      </c>
      <c r="I706" s="58">
        <v>45343</v>
      </c>
      <c r="J706" s="67" t="s">
        <v>234</v>
      </c>
      <c r="K706" s="51">
        <v>250</v>
      </c>
      <c r="L706" s="73"/>
      <c r="M706" s="73"/>
      <c r="N706" s="73"/>
    </row>
    <row r="707" spans="1:14" ht="18.45" customHeight="1" x14ac:dyDescent="0.3">
      <c r="A707" s="99" t="s">
        <v>1612</v>
      </c>
      <c r="B707" s="75" t="s">
        <v>1613</v>
      </c>
      <c r="C707" s="101" t="s">
        <v>134</v>
      </c>
      <c r="D707" s="71">
        <v>54</v>
      </c>
      <c r="E707" s="85">
        <v>45338</v>
      </c>
      <c r="F707" s="85">
        <v>45339</v>
      </c>
      <c r="G707" s="67" t="s">
        <v>234</v>
      </c>
      <c r="H707" s="82" t="s">
        <v>65</v>
      </c>
      <c r="I707" s="94">
        <v>45344</v>
      </c>
      <c r="J707" s="67" t="s">
        <v>234</v>
      </c>
      <c r="K707" s="71">
        <v>350</v>
      </c>
      <c r="L707" s="73"/>
      <c r="M707" s="73"/>
      <c r="N707" s="73"/>
    </row>
    <row r="708" spans="1:14" ht="18.45" customHeight="1" x14ac:dyDescent="0.3">
      <c r="A708" s="99" t="s">
        <v>1614</v>
      </c>
      <c r="B708" s="75" t="s">
        <v>1615</v>
      </c>
      <c r="C708" s="99" t="s">
        <v>120</v>
      </c>
      <c r="D708" s="71">
        <v>6</v>
      </c>
      <c r="E708" s="85">
        <v>45342</v>
      </c>
      <c r="F708" s="85">
        <v>45343</v>
      </c>
      <c r="G708" s="67" t="s">
        <v>234</v>
      </c>
      <c r="H708" s="82" t="s">
        <v>65</v>
      </c>
      <c r="I708" s="94">
        <v>45344</v>
      </c>
      <c r="J708" s="67" t="s">
        <v>234</v>
      </c>
      <c r="K708" s="71">
        <v>150</v>
      </c>
      <c r="L708" s="73"/>
      <c r="M708" s="73"/>
      <c r="N708" s="73"/>
    </row>
    <row r="709" spans="1:14" ht="18.45" customHeight="1" x14ac:dyDescent="0.3">
      <c r="A709" s="72" t="s">
        <v>1616</v>
      </c>
      <c r="B709" s="68" t="s">
        <v>1617</v>
      </c>
      <c r="C709" s="72" t="s">
        <v>92</v>
      </c>
      <c r="D709" s="68">
        <v>22</v>
      </c>
      <c r="E709" s="95">
        <v>45336</v>
      </c>
      <c r="F709" s="95">
        <v>45337</v>
      </c>
      <c r="G709" s="67" t="s">
        <v>234</v>
      </c>
      <c r="H709" s="82" t="s">
        <v>65</v>
      </c>
      <c r="I709" s="94">
        <v>45344</v>
      </c>
      <c r="J709" s="67" t="s">
        <v>234</v>
      </c>
      <c r="K709" s="68">
        <v>120</v>
      </c>
      <c r="L709" s="73"/>
      <c r="M709" s="73"/>
      <c r="N709" s="73"/>
    </row>
    <row r="710" spans="1:14" ht="18.45" customHeight="1" x14ac:dyDescent="0.3">
      <c r="A710" s="99" t="s">
        <v>1618</v>
      </c>
      <c r="B710" s="75" t="s">
        <v>1619</v>
      </c>
      <c r="C710" s="101" t="s">
        <v>134</v>
      </c>
      <c r="D710" s="71">
        <v>25</v>
      </c>
      <c r="E710" s="85">
        <v>45337</v>
      </c>
      <c r="F710" s="85">
        <v>45339</v>
      </c>
      <c r="G710" s="67" t="s">
        <v>234</v>
      </c>
      <c r="H710" s="82" t="s">
        <v>65</v>
      </c>
      <c r="I710" s="94">
        <v>45344</v>
      </c>
      <c r="J710" s="67" t="s">
        <v>234</v>
      </c>
      <c r="K710" s="71">
        <v>380</v>
      </c>
      <c r="L710" s="73"/>
      <c r="M710" s="73"/>
      <c r="N710" s="73"/>
    </row>
    <row r="711" spans="1:14" ht="18.45" customHeight="1" x14ac:dyDescent="0.3">
      <c r="A711" s="101" t="s">
        <v>1620</v>
      </c>
      <c r="B711" s="82" t="s">
        <v>1621</v>
      </c>
      <c r="C711" s="101" t="s">
        <v>92</v>
      </c>
      <c r="D711" s="82">
        <v>13</v>
      </c>
      <c r="E711" s="94">
        <v>45324</v>
      </c>
      <c r="F711" s="94">
        <v>45330</v>
      </c>
      <c r="G711" s="67" t="s">
        <v>234</v>
      </c>
      <c r="H711" s="82" t="s">
        <v>65</v>
      </c>
      <c r="I711" s="94">
        <v>45344</v>
      </c>
      <c r="J711" s="67" t="s">
        <v>234</v>
      </c>
      <c r="K711" s="82">
        <v>350</v>
      </c>
      <c r="L711" s="73"/>
      <c r="M711" s="73"/>
      <c r="N711" s="73"/>
    </row>
    <row r="712" spans="1:14" ht="18.45" customHeight="1" x14ac:dyDescent="0.3">
      <c r="A712" s="72" t="s">
        <v>1622</v>
      </c>
      <c r="B712" s="72" t="s">
        <v>1623</v>
      </c>
      <c r="C712" s="72" t="s">
        <v>2488</v>
      </c>
      <c r="D712" s="71">
        <v>7</v>
      </c>
      <c r="E712" s="90">
        <v>45104</v>
      </c>
      <c r="F712" s="90">
        <v>45335</v>
      </c>
      <c r="G712" s="67" t="s">
        <v>234</v>
      </c>
      <c r="H712" s="82" t="s">
        <v>65</v>
      </c>
      <c r="I712" s="94">
        <v>45344</v>
      </c>
      <c r="J712" s="67" t="s">
        <v>234</v>
      </c>
      <c r="K712" s="71">
        <v>200</v>
      </c>
      <c r="L712" s="73"/>
      <c r="M712" s="73"/>
      <c r="N712" s="73"/>
    </row>
    <row r="713" spans="1:14" ht="18.45" customHeight="1" x14ac:dyDescent="0.3">
      <c r="A713" s="51" t="s">
        <v>1624</v>
      </c>
      <c r="B713" s="51" t="s">
        <v>1625</v>
      </c>
      <c r="C713" s="51" t="s">
        <v>226</v>
      </c>
      <c r="D713" s="51">
        <v>2</v>
      </c>
      <c r="E713" s="54">
        <v>45337</v>
      </c>
      <c r="F713" s="54">
        <v>45337</v>
      </c>
      <c r="G713" s="67" t="s">
        <v>234</v>
      </c>
      <c r="H713" s="51" t="s">
        <v>65</v>
      </c>
      <c r="I713" s="58">
        <v>45344</v>
      </c>
      <c r="J713" s="67" t="s">
        <v>234</v>
      </c>
      <c r="K713" s="51">
        <v>300</v>
      </c>
      <c r="L713" s="73"/>
      <c r="M713" s="73"/>
      <c r="N713" s="73"/>
    </row>
    <row r="714" spans="1:14" ht="18.45" customHeight="1" x14ac:dyDescent="0.3">
      <c r="A714" s="51" t="s">
        <v>1626</v>
      </c>
      <c r="B714" s="51" t="s">
        <v>1627</v>
      </c>
      <c r="C714" s="51" t="s">
        <v>223</v>
      </c>
      <c r="D714" s="51">
        <v>5</v>
      </c>
      <c r="E714" s="54">
        <v>45340</v>
      </c>
      <c r="F714" s="54">
        <v>45342</v>
      </c>
      <c r="G714" s="67" t="s">
        <v>234</v>
      </c>
      <c r="H714" s="51" t="s">
        <v>65</v>
      </c>
      <c r="I714" s="58">
        <v>45344</v>
      </c>
      <c r="J714" s="67" t="s">
        <v>234</v>
      </c>
      <c r="K714" s="51">
        <v>300</v>
      </c>
      <c r="L714" s="73"/>
      <c r="M714" s="73"/>
      <c r="N714" s="73"/>
    </row>
    <row r="715" spans="1:14" ht="18.45" customHeight="1" x14ac:dyDescent="0.3">
      <c r="A715" s="51" t="s">
        <v>1628</v>
      </c>
      <c r="B715" s="51" t="s">
        <v>1629</v>
      </c>
      <c r="C715" s="51" t="s">
        <v>223</v>
      </c>
      <c r="D715" s="51">
        <v>97</v>
      </c>
      <c r="E715" s="54">
        <v>45337</v>
      </c>
      <c r="F715" s="54">
        <v>45337</v>
      </c>
      <c r="G715" s="67" t="s">
        <v>234</v>
      </c>
      <c r="H715" s="51" t="s">
        <v>65</v>
      </c>
      <c r="I715" s="58">
        <v>45344</v>
      </c>
      <c r="J715" s="67" t="s">
        <v>234</v>
      </c>
      <c r="K715" s="51">
        <v>500</v>
      </c>
      <c r="L715" s="73"/>
      <c r="M715" s="73"/>
      <c r="N715" s="73"/>
    </row>
    <row r="716" spans="1:14" ht="18.45" customHeight="1" x14ac:dyDescent="0.3">
      <c r="A716" s="51" t="s">
        <v>1630</v>
      </c>
      <c r="B716" s="51" t="s">
        <v>1631</v>
      </c>
      <c r="C716" s="51" t="s">
        <v>223</v>
      </c>
      <c r="D716" s="51">
        <v>103</v>
      </c>
      <c r="E716" s="54">
        <v>45340</v>
      </c>
      <c r="F716" s="54">
        <v>45342</v>
      </c>
      <c r="G716" s="67" t="s">
        <v>234</v>
      </c>
      <c r="H716" s="51" t="s">
        <v>65</v>
      </c>
      <c r="I716" s="58">
        <v>45344</v>
      </c>
      <c r="J716" s="67" t="s">
        <v>234</v>
      </c>
      <c r="K716" s="51">
        <v>500</v>
      </c>
      <c r="L716" s="73"/>
      <c r="M716" s="73"/>
      <c r="N716" s="73"/>
    </row>
    <row r="717" spans="1:14" ht="18.45" customHeight="1" x14ac:dyDescent="0.3">
      <c r="A717" s="51" t="s">
        <v>1632</v>
      </c>
      <c r="B717" s="51" t="s">
        <v>1633</v>
      </c>
      <c r="C717" s="51" t="s">
        <v>232</v>
      </c>
      <c r="D717" s="51">
        <v>53</v>
      </c>
      <c r="E717" s="58">
        <v>45342</v>
      </c>
      <c r="F717" s="58">
        <v>45343</v>
      </c>
      <c r="G717" s="67" t="s">
        <v>234</v>
      </c>
      <c r="H717" s="51" t="s">
        <v>65</v>
      </c>
      <c r="I717" s="58">
        <v>45344</v>
      </c>
      <c r="J717" s="67" t="s">
        <v>234</v>
      </c>
      <c r="K717" s="51">
        <v>350</v>
      </c>
      <c r="L717" s="73"/>
      <c r="M717" s="73"/>
      <c r="N717" s="73"/>
    </row>
    <row r="718" spans="1:14" ht="18.45" customHeight="1" x14ac:dyDescent="0.3">
      <c r="A718" s="51" t="s">
        <v>1634</v>
      </c>
      <c r="B718" s="51" t="s">
        <v>1635</v>
      </c>
      <c r="C718" s="51" t="s">
        <v>232</v>
      </c>
      <c r="D718" s="51">
        <v>38</v>
      </c>
      <c r="E718" s="58">
        <v>45342</v>
      </c>
      <c r="F718" s="58">
        <v>45343</v>
      </c>
      <c r="G718" s="67" t="s">
        <v>234</v>
      </c>
      <c r="H718" s="51" t="s">
        <v>65</v>
      </c>
      <c r="I718" s="58">
        <v>45344</v>
      </c>
      <c r="J718" s="67" t="s">
        <v>234</v>
      </c>
      <c r="K718" s="51">
        <v>150</v>
      </c>
      <c r="L718" s="73"/>
      <c r="M718" s="73"/>
      <c r="N718" s="73"/>
    </row>
    <row r="719" spans="1:14" ht="18.45" customHeight="1" x14ac:dyDescent="0.3">
      <c r="A719" s="51" t="s">
        <v>1636</v>
      </c>
      <c r="B719" s="51" t="s">
        <v>1637</v>
      </c>
      <c r="C719" s="51" t="s">
        <v>227</v>
      </c>
      <c r="D719" s="51">
        <v>5</v>
      </c>
      <c r="E719" s="58">
        <v>45342</v>
      </c>
      <c r="F719" s="58">
        <v>45343</v>
      </c>
      <c r="G719" s="67" t="s">
        <v>234</v>
      </c>
      <c r="H719" s="51" t="s">
        <v>65</v>
      </c>
      <c r="I719" s="58">
        <v>45344</v>
      </c>
      <c r="J719" s="67" t="s">
        <v>234</v>
      </c>
      <c r="K719" s="51">
        <v>120</v>
      </c>
      <c r="L719" s="73"/>
      <c r="M719" s="73"/>
      <c r="N719" s="73"/>
    </row>
    <row r="720" spans="1:14" ht="18.45" customHeight="1" x14ac:dyDescent="0.3">
      <c r="A720" s="51" t="s">
        <v>1638</v>
      </c>
      <c r="B720" s="51" t="s">
        <v>1639</v>
      </c>
      <c r="C720" s="51" t="s">
        <v>227</v>
      </c>
      <c r="D720" s="51">
        <v>11</v>
      </c>
      <c r="E720" s="58">
        <v>45340</v>
      </c>
      <c r="F720" s="58">
        <v>45342</v>
      </c>
      <c r="G720" s="67" t="s">
        <v>234</v>
      </c>
      <c r="H720" s="51" t="s">
        <v>65</v>
      </c>
      <c r="I720" s="58">
        <v>45344</v>
      </c>
      <c r="J720" s="67" t="s">
        <v>234</v>
      </c>
      <c r="K720" s="51">
        <v>80</v>
      </c>
      <c r="L720" s="73"/>
      <c r="M720" s="73"/>
      <c r="N720" s="73"/>
    </row>
    <row r="721" spans="1:14" ht="18.45" customHeight="1" x14ac:dyDescent="0.3">
      <c r="A721" s="51" t="s">
        <v>1640</v>
      </c>
      <c r="B721" s="51" t="s">
        <v>1641</v>
      </c>
      <c r="C721" s="51" t="s">
        <v>232</v>
      </c>
      <c r="D721" s="51">
        <v>42</v>
      </c>
      <c r="E721" s="58">
        <v>45342</v>
      </c>
      <c r="F721" s="58">
        <v>45343</v>
      </c>
      <c r="G721" s="67" t="s">
        <v>234</v>
      </c>
      <c r="H721" s="51" t="s">
        <v>65</v>
      </c>
      <c r="I721" s="58">
        <v>45344</v>
      </c>
      <c r="J721" s="67" t="s">
        <v>234</v>
      </c>
      <c r="K721" s="51">
        <v>200</v>
      </c>
      <c r="L721" s="73"/>
      <c r="M721" s="73"/>
      <c r="N721" s="73"/>
    </row>
    <row r="722" spans="1:14" ht="18.45" customHeight="1" x14ac:dyDescent="0.3">
      <c r="A722" s="51" t="s">
        <v>1642</v>
      </c>
      <c r="B722" s="51" t="s">
        <v>1643</v>
      </c>
      <c r="C722" s="51" t="s">
        <v>231</v>
      </c>
      <c r="D722" s="51">
        <v>10</v>
      </c>
      <c r="E722" s="58">
        <v>45342</v>
      </c>
      <c r="F722" s="58">
        <v>45342</v>
      </c>
      <c r="G722" s="67" t="s">
        <v>234</v>
      </c>
      <c r="H722" s="51" t="s">
        <v>65</v>
      </c>
      <c r="I722" s="58">
        <v>45344</v>
      </c>
      <c r="J722" s="67" t="s">
        <v>234</v>
      </c>
      <c r="K722" s="51">
        <v>250</v>
      </c>
      <c r="L722" s="73"/>
      <c r="M722" s="73"/>
      <c r="N722" s="73"/>
    </row>
    <row r="723" spans="1:14" ht="18.45" customHeight="1" x14ac:dyDescent="0.3">
      <c r="A723" s="51" t="s">
        <v>1644</v>
      </c>
      <c r="B723" s="51" t="s">
        <v>1645</v>
      </c>
      <c r="C723" s="51" t="s">
        <v>231</v>
      </c>
      <c r="D723" s="51">
        <v>25</v>
      </c>
      <c r="E723" s="58">
        <v>45342</v>
      </c>
      <c r="F723" s="58">
        <v>45342</v>
      </c>
      <c r="G723" s="67" t="s">
        <v>234</v>
      </c>
      <c r="H723" s="51" t="s">
        <v>65</v>
      </c>
      <c r="I723" s="58">
        <v>45344</v>
      </c>
      <c r="J723" s="67" t="s">
        <v>234</v>
      </c>
      <c r="K723" s="51">
        <v>200</v>
      </c>
      <c r="L723" s="73"/>
      <c r="M723" s="73"/>
      <c r="N723" s="73"/>
    </row>
    <row r="724" spans="1:14" ht="18.45" customHeight="1" x14ac:dyDescent="0.3">
      <c r="A724" s="51" t="s">
        <v>1646</v>
      </c>
      <c r="B724" s="51" t="s">
        <v>1647</v>
      </c>
      <c r="C724" s="51" t="s">
        <v>232</v>
      </c>
      <c r="D724" s="51">
        <v>26</v>
      </c>
      <c r="E724" s="58">
        <v>45329</v>
      </c>
      <c r="F724" s="58">
        <v>45336</v>
      </c>
      <c r="G724" s="67" t="s">
        <v>234</v>
      </c>
      <c r="H724" s="51" t="s">
        <v>65</v>
      </c>
      <c r="I724" s="58">
        <v>45344</v>
      </c>
      <c r="J724" s="67" t="s">
        <v>234</v>
      </c>
      <c r="K724" s="51">
        <v>200</v>
      </c>
      <c r="L724" s="73"/>
      <c r="M724" s="73"/>
      <c r="N724" s="73"/>
    </row>
    <row r="725" spans="1:14" ht="18.45" customHeight="1" x14ac:dyDescent="0.3">
      <c r="A725" s="51" t="s">
        <v>1648</v>
      </c>
      <c r="B725" s="51" t="s">
        <v>1649</v>
      </c>
      <c r="C725" s="51" t="s">
        <v>231</v>
      </c>
      <c r="D725" s="51">
        <v>6</v>
      </c>
      <c r="E725" s="58">
        <v>45342</v>
      </c>
      <c r="F725" s="58">
        <v>45342</v>
      </c>
      <c r="G725" s="67" t="s">
        <v>234</v>
      </c>
      <c r="H725" s="51" t="s">
        <v>65</v>
      </c>
      <c r="I725" s="58">
        <v>45344</v>
      </c>
      <c r="J725" s="67" t="s">
        <v>234</v>
      </c>
      <c r="K725" s="51">
        <v>350</v>
      </c>
      <c r="L725" s="73"/>
      <c r="M725" s="73"/>
      <c r="N725" s="73"/>
    </row>
    <row r="726" spans="1:14" ht="18.45" customHeight="1" x14ac:dyDescent="0.3">
      <c r="A726" s="51" t="s">
        <v>1650</v>
      </c>
      <c r="B726" s="51" t="s">
        <v>1651</v>
      </c>
      <c r="C726" s="51" t="s">
        <v>231</v>
      </c>
      <c r="D726" s="51">
        <v>6</v>
      </c>
      <c r="E726" s="58">
        <v>45341</v>
      </c>
      <c r="F726" s="58">
        <v>45342</v>
      </c>
      <c r="G726" s="67" t="s">
        <v>234</v>
      </c>
      <c r="H726" s="51" t="s">
        <v>65</v>
      </c>
      <c r="I726" s="58">
        <v>45344</v>
      </c>
      <c r="J726" s="67" t="s">
        <v>234</v>
      </c>
      <c r="K726" s="51">
        <v>250</v>
      </c>
      <c r="L726" s="73"/>
      <c r="M726" s="73"/>
      <c r="N726" s="73"/>
    </row>
    <row r="727" spans="1:14" ht="18.45" customHeight="1" x14ac:dyDescent="0.3">
      <c r="A727" s="101" t="s">
        <v>1652</v>
      </c>
      <c r="B727" s="82" t="s">
        <v>1653</v>
      </c>
      <c r="C727" s="101" t="s">
        <v>2477</v>
      </c>
      <c r="D727" s="82">
        <v>75</v>
      </c>
      <c r="E727" s="94">
        <v>45204</v>
      </c>
      <c r="F727" s="94">
        <v>45205</v>
      </c>
      <c r="G727" s="67" t="s">
        <v>234</v>
      </c>
      <c r="H727" s="82" t="s">
        <v>65</v>
      </c>
      <c r="I727" s="94">
        <v>45345</v>
      </c>
      <c r="J727" s="67" t="s">
        <v>234</v>
      </c>
      <c r="K727" s="82">
        <v>380</v>
      </c>
      <c r="L727" s="73"/>
      <c r="M727" s="73"/>
      <c r="N727" s="73"/>
    </row>
    <row r="728" spans="1:14" ht="18.45" customHeight="1" x14ac:dyDescent="0.3">
      <c r="A728" s="101" t="s">
        <v>1654</v>
      </c>
      <c r="B728" s="82" t="s">
        <v>1655</v>
      </c>
      <c r="C728" s="101" t="s">
        <v>95</v>
      </c>
      <c r="D728" s="82">
        <v>12</v>
      </c>
      <c r="E728" s="94">
        <v>45329</v>
      </c>
      <c r="F728" s="94">
        <v>45330</v>
      </c>
      <c r="G728" s="67" t="s">
        <v>234</v>
      </c>
      <c r="H728" s="82" t="s">
        <v>65</v>
      </c>
      <c r="I728" s="94">
        <v>45345</v>
      </c>
      <c r="J728" s="67" t="s">
        <v>234</v>
      </c>
      <c r="K728" s="82">
        <v>250</v>
      </c>
      <c r="L728" s="73"/>
      <c r="M728" s="73"/>
      <c r="N728" s="73"/>
    </row>
    <row r="729" spans="1:14" ht="18.45" customHeight="1" x14ac:dyDescent="0.3">
      <c r="A729" s="99" t="s">
        <v>1656</v>
      </c>
      <c r="B729" s="75" t="s">
        <v>1657</v>
      </c>
      <c r="C729" s="99" t="s">
        <v>2504</v>
      </c>
      <c r="D729" s="71">
        <v>21</v>
      </c>
      <c r="E729" s="85">
        <v>45341</v>
      </c>
      <c r="F729" s="85">
        <v>45343</v>
      </c>
      <c r="G729" s="67" t="s">
        <v>234</v>
      </c>
      <c r="H729" s="82" t="s">
        <v>65</v>
      </c>
      <c r="I729" s="94">
        <v>45345</v>
      </c>
      <c r="J729" s="67" t="s">
        <v>234</v>
      </c>
      <c r="K729" s="71">
        <v>350</v>
      </c>
      <c r="L729" s="73"/>
      <c r="M729" s="73"/>
      <c r="N729" s="73"/>
    </row>
    <row r="730" spans="1:14" ht="18.45" customHeight="1" x14ac:dyDescent="0.3">
      <c r="A730" s="99" t="s">
        <v>1658</v>
      </c>
      <c r="B730" s="75" t="s">
        <v>1659</v>
      </c>
      <c r="C730" s="99" t="s">
        <v>92</v>
      </c>
      <c r="D730" s="71">
        <v>78</v>
      </c>
      <c r="E730" s="85">
        <v>45341</v>
      </c>
      <c r="F730" s="85">
        <v>45343</v>
      </c>
      <c r="G730" s="67" t="s">
        <v>234</v>
      </c>
      <c r="H730" s="82" t="s">
        <v>65</v>
      </c>
      <c r="I730" s="94">
        <v>45345</v>
      </c>
      <c r="J730" s="67" t="s">
        <v>234</v>
      </c>
      <c r="K730" s="71">
        <v>50</v>
      </c>
      <c r="L730" s="73"/>
      <c r="M730" s="73"/>
      <c r="N730" s="73"/>
    </row>
    <row r="731" spans="1:14" ht="18.45" customHeight="1" x14ac:dyDescent="0.3">
      <c r="A731" s="101" t="s">
        <v>1660</v>
      </c>
      <c r="B731" s="82" t="s">
        <v>1661</v>
      </c>
      <c r="C731" s="101" t="s">
        <v>135</v>
      </c>
      <c r="D731" s="82">
        <v>58</v>
      </c>
      <c r="E731" s="94">
        <v>45323</v>
      </c>
      <c r="F731" s="94">
        <v>45323</v>
      </c>
      <c r="G731" s="67" t="s">
        <v>234</v>
      </c>
      <c r="H731" s="82" t="s">
        <v>65</v>
      </c>
      <c r="I731" s="94">
        <v>45345</v>
      </c>
      <c r="J731" s="67" t="s">
        <v>234</v>
      </c>
      <c r="K731" s="82">
        <v>250</v>
      </c>
      <c r="L731" s="73"/>
      <c r="M731" s="73"/>
      <c r="N731" s="73"/>
    </row>
    <row r="732" spans="1:14" ht="18.45" customHeight="1" x14ac:dyDescent="0.3">
      <c r="A732" s="99" t="s">
        <v>1662</v>
      </c>
      <c r="B732" s="75" t="s">
        <v>1663</v>
      </c>
      <c r="C732" s="99" t="s">
        <v>2504</v>
      </c>
      <c r="D732" s="71">
        <v>8</v>
      </c>
      <c r="E732" s="85">
        <v>45342</v>
      </c>
      <c r="F732" s="85">
        <v>45343</v>
      </c>
      <c r="G732" s="67" t="s">
        <v>234</v>
      </c>
      <c r="H732" s="82" t="s">
        <v>65</v>
      </c>
      <c r="I732" s="94">
        <v>45345</v>
      </c>
      <c r="J732" s="67" t="s">
        <v>234</v>
      </c>
      <c r="K732" s="71">
        <v>300</v>
      </c>
      <c r="L732" s="73"/>
      <c r="M732" s="73"/>
      <c r="N732" s="73"/>
    </row>
    <row r="733" spans="1:14" ht="18.45" customHeight="1" x14ac:dyDescent="0.3">
      <c r="A733" s="51" t="s">
        <v>1664</v>
      </c>
      <c r="B733" s="51" t="s">
        <v>1665</v>
      </c>
      <c r="C733" s="51" t="s">
        <v>223</v>
      </c>
      <c r="D733" s="51">
        <v>92</v>
      </c>
      <c r="E733" s="54">
        <v>45329</v>
      </c>
      <c r="F733" s="54">
        <v>45329</v>
      </c>
      <c r="G733" s="67" t="s">
        <v>234</v>
      </c>
      <c r="H733" s="51" t="s">
        <v>65</v>
      </c>
      <c r="I733" s="58">
        <v>45345</v>
      </c>
      <c r="J733" s="67" t="s">
        <v>234</v>
      </c>
      <c r="K733" s="51">
        <v>300</v>
      </c>
      <c r="L733" s="73"/>
      <c r="M733" s="73"/>
      <c r="N733" s="73"/>
    </row>
    <row r="734" spans="1:14" ht="18.45" customHeight="1" x14ac:dyDescent="0.3">
      <c r="A734" s="51" t="s">
        <v>1666</v>
      </c>
      <c r="B734" s="51" t="s">
        <v>1667</v>
      </c>
      <c r="C734" s="51" t="s">
        <v>223</v>
      </c>
      <c r="D734" s="51">
        <v>61</v>
      </c>
      <c r="E734" s="54">
        <v>45344</v>
      </c>
      <c r="F734" s="54">
        <v>45345</v>
      </c>
      <c r="G734" s="67" t="s">
        <v>234</v>
      </c>
      <c r="H734" s="51" t="s">
        <v>65</v>
      </c>
      <c r="I734" s="58">
        <v>45345</v>
      </c>
      <c r="J734" s="67" t="s">
        <v>234</v>
      </c>
      <c r="K734" s="51">
        <v>200</v>
      </c>
      <c r="L734" s="73"/>
      <c r="M734" s="73"/>
      <c r="N734" s="73"/>
    </row>
    <row r="735" spans="1:14" ht="18.45" customHeight="1" x14ac:dyDescent="0.3">
      <c r="A735" s="51" t="s">
        <v>1668</v>
      </c>
      <c r="B735" s="51" t="s">
        <v>1669</v>
      </c>
      <c r="C735" s="51" t="s">
        <v>231</v>
      </c>
      <c r="D735" s="51">
        <v>23</v>
      </c>
      <c r="E735" s="58">
        <v>45343</v>
      </c>
      <c r="F735" s="58">
        <v>45344</v>
      </c>
      <c r="G735" s="67" t="s">
        <v>234</v>
      </c>
      <c r="H735" s="51" t="s">
        <v>65</v>
      </c>
      <c r="I735" s="58">
        <v>45345</v>
      </c>
      <c r="J735" s="67" t="s">
        <v>234</v>
      </c>
      <c r="K735" s="51">
        <v>50</v>
      </c>
      <c r="L735" s="73"/>
      <c r="M735" s="73"/>
      <c r="N735" s="73"/>
    </row>
    <row r="736" spans="1:14" ht="18.45" customHeight="1" x14ac:dyDescent="0.3">
      <c r="A736" s="51" t="s">
        <v>1670</v>
      </c>
      <c r="B736" s="51" t="s">
        <v>1671</v>
      </c>
      <c r="C736" s="51" t="s">
        <v>231</v>
      </c>
      <c r="D736" s="51">
        <v>23</v>
      </c>
      <c r="E736" s="58">
        <v>45344</v>
      </c>
      <c r="F736" s="58">
        <v>45344</v>
      </c>
      <c r="G736" s="67" t="s">
        <v>234</v>
      </c>
      <c r="H736" s="51" t="s">
        <v>65</v>
      </c>
      <c r="I736" s="58">
        <v>45345</v>
      </c>
      <c r="J736" s="67" t="s">
        <v>234</v>
      </c>
      <c r="K736" s="51">
        <v>200</v>
      </c>
      <c r="L736" s="73"/>
      <c r="M736" s="73"/>
      <c r="N736" s="73"/>
    </row>
    <row r="737" spans="1:14" ht="18.45" customHeight="1" x14ac:dyDescent="0.3">
      <c r="A737" s="51" t="s">
        <v>1672</v>
      </c>
      <c r="B737" s="51" t="s">
        <v>1673</v>
      </c>
      <c r="C737" s="51" t="s">
        <v>228</v>
      </c>
      <c r="D737" s="51">
        <v>22</v>
      </c>
      <c r="E737" s="58">
        <v>45342</v>
      </c>
      <c r="F737" s="58">
        <v>45343</v>
      </c>
      <c r="G737" s="67" t="s">
        <v>234</v>
      </c>
      <c r="H737" s="51" t="s">
        <v>65</v>
      </c>
      <c r="I737" s="58">
        <v>45345</v>
      </c>
      <c r="J737" s="67" t="s">
        <v>234</v>
      </c>
      <c r="K737" s="51">
        <v>180</v>
      </c>
      <c r="L737" s="73"/>
      <c r="M737" s="73"/>
      <c r="N737" s="73"/>
    </row>
    <row r="738" spans="1:14" ht="18.45" customHeight="1" x14ac:dyDescent="0.3">
      <c r="A738" s="51" t="s">
        <v>1674</v>
      </c>
      <c r="B738" s="51" t="s">
        <v>1675</v>
      </c>
      <c r="C738" s="51" t="s">
        <v>231</v>
      </c>
      <c r="D738" s="51">
        <v>26</v>
      </c>
      <c r="E738" s="58">
        <v>45344</v>
      </c>
      <c r="F738" s="58">
        <v>45344</v>
      </c>
      <c r="G738" s="67" t="s">
        <v>234</v>
      </c>
      <c r="H738" s="51" t="s">
        <v>65</v>
      </c>
      <c r="I738" s="58">
        <v>45345</v>
      </c>
      <c r="J738" s="67" t="s">
        <v>234</v>
      </c>
      <c r="K738" s="51">
        <v>50</v>
      </c>
      <c r="L738" s="73"/>
      <c r="M738" s="73"/>
      <c r="N738" s="73"/>
    </row>
    <row r="739" spans="1:14" ht="18.45" customHeight="1" x14ac:dyDescent="0.3">
      <c r="A739" s="51" t="s">
        <v>1676</v>
      </c>
      <c r="B739" s="51" t="s">
        <v>1677</v>
      </c>
      <c r="C739" s="51" t="s">
        <v>231</v>
      </c>
      <c r="D739" s="51">
        <v>19</v>
      </c>
      <c r="E739" s="58">
        <v>45343</v>
      </c>
      <c r="F739" s="58">
        <v>45343</v>
      </c>
      <c r="G739" s="67" t="s">
        <v>234</v>
      </c>
      <c r="H739" s="51" t="s">
        <v>65</v>
      </c>
      <c r="I739" s="58">
        <v>45345</v>
      </c>
      <c r="J739" s="67" t="s">
        <v>234</v>
      </c>
      <c r="K739" s="51">
        <v>50</v>
      </c>
      <c r="L739" s="73"/>
      <c r="M739" s="73"/>
      <c r="N739" s="73"/>
    </row>
    <row r="740" spans="1:14" ht="18.45" customHeight="1" x14ac:dyDescent="0.3">
      <c r="A740" s="51" t="s">
        <v>1678</v>
      </c>
      <c r="B740" s="51" t="s">
        <v>1679</v>
      </c>
      <c r="C740" s="51" t="s">
        <v>232</v>
      </c>
      <c r="D740" s="51">
        <v>74</v>
      </c>
      <c r="E740" s="58">
        <v>45342</v>
      </c>
      <c r="F740" s="58">
        <v>45343</v>
      </c>
      <c r="G740" s="67" t="s">
        <v>234</v>
      </c>
      <c r="H740" s="51" t="s">
        <v>65</v>
      </c>
      <c r="I740" s="58">
        <v>45345</v>
      </c>
      <c r="J740" s="67" t="s">
        <v>234</v>
      </c>
      <c r="K740" s="51">
        <v>200</v>
      </c>
      <c r="L740" s="73"/>
      <c r="M740" s="73"/>
      <c r="N740" s="73"/>
    </row>
    <row r="741" spans="1:14" ht="18.45" customHeight="1" x14ac:dyDescent="0.3">
      <c r="A741" s="51" t="s">
        <v>1680</v>
      </c>
      <c r="B741" s="51" t="s">
        <v>1681</v>
      </c>
      <c r="C741" s="51" t="s">
        <v>232</v>
      </c>
      <c r="D741" s="51">
        <v>39</v>
      </c>
      <c r="E741" s="58">
        <v>45340</v>
      </c>
      <c r="F741" s="58">
        <v>45342</v>
      </c>
      <c r="G741" s="67" t="s">
        <v>234</v>
      </c>
      <c r="H741" s="51" t="s">
        <v>65</v>
      </c>
      <c r="I741" s="58">
        <v>45345</v>
      </c>
      <c r="J741" s="67" t="s">
        <v>234</v>
      </c>
      <c r="K741" s="51">
        <v>300</v>
      </c>
      <c r="L741" s="73"/>
      <c r="M741" s="73"/>
      <c r="N741" s="73"/>
    </row>
    <row r="742" spans="1:14" ht="18.45" customHeight="1" x14ac:dyDescent="0.3">
      <c r="A742" s="51" t="s">
        <v>1682</v>
      </c>
      <c r="B742" s="51" t="s">
        <v>1683</v>
      </c>
      <c r="C742" s="51" t="s">
        <v>229</v>
      </c>
      <c r="D742" s="51">
        <v>29</v>
      </c>
      <c r="E742" s="58">
        <v>45342</v>
      </c>
      <c r="F742" s="58">
        <v>45342</v>
      </c>
      <c r="G742" s="67" t="s">
        <v>234</v>
      </c>
      <c r="H742" s="51" t="s">
        <v>65</v>
      </c>
      <c r="I742" s="58">
        <v>45345</v>
      </c>
      <c r="J742" s="67" t="s">
        <v>234</v>
      </c>
      <c r="K742" s="51">
        <v>200</v>
      </c>
      <c r="L742" s="73"/>
      <c r="M742" s="73"/>
      <c r="N742" s="73"/>
    </row>
    <row r="743" spans="1:14" ht="18.45" customHeight="1" x14ac:dyDescent="0.3">
      <c r="A743" s="51" t="s">
        <v>1684</v>
      </c>
      <c r="B743" s="51" t="s">
        <v>1685</v>
      </c>
      <c r="C743" s="51" t="s">
        <v>231</v>
      </c>
      <c r="D743" s="51">
        <v>29</v>
      </c>
      <c r="E743" s="58">
        <v>45343</v>
      </c>
      <c r="F743" s="58">
        <v>45344</v>
      </c>
      <c r="G743" s="67" t="s">
        <v>234</v>
      </c>
      <c r="H743" s="51" t="s">
        <v>65</v>
      </c>
      <c r="I743" s="58">
        <v>45345</v>
      </c>
      <c r="J743" s="67" t="s">
        <v>234</v>
      </c>
      <c r="K743" s="51">
        <v>250</v>
      </c>
      <c r="L743" s="73"/>
      <c r="M743" s="73"/>
      <c r="N743" s="73"/>
    </row>
    <row r="744" spans="1:14" ht="18.45" customHeight="1" x14ac:dyDescent="0.3">
      <c r="A744" s="51" t="s">
        <v>1686</v>
      </c>
      <c r="B744" s="51" t="s">
        <v>1687</v>
      </c>
      <c r="C744" s="51" t="s">
        <v>231</v>
      </c>
      <c r="D744" s="51">
        <v>29</v>
      </c>
      <c r="E744" s="58">
        <v>45343</v>
      </c>
      <c r="F744" s="58">
        <v>45343</v>
      </c>
      <c r="G744" s="67" t="s">
        <v>234</v>
      </c>
      <c r="H744" s="51" t="s">
        <v>65</v>
      </c>
      <c r="I744" s="58">
        <v>45345</v>
      </c>
      <c r="J744" s="67" t="s">
        <v>234</v>
      </c>
      <c r="K744" s="51">
        <v>350</v>
      </c>
      <c r="L744" s="73"/>
      <c r="M744" s="73"/>
      <c r="N744" s="73"/>
    </row>
    <row r="745" spans="1:14" ht="18.45" customHeight="1" x14ac:dyDescent="0.3">
      <c r="A745" s="76" t="s">
        <v>1688</v>
      </c>
      <c r="B745" s="60" t="s">
        <v>1689</v>
      </c>
      <c r="C745" s="76" t="s">
        <v>2506</v>
      </c>
      <c r="D745" s="60">
        <v>10</v>
      </c>
      <c r="E745" s="89">
        <v>45027</v>
      </c>
      <c r="F745" s="89">
        <v>45029</v>
      </c>
      <c r="G745" s="67" t="s">
        <v>234</v>
      </c>
      <c r="H745" s="60" t="s">
        <v>65</v>
      </c>
      <c r="I745" s="89">
        <v>45346</v>
      </c>
      <c r="J745" s="67" t="s">
        <v>234</v>
      </c>
      <c r="K745" s="60">
        <v>100</v>
      </c>
      <c r="L745" s="73"/>
      <c r="M745" s="73"/>
      <c r="N745" s="73"/>
    </row>
    <row r="746" spans="1:14" ht="18.45" customHeight="1" x14ac:dyDescent="0.3">
      <c r="A746" s="48" t="s">
        <v>1690</v>
      </c>
      <c r="B746" s="48" t="s">
        <v>1691</v>
      </c>
      <c r="C746" s="48" t="s">
        <v>135</v>
      </c>
      <c r="D746" s="62">
        <v>55</v>
      </c>
      <c r="E746" s="56">
        <v>45301</v>
      </c>
      <c r="F746" s="56">
        <v>45312</v>
      </c>
      <c r="G746" s="67" t="s">
        <v>234</v>
      </c>
      <c r="H746" s="60" t="s">
        <v>65</v>
      </c>
      <c r="I746" s="89">
        <v>45346</v>
      </c>
      <c r="J746" s="67" t="s">
        <v>234</v>
      </c>
      <c r="K746" s="62">
        <v>200</v>
      </c>
      <c r="L746" s="73"/>
      <c r="M746" s="73"/>
      <c r="N746" s="73"/>
    </row>
    <row r="747" spans="1:14" ht="18.45" customHeight="1" x14ac:dyDescent="0.3">
      <c r="A747" s="48" t="s">
        <v>1692</v>
      </c>
      <c r="B747" s="48" t="s">
        <v>151</v>
      </c>
      <c r="C747" s="48" t="s">
        <v>166</v>
      </c>
      <c r="D747" s="62">
        <v>1</v>
      </c>
      <c r="E747" s="56">
        <v>45338</v>
      </c>
      <c r="F747" s="56">
        <v>45342</v>
      </c>
      <c r="G747" s="67" t="s">
        <v>234</v>
      </c>
      <c r="H747" s="60" t="s">
        <v>65</v>
      </c>
      <c r="I747" s="89">
        <v>45346</v>
      </c>
      <c r="J747" s="67" t="s">
        <v>234</v>
      </c>
      <c r="K747" s="62">
        <v>250</v>
      </c>
      <c r="L747" s="73"/>
      <c r="M747" s="73"/>
      <c r="N747" s="73"/>
    </row>
    <row r="748" spans="1:14" ht="18.45" customHeight="1" x14ac:dyDescent="0.3">
      <c r="A748" s="76" t="s">
        <v>1693</v>
      </c>
      <c r="B748" s="60" t="s">
        <v>1694</v>
      </c>
      <c r="C748" s="76" t="s">
        <v>94</v>
      </c>
      <c r="D748" s="60">
        <v>2</v>
      </c>
      <c r="E748" s="89">
        <v>45301</v>
      </c>
      <c r="F748" s="89">
        <v>45302</v>
      </c>
      <c r="G748" s="67" t="s">
        <v>234</v>
      </c>
      <c r="H748" s="60" t="s">
        <v>65</v>
      </c>
      <c r="I748" s="89">
        <v>45346</v>
      </c>
      <c r="J748" s="67" t="s">
        <v>234</v>
      </c>
      <c r="K748" s="60">
        <v>350</v>
      </c>
      <c r="L748" s="73"/>
      <c r="M748" s="73"/>
      <c r="N748" s="73"/>
    </row>
    <row r="749" spans="1:14" ht="18.45" customHeight="1" x14ac:dyDescent="0.3">
      <c r="A749" s="51" t="s">
        <v>1695</v>
      </c>
      <c r="B749" s="51" t="s">
        <v>1696</v>
      </c>
      <c r="C749" s="51" t="s">
        <v>232</v>
      </c>
      <c r="D749" s="51">
        <v>17</v>
      </c>
      <c r="E749" s="58">
        <v>45341</v>
      </c>
      <c r="F749" s="58">
        <v>45342</v>
      </c>
      <c r="G749" s="67" t="s">
        <v>234</v>
      </c>
      <c r="H749" s="51" t="s">
        <v>65</v>
      </c>
      <c r="I749" s="58">
        <v>45346</v>
      </c>
      <c r="J749" s="67" t="s">
        <v>234</v>
      </c>
      <c r="K749" s="51">
        <v>200</v>
      </c>
      <c r="L749" s="73"/>
      <c r="M749" s="73"/>
      <c r="N749" s="73"/>
    </row>
    <row r="750" spans="1:14" ht="18.45" customHeight="1" x14ac:dyDescent="0.3">
      <c r="A750" s="51" t="s">
        <v>1697</v>
      </c>
      <c r="B750" s="51" t="s">
        <v>1698</v>
      </c>
      <c r="C750" s="51" t="s">
        <v>113</v>
      </c>
      <c r="D750" s="51">
        <v>66</v>
      </c>
      <c r="E750" s="58">
        <v>45340</v>
      </c>
      <c r="F750" s="58">
        <v>45342</v>
      </c>
      <c r="G750" s="67" t="s">
        <v>234</v>
      </c>
      <c r="H750" s="51" t="s">
        <v>65</v>
      </c>
      <c r="I750" s="58">
        <v>45346</v>
      </c>
      <c r="J750" s="67" t="s">
        <v>234</v>
      </c>
      <c r="K750" s="51">
        <v>80</v>
      </c>
      <c r="L750" s="73"/>
      <c r="M750" s="73"/>
      <c r="N750" s="73"/>
    </row>
    <row r="751" spans="1:14" ht="18.45" customHeight="1" x14ac:dyDescent="0.3">
      <c r="A751" s="51" t="s">
        <v>1699</v>
      </c>
      <c r="B751" s="51" t="s">
        <v>1700</v>
      </c>
      <c r="C751" s="51" t="s">
        <v>113</v>
      </c>
      <c r="D751" s="51">
        <v>114</v>
      </c>
      <c r="E751" s="58">
        <v>45341</v>
      </c>
      <c r="F751" s="58">
        <v>45342</v>
      </c>
      <c r="G751" s="67" t="s">
        <v>234</v>
      </c>
      <c r="H751" s="51" t="s">
        <v>65</v>
      </c>
      <c r="I751" s="58">
        <v>45346</v>
      </c>
      <c r="J751" s="67" t="s">
        <v>234</v>
      </c>
      <c r="K751" s="51">
        <v>200</v>
      </c>
      <c r="L751" s="73"/>
      <c r="M751" s="73"/>
      <c r="N751" s="73"/>
    </row>
    <row r="752" spans="1:14" ht="18.45" customHeight="1" x14ac:dyDescent="0.3">
      <c r="A752" s="51" t="s">
        <v>1701</v>
      </c>
      <c r="B752" s="51" t="s">
        <v>1702</v>
      </c>
      <c r="C752" s="51" t="s">
        <v>231</v>
      </c>
      <c r="D752" s="51">
        <v>7</v>
      </c>
      <c r="E752" s="58">
        <v>45343</v>
      </c>
      <c r="F752" s="58">
        <v>45343</v>
      </c>
      <c r="G752" s="67" t="s">
        <v>234</v>
      </c>
      <c r="H752" s="51" t="s">
        <v>65</v>
      </c>
      <c r="I752" s="58">
        <v>45346</v>
      </c>
      <c r="J752" s="67" t="s">
        <v>234</v>
      </c>
      <c r="K752" s="51">
        <v>150</v>
      </c>
      <c r="L752" s="73"/>
      <c r="M752" s="73"/>
      <c r="N752" s="73"/>
    </row>
    <row r="753" spans="1:14" ht="18.45" customHeight="1" x14ac:dyDescent="0.3">
      <c r="A753" s="51" t="s">
        <v>1703</v>
      </c>
      <c r="B753" s="51" t="s">
        <v>1704</v>
      </c>
      <c r="C753" s="51" t="s">
        <v>232</v>
      </c>
      <c r="D753" s="51">
        <v>53</v>
      </c>
      <c r="E753" s="58">
        <v>45344</v>
      </c>
      <c r="F753" s="58">
        <v>45344</v>
      </c>
      <c r="G753" s="67" t="s">
        <v>234</v>
      </c>
      <c r="H753" s="51" t="s">
        <v>65</v>
      </c>
      <c r="I753" s="58">
        <v>45346</v>
      </c>
      <c r="J753" s="67" t="s">
        <v>234</v>
      </c>
      <c r="K753" s="51">
        <v>200</v>
      </c>
      <c r="L753" s="73"/>
      <c r="M753" s="73"/>
      <c r="N753" s="73"/>
    </row>
    <row r="754" spans="1:14" ht="18.45" customHeight="1" x14ac:dyDescent="0.3">
      <c r="A754" s="51" t="s">
        <v>1705</v>
      </c>
      <c r="B754" s="51" t="s">
        <v>1706</v>
      </c>
      <c r="C754" s="51" t="s">
        <v>232</v>
      </c>
      <c r="D754" s="51">
        <v>26</v>
      </c>
      <c r="E754" s="58">
        <v>45343</v>
      </c>
      <c r="F754" s="58">
        <v>45343</v>
      </c>
      <c r="G754" s="67" t="s">
        <v>234</v>
      </c>
      <c r="H754" s="51" t="s">
        <v>65</v>
      </c>
      <c r="I754" s="58">
        <v>45346</v>
      </c>
      <c r="J754" s="67" t="s">
        <v>234</v>
      </c>
      <c r="K754" s="51">
        <v>250</v>
      </c>
      <c r="L754" s="73"/>
      <c r="M754" s="73"/>
      <c r="N754" s="73"/>
    </row>
    <row r="755" spans="1:14" ht="18.45" customHeight="1" x14ac:dyDescent="0.3">
      <c r="A755" s="51" t="s">
        <v>1707</v>
      </c>
      <c r="B755" s="51" t="s">
        <v>1708</v>
      </c>
      <c r="C755" s="51" t="s">
        <v>227</v>
      </c>
      <c r="D755" s="51">
        <v>20</v>
      </c>
      <c r="E755" s="58">
        <v>45343</v>
      </c>
      <c r="F755" s="58">
        <v>45343</v>
      </c>
      <c r="G755" s="67" t="s">
        <v>234</v>
      </c>
      <c r="H755" s="51" t="s">
        <v>65</v>
      </c>
      <c r="I755" s="58">
        <v>45346</v>
      </c>
      <c r="J755" s="67" t="s">
        <v>234</v>
      </c>
      <c r="K755" s="51">
        <v>150</v>
      </c>
      <c r="L755" s="73"/>
      <c r="M755" s="73"/>
      <c r="N755" s="73"/>
    </row>
    <row r="756" spans="1:14" ht="18.45" customHeight="1" x14ac:dyDescent="0.3">
      <c r="A756" s="51" t="s">
        <v>1709</v>
      </c>
      <c r="B756" s="51" t="s">
        <v>1710</v>
      </c>
      <c r="C756" s="51" t="s">
        <v>227</v>
      </c>
      <c r="D756" s="51">
        <v>18</v>
      </c>
      <c r="E756" s="58">
        <v>45343</v>
      </c>
      <c r="F756" s="58">
        <v>45343</v>
      </c>
      <c r="G756" s="67" t="s">
        <v>234</v>
      </c>
      <c r="H756" s="51" t="s">
        <v>65</v>
      </c>
      <c r="I756" s="58">
        <v>45346</v>
      </c>
      <c r="J756" s="67" t="s">
        <v>234</v>
      </c>
      <c r="K756" s="51">
        <v>150</v>
      </c>
      <c r="L756" s="73"/>
      <c r="M756" s="73"/>
      <c r="N756" s="73"/>
    </row>
    <row r="757" spans="1:14" ht="18.45" customHeight="1" x14ac:dyDescent="0.3">
      <c r="A757" s="51" t="s">
        <v>1711</v>
      </c>
      <c r="B757" s="51" t="s">
        <v>1712</v>
      </c>
      <c r="C757" s="51" t="s">
        <v>231</v>
      </c>
      <c r="D757" s="51">
        <v>5</v>
      </c>
      <c r="E757" s="58">
        <v>45344</v>
      </c>
      <c r="F757" s="58">
        <v>45344</v>
      </c>
      <c r="G757" s="67" t="s">
        <v>234</v>
      </c>
      <c r="H757" s="51" t="s">
        <v>65</v>
      </c>
      <c r="I757" s="58">
        <v>45346</v>
      </c>
      <c r="J757" s="67" t="s">
        <v>234</v>
      </c>
      <c r="K757" s="51">
        <v>100</v>
      </c>
      <c r="L757" s="73"/>
      <c r="M757" s="73"/>
      <c r="N757" s="73"/>
    </row>
    <row r="758" spans="1:14" ht="18.45" customHeight="1" x14ac:dyDescent="0.3">
      <c r="A758" s="51" t="s">
        <v>1713</v>
      </c>
      <c r="B758" s="51" t="s">
        <v>1714</v>
      </c>
      <c r="C758" s="51" t="s">
        <v>231</v>
      </c>
      <c r="D758" s="51">
        <v>5</v>
      </c>
      <c r="E758" s="58">
        <v>45344</v>
      </c>
      <c r="F758" s="58">
        <v>45344</v>
      </c>
      <c r="G758" s="67" t="s">
        <v>234</v>
      </c>
      <c r="H758" s="51" t="s">
        <v>65</v>
      </c>
      <c r="I758" s="58">
        <v>45346</v>
      </c>
      <c r="J758" s="67" t="s">
        <v>234</v>
      </c>
      <c r="K758" s="51">
        <v>150</v>
      </c>
      <c r="L758" s="73"/>
      <c r="M758" s="73"/>
      <c r="N758" s="73"/>
    </row>
    <row r="759" spans="1:14" ht="18.45" customHeight="1" x14ac:dyDescent="0.3">
      <c r="A759" s="51" t="s">
        <v>1715</v>
      </c>
      <c r="B759" s="51" t="s">
        <v>1716</v>
      </c>
      <c r="C759" s="51" t="s">
        <v>231</v>
      </c>
      <c r="D759" s="51">
        <v>17</v>
      </c>
      <c r="E759" s="58">
        <v>45343</v>
      </c>
      <c r="F759" s="58">
        <v>45343</v>
      </c>
      <c r="G759" s="67" t="s">
        <v>234</v>
      </c>
      <c r="H759" s="51" t="s">
        <v>65</v>
      </c>
      <c r="I759" s="58">
        <v>45346</v>
      </c>
      <c r="J759" s="67" t="s">
        <v>234</v>
      </c>
      <c r="K759" s="51">
        <v>300</v>
      </c>
      <c r="L759" s="73"/>
      <c r="M759" s="73"/>
      <c r="N759" s="73"/>
    </row>
    <row r="760" spans="1:14" ht="18.45" customHeight="1" x14ac:dyDescent="0.3">
      <c r="A760" s="51" t="s">
        <v>1717</v>
      </c>
      <c r="B760" s="51" t="s">
        <v>1718</v>
      </c>
      <c r="C760" s="51" t="s">
        <v>218</v>
      </c>
      <c r="D760" s="51">
        <v>3</v>
      </c>
      <c r="E760" s="54">
        <v>45344</v>
      </c>
      <c r="F760" s="54">
        <v>45345</v>
      </c>
      <c r="G760" s="67" t="s">
        <v>234</v>
      </c>
      <c r="H760" s="51" t="s">
        <v>65</v>
      </c>
      <c r="I760" s="58">
        <v>45348</v>
      </c>
      <c r="J760" s="67" t="s">
        <v>234</v>
      </c>
      <c r="K760" s="51">
        <v>200</v>
      </c>
      <c r="L760" s="73"/>
      <c r="M760" s="73"/>
      <c r="N760" s="73"/>
    </row>
    <row r="761" spans="1:14" ht="18.45" customHeight="1" x14ac:dyDescent="0.3">
      <c r="A761" s="51" t="s">
        <v>1719</v>
      </c>
      <c r="B761" s="51" t="s">
        <v>1720</v>
      </c>
      <c r="C761" s="51" t="s">
        <v>224</v>
      </c>
      <c r="D761" s="51">
        <v>2</v>
      </c>
      <c r="E761" s="54">
        <v>45340</v>
      </c>
      <c r="F761" s="54">
        <v>45342</v>
      </c>
      <c r="G761" s="67" t="s">
        <v>234</v>
      </c>
      <c r="H761" s="51" t="s">
        <v>65</v>
      </c>
      <c r="I761" s="58">
        <v>45348</v>
      </c>
      <c r="J761" s="67" t="s">
        <v>234</v>
      </c>
      <c r="K761" s="51">
        <v>300</v>
      </c>
      <c r="L761" s="73"/>
      <c r="M761" s="73"/>
      <c r="N761" s="73"/>
    </row>
    <row r="762" spans="1:14" ht="18.45" customHeight="1" x14ac:dyDescent="0.3">
      <c r="A762" s="51" t="s">
        <v>1721</v>
      </c>
      <c r="B762" s="51" t="s">
        <v>1722</v>
      </c>
      <c r="C762" s="51" t="s">
        <v>223</v>
      </c>
      <c r="D762" s="51">
        <v>59</v>
      </c>
      <c r="E762" s="54">
        <v>45345</v>
      </c>
      <c r="F762" s="54">
        <v>45346</v>
      </c>
      <c r="G762" s="67" t="s">
        <v>234</v>
      </c>
      <c r="H762" s="51" t="s">
        <v>65</v>
      </c>
      <c r="I762" s="58">
        <v>45348</v>
      </c>
      <c r="J762" s="67" t="s">
        <v>234</v>
      </c>
      <c r="K762" s="51">
        <v>200</v>
      </c>
      <c r="L762" s="73"/>
      <c r="M762" s="73"/>
      <c r="N762" s="73"/>
    </row>
    <row r="763" spans="1:14" ht="18.45" customHeight="1" x14ac:dyDescent="0.3">
      <c r="A763" s="51" t="s">
        <v>1723</v>
      </c>
      <c r="B763" s="51" t="s">
        <v>1724</v>
      </c>
      <c r="C763" s="51" t="s">
        <v>223</v>
      </c>
      <c r="D763" s="51">
        <v>59</v>
      </c>
      <c r="E763" s="54">
        <v>45344</v>
      </c>
      <c r="F763" s="54">
        <v>45348</v>
      </c>
      <c r="G763" s="67" t="s">
        <v>234</v>
      </c>
      <c r="H763" s="51" t="s">
        <v>65</v>
      </c>
      <c r="I763" s="58">
        <v>45348</v>
      </c>
      <c r="J763" s="67" t="s">
        <v>234</v>
      </c>
      <c r="K763" s="51">
        <v>200</v>
      </c>
      <c r="L763" s="73"/>
      <c r="M763" s="73"/>
      <c r="N763" s="73"/>
    </row>
    <row r="764" spans="1:14" ht="18.45" customHeight="1" x14ac:dyDescent="0.3">
      <c r="A764" s="51" t="s">
        <v>1725</v>
      </c>
      <c r="B764" s="51" t="s">
        <v>1726</v>
      </c>
      <c r="C764" s="51" t="s">
        <v>223</v>
      </c>
      <c r="D764" s="51">
        <v>59</v>
      </c>
      <c r="E764" s="54">
        <v>45344</v>
      </c>
      <c r="F764" s="54">
        <v>45348</v>
      </c>
      <c r="G764" s="67" t="s">
        <v>234</v>
      </c>
      <c r="H764" s="51" t="s">
        <v>65</v>
      </c>
      <c r="I764" s="58">
        <v>45348</v>
      </c>
      <c r="J764" s="67" t="s">
        <v>234</v>
      </c>
      <c r="K764" s="51">
        <v>200</v>
      </c>
      <c r="L764" s="73"/>
      <c r="M764" s="73"/>
      <c r="N764" s="73"/>
    </row>
    <row r="765" spans="1:14" ht="18.45" customHeight="1" x14ac:dyDescent="0.3">
      <c r="A765" s="51" t="s">
        <v>1727</v>
      </c>
      <c r="B765" s="51" t="s">
        <v>1728</v>
      </c>
      <c r="C765" s="51" t="s">
        <v>223</v>
      </c>
      <c r="D765" s="51">
        <v>58</v>
      </c>
      <c r="E765" s="54">
        <v>45345</v>
      </c>
      <c r="F765" s="54">
        <v>45348</v>
      </c>
      <c r="G765" s="67" t="s">
        <v>234</v>
      </c>
      <c r="H765" s="51" t="s">
        <v>65</v>
      </c>
      <c r="I765" s="58">
        <v>45348</v>
      </c>
      <c r="J765" s="67" t="s">
        <v>234</v>
      </c>
      <c r="K765" s="51">
        <v>300</v>
      </c>
      <c r="L765" s="73"/>
      <c r="M765" s="73"/>
      <c r="N765" s="73"/>
    </row>
    <row r="766" spans="1:14" ht="18.45" customHeight="1" x14ac:dyDescent="0.3">
      <c r="A766" s="51" t="s">
        <v>1729</v>
      </c>
      <c r="B766" s="51" t="s">
        <v>1730</v>
      </c>
      <c r="C766" s="51" t="s">
        <v>223</v>
      </c>
      <c r="D766" s="51">
        <v>109</v>
      </c>
      <c r="E766" s="54">
        <v>45345</v>
      </c>
      <c r="F766" s="54">
        <v>45346</v>
      </c>
      <c r="G766" s="67" t="s">
        <v>234</v>
      </c>
      <c r="H766" s="51" t="s">
        <v>65</v>
      </c>
      <c r="I766" s="58">
        <v>45348</v>
      </c>
      <c r="J766" s="67" t="s">
        <v>234</v>
      </c>
      <c r="K766" s="51">
        <v>300</v>
      </c>
      <c r="L766" s="73"/>
      <c r="M766" s="73"/>
      <c r="N766" s="73"/>
    </row>
    <row r="767" spans="1:14" ht="18.45" customHeight="1" x14ac:dyDescent="0.3">
      <c r="A767" s="51" t="s">
        <v>1731</v>
      </c>
      <c r="B767" s="51" t="s">
        <v>1732</v>
      </c>
      <c r="C767" s="51" t="s">
        <v>113</v>
      </c>
      <c r="D767" s="51">
        <v>87</v>
      </c>
      <c r="E767" s="58">
        <v>45342</v>
      </c>
      <c r="F767" s="58">
        <v>45343</v>
      </c>
      <c r="G767" s="67" t="s">
        <v>234</v>
      </c>
      <c r="H767" s="51" t="s">
        <v>65</v>
      </c>
      <c r="I767" s="58">
        <v>45348</v>
      </c>
      <c r="J767" s="67" t="s">
        <v>234</v>
      </c>
      <c r="K767" s="51">
        <v>250</v>
      </c>
      <c r="L767" s="73"/>
      <c r="M767" s="73"/>
      <c r="N767" s="73"/>
    </row>
    <row r="768" spans="1:14" ht="18.45" customHeight="1" x14ac:dyDescent="0.3">
      <c r="A768" s="51" t="s">
        <v>1733</v>
      </c>
      <c r="B768" s="51" t="s">
        <v>1734</v>
      </c>
      <c r="C768" s="51" t="s">
        <v>2480</v>
      </c>
      <c r="D768" s="51">
        <v>11</v>
      </c>
      <c r="E768" s="58">
        <v>45344</v>
      </c>
      <c r="F768" s="58">
        <v>45344</v>
      </c>
      <c r="G768" s="67" t="s">
        <v>234</v>
      </c>
      <c r="H768" s="51" t="s">
        <v>65</v>
      </c>
      <c r="I768" s="58">
        <v>45348</v>
      </c>
      <c r="J768" s="67" t="s">
        <v>234</v>
      </c>
      <c r="K768" s="51">
        <v>200</v>
      </c>
      <c r="L768" s="73"/>
      <c r="M768" s="73"/>
      <c r="N768" s="73"/>
    </row>
    <row r="769" spans="1:14" ht="18.45" customHeight="1" x14ac:dyDescent="0.3">
      <c r="A769" s="51" t="s">
        <v>1735</v>
      </c>
      <c r="B769" s="51" t="s">
        <v>1736</v>
      </c>
      <c r="C769" s="51" t="s">
        <v>228</v>
      </c>
      <c r="D769" s="51">
        <v>13</v>
      </c>
      <c r="E769" s="58">
        <v>45317</v>
      </c>
      <c r="F769" s="58">
        <v>45318</v>
      </c>
      <c r="G769" s="67" t="s">
        <v>234</v>
      </c>
      <c r="H769" s="51" t="s">
        <v>65</v>
      </c>
      <c r="I769" s="58">
        <v>45348</v>
      </c>
      <c r="J769" s="67" t="s">
        <v>234</v>
      </c>
      <c r="K769" s="51">
        <v>200</v>
      </c>
      <c r="L769" s="73"/>
      <c r="M769" s="73"/>
      <c r="N769" s="73"/>
    </row>
    <row r="770" spans="1:14" ht="18.45" customHeight="1" x14ac:dyDescent="0.3">
      <c r="A770" s="51" t="s">
        <v>1737</v>
      </c>
      <c r="B770" s="51" t="s">
        <v>1738</v>
      </c>
      <c r="C770" s="51" t="s">
        <v>228</v>
      </c>
      <c r="D770" s="51">
        <v>13</v>
      </c>
      <c r="E770" s="58">
        <v>45322</v>
      </c>
      <c r="F770" s="58">
        <v>45323</v>
      </c>
      <c r="G770" s="67" t="s">
        <v>234</v>
      </c>
      <c r="H770" s="51" t="s">
        <v>65</v>
      </c>
      <c r="I770" s="58">
        <v>45348</v>
      </c>
      <c r="J770" s="67" t="s">
        <v>234</v>
      </c>
      <c r="K770" s="51">
        <v>200</v>
      </c>
      <c r="L770" s="73"/>
      <c r="M770" s="73"/>
      <c r="N770" s="73"/>
    </row>
    <row r="771" spans="1:14" ht="18.45" customHeight="1" x14ac:dyDescent="0.3">
      <c r="A771" s="51" t="s">
        <v>1739</v>
      </c>
      <c r="B771" s="51" t="s">
        <v>1740</v>
      </c>
      <c r="C771" s="51" t="s">
        <v>228</v>
      </c>
      <c r="D771" s="51">
        <v>3</v>
      </c>
      <c r="E771" s="58">
        <v>45343</v>
      </c>
      <c r="F771" s="58">
        <v>45343</v>
      </c>
      <c r="G771" s="67" t="s">
        <v>234</v>
      </c>
      <c r="H771" s="51" t="s">
        <v>65</v>
      </c>
      <c r="I771" s="58">
        <v>45348</v>
      </c>
      <c r="J771" s="67" t="s">
        <v>234</v>
      </c>
      <c r="K771" s="51">
        <v>150</v>
      </c>
      <c r="L771" s="73"/>
      <c r="M771" s="73"/>
      <c r="N771" s="73"/>
    </row>
    <row r="772" spans="1:14" ht="18.45" customHeight="1" x14ac:dyDescent="0.3">
      <c r="A772" s="51" t="s">
        <v>1741</v>
      </c>
      <c r="B772" s="51" t="s">
        <v>1742</v>
      </c>
      <c r="C772" s="51" t="s">
        <v>231</v>
      </c>
      <c r="D772" s="51">
        <v>10</v>
      </c>
      <c r="E772" s="58">
        <v>45342</v>
      </c>
      <c r="F772" s="58">
        <v>45342</v>
      </c>
      <c r="G772" s="67" t="s">
        <v>234</v>
      </c>
      <c r="H772" s="51" t="s">
        <v>65</v>
      </c>
      <c r="I772" s="58">
        <v>45348</v>
      </c>
      <c r="J772" s="67" t="s">
        <v>234</v>
      </c>
      <c r="K772" s="51">
        <v>250</v>
      </c>
      <c r="L772" s="73"/>
      <c r="M772" s="73"/>
      <c r="N772" s="73"/>
    </row>
    <row r="773" spans="1:14" ht="18.45" customHeight="1" x14ac:dyDescent="0.3">
      <c r="A773" s="51" t="s">
        <v>1743</v>
      </c>
      <c r="B773" s="51" t="s">
        <v>1744</v>
      </c>
      <c r="C773" s="51" t="s">
        <v>231</v>
      </c>
      <c r="D773" s="51">
        <v>10</v>
      </c>
      <c r="E773" s="58">
        <v>45343</v>
      </c>
      <c r="F773" s="58">
        <v>45344</v>
      </c>
      <c r="G773" s="67" t="s">
        <v>234</v>
      </c>
      <c r="H773" s="51" t="s">
        <v>65</v>
      </c>
      <c r="I773" s="58">
        <v>45348</v>
      </c>
      <c r="J773" s="67" t="s">
        <v>234</v>
      </c>
      <c r="K773" s="51">
        <v>100</v>
      </c>
      <c r="L773" s="73"/>
      <c r="M773" s="73"/>
      <c r="N773" s="73"/>
    </row>
    <row r="774" spans="1:14" ht="18.45" customHeight="1" x14ac:dyDescent="0.3">
      <c r="A774" s="76" t="s">
        <v>1745</v>
      </c>
      <c r="B774" s="60" t="s">
        <v>1746</v>
      </c>
      <c r="C774" s="76" t="s">
        <v>99</v>
      </c>
      <c r="D774" s="60">
        <v>83</v>
      </c>
      <c r="E774" s="89">
        <v>45235</v>
      </c>
      <c r="F774" s="89">
        <v>45236</v>
      </c>
      <c r="G774" s="67" t="s">
        <v>234</v>
      </c>
      <c r="H774" s="60" t="s">
        <v>65</v>
      </c>
      <c r="I774" s="89">
        <v>45348</v>
      </c>
      <c r="J774" s="67" t="s">
        <v>234</v>
      </c>
      <c r="K774" s="60">
        <v>100</v>
      </c>
      <c r="L774" s="73"/>
      <c r="M774" s="73"/>
      <c r="N774" s="73"/>
    </row>
    <row r="775" spans="1:14" ht="18.45" customHeight="1" x14ac:dyDescent="0.3">
      <c r="A775" s="48" t="s">
        <v>1747</v>
      </c>
      <c r="B775" s="50" t="s">
        <v>1748</v>
      </c>
      <c r="C775" s="48" t="s">
        <v>94</v>
      </c>
      <c r="D775" s="62">
        <v>60</v>
      </c>
      <c r="E775" s="54">
        <v>45342</v>
      </c>
      <c r="F775" s="54">
        <v>45343</v>
      </c>
      <c r="G775" s="67" t="s">
        <v>234</v>
      </c>
      <c r="H775" s="60" t="s">
        <v>65</v>
      </c>
      <c r="I775" s="89">
        <v>45348</v>
      </c>
      <c r="J775" s="67" t="s">
        <v>234</v>
      </c>
      <c r="K775" s="62">
        <v>350</v>
      </c>
      <c r="L775" s="73"/>
      <c r="M775" s="73"/>
      <c r="N775" s="73"/>
    </row>
    <row r="776" spans="1:14" ht="18.45" customHeight="1" x14ac:dyDescent="0.3">
      <c r="A776" s="48" t="s">
        <v>1749</v>
      </c>
      <c r="B776" s="48" t="s">
        <v>1750</v>
      </c>
      <c r="C776" s="48" t="s">
        <v>94</v>
      </c>
      <c r="D776" s="62">
        <v>57</v>
      </c>
      <c r="E776" s="56">
        <v>45341</v>
      </c>
      <c r="F776" s="56">
        <v>45342</v>
      </c>
      <c r="G776" s="67" t="s">
        <v>234</v>
      </c>
      <c r="H776" s="60" t="s">
        <v>65</v>
      </c>
      <c r="I776" s="89">
        <v>45348</v>
      </c>
      <c r="J776" s="67" t="s">
        <v>234</v>
      </c>
      <c r="K776" s="62">
        <v>380</v>
      </c>
      <c r="L776" s="73"/>
      <c r="M776" s="73"/>
      <c r="N776" s="73"/>
    </row>
    <row r="777" spans="1:14" ht="18.45" customHeight="1" x14ac:dyDescent="0.3">
      <c r="A777" s="48" t="s">
        <v>1751</v>
      </c>
      <c r="B777" s="48" t="s">
        <v>1752</v>
      </c>
      <c r="C777" s="76" t="s">
        <v>99</v>
      </c>
      <c r="D777" s="62">
        <v>68</v>
      </c>
      <c r="E777" s="56">
        <v>45339</v>
      </c>
      <c r="F777" s="56">
        <v>45341</v>
      </c>
      <c r="G777" s="67" t="s">
        <v>234</v>
      </c>
      <c r="H777" s="60" t="s">
        <v>65</v>
      </c>
      <c r="I777" s="89">
        <v>45348</v>
      </c>
      <c r="J777" s="67" t="s">
        <v>234</v>
      </c>
      <c r="K777" s="62">
        <v>400</v>
      </c>
      <c r="L777" s="73"/>
      <c r="M777" s="73"/>
      <c r="N777" s="73"/>
    </row>
    <row r="778" spans="1:14" ht="18.45" customHeight="1" x14ac:dyDescent="0.3">
      <c r="A778" s="76" t="s">
        <v>1753</v>
      </c>
      <c r="B778" s="60" t="s">
        <v>1754</v>
      </c>
      <c r="C778" s="76" t="s">
        <v>135</v>
      </c>
      <c r="D778" s="60">
        <v>44</v>
      </c>
      <c r="E778" s="89">
        <v>45328</v>
      </c>
      <c r="F778" s="89">
        <v>45330</v>
      </c>
      <c r="G778" s="67" t="s">
        <v>234</v>
      </c>
      <c r="H778" s="60" t="s">
        <v>65</v>
      </c>
      <c r="I778" s="89">
        <v>45348</v>
      </c>
      <c r="J778" s="67" t="s">
        <v>234</v>
      </c>
      <c r="K778" s="60">
        <v>350</v>
      </c>
      <c r="L778" s="73"/>
      <c r="M778" s="73"/>
      <c r="N778" s="73"/>
    </row>
    <row r="779" spans="1:14" ht="18.45" customHeight="1" x14ac:dyDescent="0.3">
      <c r="A779" s="48" t="s">
        <v>1755</v>
      </c>
      <c r="B779" s="50" t="s">
        <v>1756</v>
      </c>
      <c r="C779" s="48" t="s">
        <v>135</v>
      </c>
      <c r="D779" s="62">
        <v>9</v>
      </c>
      <c r="E779" s="54">
        <v>45342</v>
      </c>
      <c r="F779" s="54">
        <v>45343</v>
      </c>
      <c r="G779" s="67" t="s">
        <v>234</v>
      </c>
      <c r="H779" s="60" t="s">
        <v>65</v>
      </c>
      <c r="I779" s="89">
        <v>45348</v>
      </c>
      <c r="J779" s="67" t="s">
        <v>234</v>
      </c>
      <c r="K779" s="62">
        <v>300</v>
      </c>
      <c r="L779" s="73"/>
      <c r="M779" s="73"/>
      <c r="N779" s="73"/>
    </row>
    <row r="780" spans="1:14" ht="18.45" customHeight="1" x14ac:dyDescent="0.3">
      <c r="A780" s="48" t="s">
        <v>1757</v>
      </c>
      <c r="B780" s="50" t="s">
        <v>1758</v>
      </c>
      <c r="C780" s="48" t="s">
        <v>135</v>
      </c>
      <c r="D780" s="62">
        <v>67</v>
      </c>
      <c r="E780" s="54">
        <v>45344</v>
      </c>
      <c r="F780" s="54">
        <v>45345</v>
      </c>
      <c r="G780" s="67" t="s">
        <v>234</v>
      </c>
      <c r="H780" s="60" t="s">
        <v>65</v>
      </c>
      <c r="I780" s="89">
        <v>45348</v>
      </c>
      <c r="J780" s="67" t="s">
        <v>234</v>
      </c>
      <c r="K780" s="62">
        <v>300</v>
      </c>
      <c r="L780" s="73"/>
      <c r="M780" s="73"/>
      <c r="N780" s="73"/>
    </row>
    <row r="781" spans="1:14" ht="18.45" customHeight="1" x14ac:dyDescent="0.3">
      <c r="A781" s="48" t="s">
        <v>1759</v>
      </c>
      <c r="B781" s="50" t="s">
        <v>1760</v>
      </c>
      <c r="C781" s="48" t="s">
        <v>135</v>
      </c>
      <c r="D781" s="62">
        <v>58</v>
      </c>
      <c r="E781" s="54">
        <v>45344</v>
      </c>
      <c r="F781" s="54">
        <v>45345</v>
      </c>
      <c r="G781" s="67" t="s">
        <v>234</v>
      </c>
      <c r="H781" s="60" t="s">
        <v>65</v>
      </c>
      <c r="I781" s="89">
        <v>45348</v>
      </c>
      <c r="J781" s="67" t="s">
        <v>234</v>
      </c>
      <c r="K781" s="62">
        <v>150</v>
      </c>
      <c r="L781" s="73"/>
      <c r="M781" s="73"/>
      <c r="N781" s="73"/>
    </row>
    <row r="782" spans="1:14" ht="18.45" customHeight="1" x14ac:dyDescent="0.3">
      <c r="A782" s="76" t="s">
        <v>1761</v>
      </c>
      <c r="B782" s="60" t="s">
        <v>1762</v>
      </c>
      <c r="C782" s="76" t="s">
        <v>99</v>
      </c>
      <c r="D782" s="60">
        <v>85</v>
      </c>
      <c r="E782" s="89">
        <v>45319</v>
      </c>
      <c r="F782" s="89">
        <v>45320</v>
      </c>
      <c r="G782" s="67" t="s">
        <v>234</v>
      </c>
      <c r="H782" s="60" t="s">
        <v>65</v>
      </c>
      <c r="I782" s="89">
        <v>45348</v>
      </c>
      <c r="J782" s="67" t="s">
        <v>234</v>
      </c>
      <c r="K782" s="60">
        <v>200</v>
      </c>
      <c r="L782" s="73"/>
      <c r="M782" s="73"/>
      <c r="N782" s="73"/>
    </row>
    <row r="783" spans="1:14" ht="18.45" customHeight="1" x14ac:dyDescent="0.3">
      <c r="A783" s="76" t="s">
        <v>1763</v>
      </c>
      <c r="B783" s="60" t="s">
        <v>1764</v>
      </c>
      <c r="C783" s="76" t="s">
        <v>94</v>
      </c>
      <c r="D783" s="60">
        <v>63</v>
      </c>
      <c r="E783" s="89">
        <v>45110</v>
      </c>
      <c r="F783" s="89">
        <v>45190</v>
      </c>
      <c r="G783" s="67" t="s">
        <v>234</v>
      </c>
      <c r="H783" s="60" t="s">
        <v>65</v>
      </c>
      <c r="I783" s="89">
        <v>45349</v>
      </c>
      <c r="J783" s="67" t="s">
        <v>234</v>
      </c>
      <c r="K783" s="60">
        <v>400</v>
      </c>
      <c r="L783" s="73"/>
      <c r="M783" s="73"/>
      <c r="N783" s="73"/>
    </row>
    <row r="784" spans="1:14" ht="18.45" customHeight="1" x14ac:dyDescent="0.3">
      <c r="A784" s="76" t="s">
        <v>1765</v>
      </c>
      <c r="B784" s="60" t="s">
        <v>1766</v>
      </c>
      <c r="C784" s="76" t="s">
        <v>105</v>
      </c>
      <c r="D784" s="60">
        <v>193</v>
      </c>
      <c r="E784" s="89">
        <v>45269</v>
      </c>
      <c r="F784" s="89">
        <v>45269</v>
      </c>
      <c r="G784" s="67" t="s">
        <v>234</v>
      </c>
      <c r="H784" s="60" t="s">
        <v>65</v>
      </c>
      <c r="I784" s="89">
        <v>45349</v>
      </c>
      <c r="J784" s="67" t="s">
        <v>234</v>
      </c>
      <c r="K784" s="60">
        <v>100</v>
      </c>
      <c r="L784" s="73"/>
      <c r="M784" s="73"/>
      <c r="N784" s="73"/>
    </row>
    <row r="785" spans="1:14" ht="18.45" customHeight="1" x14ac:dyDescent="0.3">
      <c r="A785" s="76" t="s">
        <v>1767</v>
      </c>
      <c r="B785" s="60" t="s">
        <v>1768</v>
      </c>
      <c r="C785" s="76" t="s">
        <v>2503</v>
      </c>
      <c r="D785" s="60">
        <v>8</v>
      </c>
      <c r="E785" s="89">
        <v>45230</v>
      </c>
      <c r="F785" s="89">
        <v>45232</v>
      </c>
      <c r="G785" s="67" t="s">
        <v>234</v>
      </c>
      <c r="H785" s="60" t="s">
        <v>65</v>
      </c>
      <c r="I785" s="89">
        <v>45349</v>
      </c>
      <c r="J785" s="67" t="s">
        <v>234</v>
      </c>
      <c r="K785" s="60">
        <v>570</v>
      </c>
      <c r="L785" s="73"/>
      <c r="M785" s="73"/>
      <c r="N785" s="73"/>
    </row>
    <row r="786" spans="1:14" ht="18.45" customHeight="1" x14ac:dyDescent="0.3">
      <c r="A786" s="99" t="s">
        <v>1769</v>
      </c>
      <c r="B786" s="75" t="s">
        <v>1770</v>
      </c>
      <c r="C786" s="99" t="s">
        <v>99</v>
      </c>
      <c r="D786" s="71">
        <v>65</v>
      </c>
      <c r="E786" s="85">
        <v>45344</v>
      </c>
      <c r="F786" s="85">
        <v>45348</v>
      </c>
      <c r="G786" s="67" t="s">
        <v>234</v>
      </c>
      <c r="H786" s="60" t="s">
        <v>65</v>
      </c>
      <c r="I786" s="89">
        <v>45349</v>
      </c>
      <c r="J786" s="67" t="s">
        <v>234</v>
      </c>
      <c r="K786" s="71">
        <v>250</v>
      </c>
      <c r="L786" s="73"/>
      <c r="M786" s="73"/>
      <c r="N786" s="73"/>
    </row>
    <row r="787" spans="1:14" ht="18.45" customHeight="1" x14ac:dyDescent="0.3">
      <c r="A787" s="51" t="s">
        <v>1771</v>
      </c>
      <c r="B787" s="51" t="s">
        <v>1772</v>
      </c>
      <c r="C787" s="51" t="s">
        <v>223</v>
      </c>
      <c r="D787" s="51">
        <v>5</v>
      </c>
      <c r="E787" s="54">
        <v>45344</v>
      </c>
      <c r="F787" s="54">
        <v>45348</v>
      </c>
      <c r="G787" s="67" t="s">
        <v>234</v>
      </c>
      <c r="H787" s="51" t="s">
        <v>65</v>
      </c>
      <c r="I787" s="58">
        <v>45349</v>
      </c>
      <c r="J787" s="67" t="s">
        <v>234</v>
      </c>
      <c r="K787" s="51">
        <v>300</v>
      </c>
      <c r="L787" s="73"/>
      <c r="M787" s="73"/>
      <c r="N787" s="73"/>
    </row>
    <row r="788" spans="1:14" ht="18.45" customHeight="1" x14ac:dyDescent="0.3">
      <c r="A788" s="51" t="s">
        <v>1773</v>
      </c>
      <c r="B788" s="51" t="s">
        <v>1774</v>
      </c>
      <c r="C788" s="51" t="s">
        <v>223</v>
      </c>
      <c r="D788" s="51">
        <v>57</v>
      </c>
      <c r="E788" s="54">
        <v>45344</v>
      </c>
      <c r="F788" s="54">
        <v>45348</v>
      </c>
      <c r="G788" s="67" t="s">
        <v>234</v>
      </c>
      <c r="H788" s="51" t="s">
        <v>65</v>
      </c>
      <c r="I788" s="58">
        <v>45349</v>
      </c>
      <c r="J788" s="67" t="s">
        <v>234</v>
      </c>
      <c r="K788" s="51">
        <v>300</v>
      </c>
      <c r="L788" s="73"/>
      <c r="M788" s="73"/>
      <c r="N788" s="73"/>
    </row>
    <row r="789" spans="1:14" ht="18.45" customHeight="1" x14ac:dyDescent="0.3">
      <c r="A789" s="51" t="s">
        <v>1775</v>
      </c>
      <c r="B789" s="51" t="s">
        <v>1776</v>
      </c>
      <c r="C789" s="51" t="s">
        <v>220</v>
      </c>
      <c r="D789" s="51">
        <v>22</v>
      </c>
      <c r="E789" s="54">
        <v>45347</v>
      </c>
      <c r="F789" s="54">
        <v>45348</v>
      </c>
      <c r="G789" s="67" t="s">
        <v>234</v>
      </c>
      <c r="H789" s="51" t="s">
        <v>65</v>
      </c>
      <c r="I789" s="58">
        <v>45349</v>
      </c>
      <c r="J789" s="67" t="s">
        <v>234</v>
      </c>
      <c r="K789" s="51">
        <v>200</v>
      </c>
      <c r="L789" s="73"/>
      <c r="M789" s="73"/>
      <c r="N789" s="73"/>
    </row>
    <row r="790" spans="1:14" ht="18.45" customHeight="1" x14ac:dyDescent="0.3">
      <c r="A790" s="51" t="s">
        <v>1777</v>
      </c>
      <c r="B790" s="51" t="s">
        <v>1778</v>
      </c>
      <c r="C790" s="51" t="s">
        <v>220</v>
      </c>
      <c r="D790" s="51">
        <v>16</v>
      </c>
      <c r="E790" s="54">
        <v>45347</v>
      </c>
      <c r="F790" s="54">
        <v>45348</v>
      </c>
      <c r="G790" s="67" t="s">
        <v>234</v>
      </c>
      <c r="H790" s="51" t="s">
        <v>65</v>
      </c>
      <c r="I790" s="58">
        <v>45349</v>
      </c>
      <c r="J790" s="67" t="s">
        <v>234</v>
      </c>
      <c r="K790" s="51">
        <v>100</v>
      </c>
      <c r="L790" s="73"/>
      <c r="M790" s="73"/>
      <c r="N790" s="73"/>
    </row>
    <row r="791" spans="1:14" ht="18.45" customHeight="1" x14ac:dyDescent="0.3">
      <c r="A791" s="51" t="s">
        <v>1779</v>
      </c>
      <c r="B791" s="51" t="s">
        <v>1780</v>
      </c>
      <c r="C791" s="51" t="s">
        <v>220</v>
      </c>
      <c r="D791" s="51">
        <v>19</v>
      </c>
      <c r="E791" s="54">
        <v>45347</v>
      </c>
      <c r="F791" s="54">
        <v>45348</v>
      </c>
      <c r="G791" s="67" t="s">
        <v>234</v>
      </c>
      <c r="H791" s="51" t="s">
        <v>65</v>
      </c>
      <c r="I791" s="58">
        <v>45349</v>
      </c>
      <c r="J791" s="67" t="s">
        <v>234</v>
      </c>
      <c r="K791" s="51">
        <v>200</v>
      </c>
      <c r="L791" s="73"/>
      <c r="M791" s="73"/>
      <c r="N791" s="73"/>
    </row>
    <row r="792" spans="1:14" ht="18.45" customHeight="1" x14ac:dyDescent="0.3">
      <c r="A792" s="51" t="s">
        <v>1781</v>
      </c>
      <c r="B792" s="51" t="s">
        <v>1782</v>
      </c>
      <c r="C792" s="51" t="s">
        <v>2507</v>
      </c>
      <c r="D792" s="51">
        <v>6</v>
      </c>
      <c r="E792" s="54">
        <v>45347</v>
      </c>
      <c r="F792" s="54">
        <v>45348</v>
      </c>
      <c r="G792" s="67" t="s">
        <v>234</v>
      </c>
      <c r="H792" s="51" t="s">
        <v>65</v>
      </c>
      <c r="I792" s="58">
        <v>45349</v>
      </c>
      <c r="J792" s="67" t="s">
        <v>234</v>
      </c>
      <c r="K792" s="51">
        <v>200</v>
      </c>
      <c r="L792" s="73"/>
      <c r="M792" s="73"/>
      <c r="N792" s="73"/>
    </row>
    <row r="793" spans="1:14" ht="18.45" customHeight="1" x14ac:dyDescent="0.3">
      <c r="A793" s="51" t="s">
        <v>1783</v>
      </c>
      <c r="B793" s="51" t="s">
        <v>1784</v>
      </c>
      <c r="C793" s="51" t="s">
        <v>220</v>
      </c>
      <c r="D793" s="51">
        <v>15</v>
      </c>
      <c r="E793" s="54">
        <v>45347</v>
      </c>
      <c r="F793" s="54">
        <v>45348</v>
      </c>
      <c r="G793" s="67" t="s">
        <v>234</v>
      </c>
      <c r="H793" s="51" t="s">
        <v>65</v>
      </c>
      <c r="I793" s="58">
        <v>45349</v>
      </c>
      <c r="J793" s="67" t="s">
        <v>234</v>
      </c>
      <c r="K793" s="51">
        <v>300</v>
      </c>
      <c r="L793" s="73"/>
      <c r="M793" s="73"/>
      <c r="N793" s="73"/>
    </row>
    <row r="794" spans="1:14" ht="18.45" customHeight="1" x14ac:dyDescent="0.3">
      <c r="A794" s="51" t="s">
        <v>1785</v>
      </c>
      <c r="B794" s="51" t="s">
        <v>1786</v>
      </c>
      <c r="C794" s="51" t="s">
        <v>229</v>
      </c>
      <c r="D794" s="51">
        <v>4</v>
      </c>
      <c r="E794" s="58">
        <v>45344</v>
      </c>
      <c r="F794" s="58">
        <v>45344</v>
      </c>
      <c r="G794" s="67" t="s">
        <v>234</v>
      </c>
      <c r="H794" s="51" t="s">
        <v>65</v>
      </c>
      <c r="I794" s="58">
        <v>45349</v>
      </c>
      <c r="J794" s="67" t="s">
        <v>234</v>
      </c>
      <c r="K794" s="51">
        <v>250</v>
      </c>
      <c r="L794" s="73"/>
      <c r="M794" s="73"/>
      <c r="N794" s="73"/>
    </row>
    <row r="795" spans="1:14" ht="18.45" customHeight="1" x14ac:dyDescent="0.3">
      <c r="A795" s="51" t="s">
        <v>1787</v>
      </c>
      <c r="B795" s="51" t="s">
        <v>1788</v>
      </c>
      <c r="C795" s="51" t="s">
        <v>232</v>
      </c>
      <c r="D795" s="51">
        <v>38</v>
      </c>
      <c r="E795" s="58">
        <v>45345</v>
      </c>
      <c r="F795" s="58">
        <v>45346</v>
      </c>
      <c r="G795" s="67" t="s">
        <v>234</v>
      </c>
      <c r="H795" s="51" t="s">
        <v>65</v>
      </c>
      <c r="I795" s="58">
        <v>45349</v>
      </c>
      <c r="J795" s="67" t="s">
        <v>234</v>
      </c>
      <c r="K795" s="51">
        <v>100</v>
      </c>
      <c r="L795" s="73"/>
      <c r="M795" s="73"/>
      <c r="N795" s="73"/>
    </row>
    <row r="796" spans="1:14" ht="18.45" customHeight="1" x14ac:dyDescent="0.3">
      <c r="A796" s="51" t="s">
        <v>1789</v>
      </c>
      <c r="B796" s="51" t="s">
        <v>1790</v>
      </c>
      <c r="C796" s="51" t="s">
        <v>231</v>
      </c>
      <c r="D796" s="51">
        <v>3</v>
      </c>
      <c r="E796" s="58">
        <v>45344</v>
      </c>
      <c r="F796" s="58">
        <v>45348</v>
      </c>
      <c r="G796" s="67" t="s">
        <v>234</v>
      </c>
      <c r="H796" s="51" t="s">
        <v>65</v>
      </c>
      <c r="I796" s="58">
        <v>45349</v>
      </c>
      <c r="J796" s="67" t="s">
        <v>234</v>
      </c>
      <c r="K796" s="51">
        <v>150</v>
      </c>
      <c r="L796" s="73"/>
      <c r="M796" s="73"/>
      <c r="N796" s="73"/>
    </row>
    <row r="797" spans="1:14" ht="18.45" customHeight="1" x14ac:dyDescent="0.3">
      <c r="A797" s="51" t="s">
        <v>1791</v>
      </c>
      <c r="B797" s="51" t="s">
        <v>1792</v>
      </c>
      <c r="C797" s="51" t="s">
        <v>231</v>
      </c>
      <c r="D797" s="51">
        <v>3</v>
      </c>
      <c r="E797" s="58">
        <v>45345</v>
      </c>
      <c r="F797" s="58">
        <v>45346</v>
      </c>
      <c r="G797" s="67" t="s">
        <v>234</v>
      </c>
      <c r="H797" s="51" t="s">
        <v>65</v>
      </c>
      <c r="I797" s="58">
        <v>45349</v>
      </c>
      <c r="J797" s="67" t="s">
        <v>234</v>
      </c>
      <c r="K797" s="51">
        <v>150</v>
      </c>
      <c r="L797" s="73"/>
      <c r="M797" s="73"/>
      <c r="N797" s="73"/>
    </row>
    <row r="798" spans="1:14" ht="18.45" customHeight="1" x14ac:dyDescent="0.3">
      <c r="A798" s="51" t="s">
        <v>1793</v>
      </c>
      <c r="B798" s="51" t="s">
        <v>1794</v>
      </c>
      <c r="C798" s="51" t="s">
        <v>231</v>
      </c>
      <c r="D798" s="51">
        <v>2</v>
      </c>
      <c r="E798" s="58">
        <v>45344</v>
      </c>
      <c r="F798" s="58">
        <v>45348</v>
      </c>
      <c r="G798" s="67" t="s">
        <v>234</v>
      </c>
      <c r="H798" s="51" t="s">
        <v>65</v>
      </c>
      <c r="I798" s="58">
        <v>45349</v>
      </c>
      <c r="J798" s="67" t="s">
        <v>234</v>
      </c>
      <c r="K798" s="51">
        <v>100</v>
      </c>
      <c r="L798" s="73"/>
      <c r="M798" s="73"/>
      <c r="N798" s="73"/>
    </row>
    <row r="799" spans="1:14" ht="18.45" customHeight="1" x14ac:dyDescent="0.3">
      <c r="A799" s="51" t="s">
        <v>1795</v>
      </c>
      <c r="B799" s="51" t="s">
        <v>1796</v>
      </c>
      <c r="C799" s="51" t="s">
        <v>231</v>
      </c>
      <c r="D799" s="51">
        <v>9</v>
      </c>
      <c r="E799" s="58">
        <v>45345</v>
      </c>
      <c r="F799" s="58">
        <v>45346</v>
      </c>
      <c r="G799" s="67" t="s">
        <v>234</v>
      </c>
      <c r="H799" s="51" t="s">
        <v>65</v>
      </c>
      <c r="I799" s="58">
        <v>45349</v>
      </c>
      <c r="J799" s="67" t="s">
        <v>234</v>
      </c>
      <c r="K799" s="51">
        <v>200</v>
      </c>
      <c r="L799" s="73"/>
      <c r="M799" s="73"/>
      <c r="N799" s="73"/>
    </row>
    <row r="800" spans="1:14" ht="18.45" customHeight="1" x14ac:dyDescent="0.3">
      <c r="A800" s="99" t="s">
        <v>1797</v>
      </c>
      <c r="B800" s="75" t="s">
        <v>1798</v>
      </c>
      <c r="C800" s="99" t="s">
        <v>134</v>
      </c>
      <c r="D800" s="71">
        <v>34</v>
      </c>
      <c r="E800" s="85">
        <v>45344</v>
      </c>
      <c r="F800" s="85">
        <v>45346</v>
      </c>
      <c r="G800" s="67" t="s">
        <v>234</v>
      </c>
      <c r="H800" s="60" t="s">
        <v>65</v>
      </c>
      <c r="I800" s="87">
        <v>45350</v>
      </c>
      <c r="J800" s="67" t="s">
        <v>234</v>
      </c>
      <c r="K800" s="71">
        <v>200</v>
      </c>
      <c r="L800" s="73"/>
      <c r="M800" s="73"/>
      <c r="N800" s="73"/>
    </row>
    <row r="801" spans="1:14" ht="18.45" customHeight="1" x14ac:dyDescent="0.3">
      <c r="A801" s="48" t="s">
        <v>1799</v>
      </c>
      <c r="B801" s="50" t="s">
        <v>1800</v>
      </c>
      <c r="C801" s="48" t="s">
        <v>135</v>
      </c>
      <c r="D801" s="62">
        <v>54</v>
      </c>
      <c r="E801" s="54">
        <v>45343</v>
      </c>
      <c r="F801" s="54">
        <v>45344</v>
      </c>
      <c r="G801" s="67" t="s">
        <v>234</v>
      </c>
      <c r="H801" s="60" t="s">
        <v>65</v>
      </c>
      <c r="I801" s="89">
        <v>45350</v>
      </c>
      <c r="J801" s="67" t="s">
        <v>234</v>
      </c>
      <c r="K801" s="62">
        <v>400</v>
      </c>
      <c r="L801" s="73"/>
      <c r="M801" s="73"/>
      <c r="N801" s="73"/>
    </row>
    <row r="802" spans="1:14" ht="18.45" customHeight="1" x14ac:dyDescent="0.3">
      <c r="A802" s="48" t="s">
        <v>1801</v>
      </c>
      <c r="B802" s="48" t="s">
        <v>1802</v>
      </c>
      <c r="C802" s="48" t="s">
        <v>135</v>
      </c>
      <c r="D802" s="62">
        <v>54</v>
      </c>
      <c r="E802" s="56">
        <v>45340</v>
      </c>
      <c r="F802" s="56">
        <v>45341</v>
      </c>
      <c r="G802" s="67" t="s">
        <v>234</v>
      </c>
      <c r="H802" s="60" t="s">
        <v>65</v>
      </c>
      <c r="I802" s="89">
        <v>45350</v>
      </c>
      <c r="J802" s="67" t="s">
        <v>234</v>
      </c>
      <c r="K802" s="62">
        <v>400</v>
      </c>
      <c r="L802" s="73"/>
      <c r="M802" s="73"/>
      <c r="N802" s="73"/>
    </row>
    <row r="803" spans="1:14" ht="18.45" customHeight="1" x14ac:dyDescent="0.3">
      <c r="A803" s="99" t="s">
        <v>1803</v>
      </c>
      <c r="B803" s="75" t="s">
        <v>1804</v>
      </c>
      <c r="C803" s="99" t="s">
        <v>235</v>
      </c>
      <c r="D803" s="71">
        <v>34</v>
      </c>
      <c r="E803" s="85">
        <v>45209</v>
      </c>
      <c r="F803" s="85">
        <v>45348</v>
      </c>
      <c r="G803" s="67" t="s">
        <v>234</v>
      </c>
      <c r="H803" s="60" t="s">
        <v>65</v>
      </c>
      <c r="I803" s="87">
        <v>45350</v>
      </c>
      <c r="J803" s="67" t="s">
        <v>234</v>
      </c>
      <c r="K803" s="71">
        <v>350</v>
      </c>
      <c r="L803" s="73"/>
      <c r="M803" s="73"/>
      <c r="N803" s="73"/>
    </row>
    <row r="804" spans="1:14" ht="18.45" customHeight="1" x14ac:dyDescent="0.3">
      <c r="A804" s="76" t="s">
        <v>1805</v>
      </c>
      <c r="B804" s="60" t="s">
        <v>1806</v>
      </c>
      <c r="C804" s="76" t="s">
        <v>2503</v>
      </c>
      <c r="D804" s="60">
        <v>47</v>
      </c>
      <c r="E804" s="89">
        <v>45301</v>
      </c>
      <c r="F804" s="89">
        <v>45304</v>
      </c>
      <c r="G804" s="67" t="s">
        <v>234</v>
      </c>
      <c r="H804" s="60" t="s">
        <v>65</v>
      </c>
      <c r="I804" s="89">
        <v>45350</v>
      </c>
      <c r="J804" s="67" t="s">
        <v>234</v>
      </c>
      <c r="K804" s="60">
        <v>100</v>
      </c>
      <c r="L804" s="73"/>
      <c r="M804" s="73"/>
      <c r="N804" s="73"/>
    </row>
    <row r="805" spans="1:14" ht="18.45" customHeight="1" x14ac:dyDescent="0.3">
      <c r="A805" s="99" t="s">
        <v>1807</v>
      </c>
      <c r="B805" s="75" t="s">
        <v>1808</v>
      </c>
      <c r="C805" s="99" t="s">
        <v>120</v>
      </c>
      <c r="D805" s="71">
        <v>6</v>
      </c>
      <c r="E805" s="85">
        <v>45344</v>
      </c>
      <c r="F805" s="85">
        <v>45350</v>
      </c>
      <c r="G805" s="67" t="s">
        <v>234</v>
      </c>
      <c r="H805" s="60" t="s">
        <v>65</v>
      </c>
      <c r="I805" s="87">
        <v>45350</v>
      </c>
      <c r="J805" s="67" t="s">
        <v>234</v>
      </c>
      <c r="K805" s="71">
        <v>50</v>
      </c>
      <c r="L805" s="73"/>
      <c r="M805" s="73"/>
      <c r="N805" s="73"/>
    </row>
    <row r="806" spans="1:14" ht="18.45" customHeight="1" x14ac:dyDescent="0.3">
      <c r="A806" s="51" t="s">
        <v>1809</v>
      </c>
      <c r="B806" s="51" t="s">
        <v>1810</v>
      </c>
      <c r="C806" s="51" t="s">
        <v>224</v>
      </c>
      <c r="D806" s="84">
        <v>10</v>
      </c>
      <c r="E806" s="54">
        <v>45349</v>
      </c>
      <c r="F806" s="54">
        <v>45350</v>
      </c>
      <c r="G806" s="67" t="s">
        <v>234</v>
      </c>
      <c r="H806" s="51" t="s">
        <v>65</v>
      </c>
      <c r="I806" s="54">
        <v>45350</v>
      </c>
      <c r="J806" s="67" t="s">
        <v>234</v>
      </c>
      <c r="K806" s="51">
        <v>300</v>
      </c>
      <c r="L806" s="73"/>
      <c r="M806" s="73"/>
      <c r="N806" s="73"/>
    </row>
    <row r="807" spans="1:14" ht="18.45" customHeight="1" x14ac:dyDescent="0.3">
      <c r="A807" s="51" t="s">
        <v>1811</v>
      </c>
      <c r="B807" s="51" t="s">
        <v>1812</v>
      </c>
      <c r="C807" s="51" t="s">
        <v>223</v>
      </c>
      <c r="D807" s="84">
        <v>87</v>
      </c>
      <c r="E807" s="54">
        <v>45348</v>
      </c>
      <c r="F807" s="54">
        <v>45349</v>
      </c>
      <c r="G807" s="67" t="s">
        <v>234</v>
      </c>
      <c r="H807" s="51" t="s">
        <v>65</v>
      </c>
      <c r="I807" s="54">
        <v>45350</v>
      </c>
      <c r="J807" s="67" t="s">
        <v>234</v>
      </c>
      <c r="K807" s="51">
        <v>350</v>
      </c>
      <c r="L807" s="73"/>
      <c r="M807" s="73"/>
      <c r="N807" s="73"/>
    </row>
    <row r="808" spans="1:14" ht="18.45" customHeight="1" x14ac:dyDescent="0.3">
      <c r="A808" s="51" t="s">
        <v>1813</v>
      </c>
      <c r="B808" s="51" t="s">
        <v>1814</v>
      </c>
      <c r="C808" s="51" t="s">
        <v>223</v>
      </c>
      <c r="D808" s="84">
        <v>86</v>
      </c>
      <c r="E808" s="54">
        <v>45345</v>
      </c>
      <c r="F808" s="54">
        <v>45349</v>
      </c>
      <c r="G808" s="67" t="s">
        <v>234</v>
      </c>
      <c r="H808" s="51" t="s">
        <v>65</v>
      </c>
      <c r="I808" s="54">
        <v>45350</v>
      </c>
      <c r="J808" s="67" t="s">
        <v>234</v>
      </c>
      <c r="K808" s="51">
        <v>300</v>
      </c>
      <c r="L808" s="73"/>
      <c r="M808" s="73"/>
      <c r="N808" s="73"/>
    </row>
    <row r="809" spans="1:14" ht="18.45" customHeight="1" x14ac:dyDescent="0.3">
      <c r="A809" s="51" t="s">
        <v>1815</v>
      </c>
      <c r="B809" s="51" t="s">
        <v>1816</v>
      </c>
      <c r="C809" s="51" t="s">
        <v>223</v>
      </c>
      <c r="D809" s="84">
        <v>54</v>
      </c>
      <c r="E809" s="54">
        <v>45348</v>
      </c>
      <c r="F809" s="54">
        <v>45349</v>
      </c>
      <c r="G809" s="67" t="s">
        <v>234</v>
      </c>
      <c r="H809" s="51" t="s">
        <v>65</v>
      </c>
      <c r="I809" s="54">
        <v>45350</v>
      </c>
      <c r="J809" s="67" t="s">
        <v>234</v>
      </c>
      <c r="K809" s="51">
        <v>200</v>
      </c>
      <c r="L809" s="73"/>
      <c r="M809" s="73"/>
      <c r="N809" s="73"/>
    </row>
    <row r="810" spans="1:14" ht="18.45" customHeight="1" x14ac:dyDescent="0.3">
      <c r="A810" s="51" t="s">
        <v>1817</v>
      </c>
      <c r="B810" s="51" t="s">
        <v>1818</v>
      </c>
      <c r="C810" s="51" t="s">
        <v>223</v>
      </c>
      <c r="D810" s="84">
        <v>58</v>
      </c>
      <c r="E810" s="54">
        <v>45345</v>
      </c>
      <c r="F810" s="54">
        <v>45349</v>
      </c>
      <c r="G810" s="67" t="s">
        <v>234</v>
      </c>
      <c r="H810" s="51" t="s">
        <v>65</v>
      </c>
      <c r="I810" s="54">
        <v>45350</v>
      </c>
      <c r="J810" s="67" t="s">
        <v>234</v>
      </c>
      <c r="K810" s="51">
        <v>200</v>
      </c>
      <c r="L810" s="73"/>
      <c r="M810" s="73"/>
      <c r="N810" s="73"/>
    </row>
    <row r="811" spans="1:14" ht="18.45" customHeight="1" x14ac:dyDescent="0.3">
      <c r="A811" s="51" t="s">
        <v>1819</v>
      </c>
      <c r="B811" s="51" t="s">
        <v>1820</v>
      </c>
      <c r="C811" s="51" t="s">
        <v>223</v>
      </c>
      <c r="D811" s="84">
        <v>58</v>
      </c>
      <c r="E811" s="54">
        <v>45349</v>
      </c>
      <c r="F811" s="54">
        <v>45349</v>
      </c>
      <c r="G811" s="67" t="s">
        <v>234</v>
      </c>
      <c r="H811" s="51" t="s">
        <v>65</v>
      </c>
      <c r="I811" s="54">
        <v>45350</v>
      </c>
      <c r="J811" s="67" t="s">
        <v>234</v>
      </c>
      <c r="K811" s="51">
        <v>300</v>
      </c>
      <c r="L811" s="73"/>
      <c r="M811" s="73"/>
      <c r="N811" s="73"/>
    </row>
    <row r="812" spans="1:14" ht="18.45" customHeight="1" x14ac:dyDescent="0.3">
      <c r="A812" s="51" t="s">
        <v>1821</v>
      </c>
      <c r="B812" s="51" t="s">
        <v>1822</v>
      </c>
      <c r="C812" s="51" t="s">
        <v>223</v>
      </c>
      <c r="D812" s="84">
        <v>14</v>
      </c>
      <c r="E812" s="54">
        <v>45348</v>
      </c>
      <c r="F812" s="54">
        <v>45349</v>
      </c>
      <c r="G812" s="67" t="s">
        <v>234</v>
      </c>
      <c r="H812" s="51" t="s">
        <v>65</v>
      </c>
      <c r="I812" s="54">
        <v>45350</v>
      </c>
      <c r="J812" s="67" t="s">
        <v>234</v>
      </c>
      <c r="K812" s="51">
        <v>300</v>
      </c>
      <c r="L812" s="73"/>
      <c r="M812" s="73"/>
      <c r="N812" s="73"/>
    </row>
    <row r="813" spans="1:14" ht="18.45" customHeight="1" x14ac:dyDescent="0.3">
      <c r="A813" s="51" t="s">
        <v>1823</v>
      </c>
      <c r="B813" s="51" t="s">
        <v>1824</v>
      </c>
      <c r="C813" s="51" t="s">
        <v>223</v>
      </c>
      <c r="D813" s="84">
        <v>14</v>
      </c>
      <c r="E813" s="54">
        <v>45349</v>
      </c>
      <c r="F813" s="54">
        <v>45350</v>
      </c>
      <c r="G813" s="67" t="s">
        <v>234</v>
      </c>
      <c r="H813" s="51" t="s">
        <v>65</v>
      </c>
      <c r="I813" s="54">
        <v>45350</v>
      </c>
      <c r="J813" s="67" t="s">
        <v>234</v>
      </c>
      <c r="K813" s="51">
        <v>200</v>
      </c>
      <c r="L813" s="73"/>
      <c r="M813" s="73"/>
      <c r="N813" s="73"/>
    </row>
    <row r="814" spans="1:14" ht="18.45" customHeight="1" x14ac:dyDescent="0.3">
      <c r="A814" s="51" t="s">
        <v>1825</v>
      </c>
      <c r="B814" s="51" t="s">
        <v>1826</v>
      </c>
      <c r="C814" s="51" t="s">
        <v>2507</v>
      </c>
      <c r="D814" s="84">
        <v>26</v>
      </c>
      <c r="E814" s="54">
        <v>45350</v>
      </c>
      <c r="F814" s="54">
        <v>45350</v>
      </c>
      <c r="G814" s="67" t="s">
        <v>234</v>
      </c>
      <c r="H814" s="51" t="s">
        <v>65</v>
      </c>
      <c r="I814" s="54">
        <v>45350</v>
      </c>
      <c r="J814" s="67" t="s">
        <v>234</v>
      </c>
      <c r="K814" s="51">
        <v>200</v>
      </c>
      <c r="L814" s="73"/>
      <c r="M814" s="73"/>
      <c r="N814" s="73"/>
    </row>
    <row r="815" spans="1:14" ht="18.45" customHeight="1" x14ac:dyDescent="0.3">
      <c r="A815" s="51" t="s">
        <v>1827</v>
      </c>
      <c r="B815" s="51" t="s">
        <v>1828</v>
      </c>
      <c r="C815" s="51" t="s">
        <v>231</v>
      </c>
      <c r="D815" s="51">
        <v>15</v>
      </c>
      <c r="E815" s="58">
        <v>45345</v>
      </c>
      <c r="F815" s="58">
        <v>45346</v>
      </c>
      <c r="G815" s="67" t="s">
        <v>234</v>
      </c>
      <c r="H815" s="51" t="s">
        <v>65</v>
      </c>
      <c r="I815" s="58">
        <v>45350</v>
      </c>
      <c r="J815" s="67" t="s">
        <v>234</v>
      </c>
      <c r="K815" s="51">
        <v>150</v>
      </c>
      <c r="L815" s="73"/>
      <c r="M815" s="73"/>
      <c r="N815" s="73"/>
    </row>
    <row r="816" spans="1:14" ht="18.45" customHeight="1" x14ac:dyDescent="0.3">
      <c r="A816" s="51" t="s">
        <v>1829</v>
      </c>
      <c r="B816" s="51" t="s">
        <v>1830</v>
      </c>
      <c r="C816" s="51" t="s">
        <v>232</v>
      </c>
      <c r="D816" s="51">
        <v>37</v>
      </c>
      <c r="E816" s="58">
        <v>45346</v>
      </c>
      <c r="F816" s="58">
        <v>45348</v>
      </c>
      <c r="G816" s="67" t="s">
        <v>234</v>
      </c>
      <c r="H816" s="51" t="s">
        <v>65</v>
      </c>
      <c r="I816" s="58">
        <v>45350</v>
      </c>
      <c r="J816" s="67" t="s">
        <v>234</v>
      </c>
      <c r="K816" s="51">
        <v>250</v>
      </c>
      <c r="L816" s="73"/>
      <c r="M816" s="73"/>
      <c r="N816" s="73"/>
    </row>
    <row r="817" spans="1:14" ht="18.45" customHeight="1" x14ac:dyDescent="0.3">
      <c r="A817" s="51" t="s">
        <v>1831</v>
      </c>
      <c r="B817" s="51" t="s">
        <v>1832</v>
      </c>
      <c r="C817" s="51" t="s">
        <v>232</v>
      </c>
      <c r="D817" s="51">
        <v>26</v>
      </c>
      <c r="E817" s="58">
        <v>45348</v>
      </c>
      <c r="F817" s="58">
        <v>45349</v>
      </c>
      <c r="G817" s="67" t="s">
        <v>234</v>
      </c>
      <c r="H817" s="51" t="s">
        <v>65</v>
      </c>
      <c r="I817" s="58">
        <v>45350</v>
      </c>
      <c r="J817" s="67" t="s">
        <v>234</v>
      </c>
      <c r="K817" s="51">
        <v>350</v>
      </c>
      <c r="L817" s="73"/>
      <c r="M817" s="73"/>
      <c r="N817" s="73"/>
    </row>
    <row r="818" spans="1:14" ht="18.45" customHeight="1" x14ac:dyDescent="0.3">
      <c r="A818" s="51" t="s">
        <v>1833</v>
      </c>
      <c r="B818" s="51" t="s">
        <v>1834</v>
      </c>
      <c r="C818" s="51" t="s">
        <v>231</v>
      </c>
      <c r="D818" s="51">
        <v>27</v>
      </c>
      <c r="E818" s="58">
        <v>45346</v>
      </c>
      <c r="F818" s="58">
        <v>45348</v>
      </c>
      <c r="G818" s="67" t="s">
        <v>234</v>
      </c>
      <c r="H818" s="51" t="s">
        <v>65</v>
      </c>
      <c r="I818" s="58">
        <v>45350</v>
      </c>
      <c r="J818" s="67" t="s">
        <v>234</v>
      </c>
      <c r="K818" s="51">
        <v>300</v>
      </c>
      <c r="L818" s="73"/>
      <c r="M818" s="73"/>
      <c r="N818" s="73"/>
    </row>
    <row r="819" spans="1:14" ht="18.45" customHeight="1" x14ac:dyDescent="0.3">
      <c r="A819" s="51" t="s">
        <v>1835</v>
      </c>
      <c r="B819" s="51" t="s">
        <v>1836</v>
      </c>
      <c r="C819" s="51" t="s">
        <v>231</v>
      </c>
      <c r="D819" s="51">
        <v>23</v>
      </c>
      <c r="E819" s="58">
        <v>45346</v>
      </c>
      <c r="F819" s="58">
        <v>45348</v>
      </c>
      <c r="G819" s="67" t="s">
        <v>234</v>
      </c>
      <c r="H819" s="51" t="s">
        <v>65</v>
      </c>
      <c r="I819" s="58">
        <v>45350</v>
      </c>
      <c r="J819" s="67" t="s">
        <v>234</v>
      </c>
      <c r="K819" s="51">
        <v>300</v>
      </c>
      <c r="L819" s="73"/>
      <c r="M819" s="73"/>
      <c r="N819" s="73"/>
    </row>
    <row r="820" spans="1:14" ht="18.45" customHeight="1" x14ac:dyDescent="0.3">
      <c r="A820" s="51" t="s">
        <v>1837</v>
      </c>
      <c r="B820" s="51" t="s">
        <v>1838</v>
      </c>
      <c r="C820" s="51" t="s">
        <v>231</v>
      </c>
      <c r="D820" s="51">
        <v>26</v>
      </c>
      <c r="E820" s="58">
        <v>45345</v>
      </c>
      <c r="F820" s="58">
        <v>45348</v>
      </c>
      <c r="G820" s="67" t="s">
        <v>234</v>
      </c>
      <c r="H820" s="51" t="s">
        <v>65</v>
      </c>
      <c r="I820" s="58">
        <v>45350</v>
      </c>
      <c r="J820" s="67" t="s">
        <v>234</v>
      </c>
      <c r="K820" s="51">
        <v>200</v>
      </c>
      <c r="L820" s="73"/>
      <c r="M820" s="73"/>
      <c r="N820" s="73"/>
    </row>
    <row r="821" spans="1:14" ht="18.45" customHeight="1" x14ac:dyDescent="0.3">
      <c r="A821" s="51" t="s">
        <v>1839</v>
      </c>
      <c r="B821" s="51" t="s">
        <v>1840</v>
      </c>
      <c r="C821" s="51" t="s">
        <v>229</v>
      </c>
      <c r="D821" s="51">
        <v>21</v>
      </c>
      <c r="E821" s="58">
        <v>45343</v>
      </c>
      <c r="F821" s="58">
        <v>45344</v>
      </c>
      <c r="G821" s="67" t="s">
        <v>234</v>
      </c>
      <c r="H821" s="51" t="s">
        <v>65</v>
      </c>
      <c r="I821" s="58">
        <v>45350</v>
      </c>
      <c r="J821" s="67" t="s">
        <v>234</v>
      </c>
      <c r="K821" s="51">
        <v>350</v>
      </c>
      <c r="L821" s="73"/>
      <c r="M821" s="73"/>
      <c r="N821" s="73"/>
    </row>
    <row r="822" spans="1:14" ht="18.45" customHeight="1" x14ac:dyDescent="0.3">
      <c r="A822" s="76" t="s">
        <v>1841</v>
      </c>
      <c r="B822" s="60" t="s">
        <v>1842</v>
      </c>
      <c r="C822" s="76" t="s">
        <v>2473</v>
      </c>
      <c r="D822" s="60">
        <v>24</v>
      </c>
      <c r="E822" s="89">
        <v>45333</v>
      </c>
      <c r="F822" s="89">
        <v>45335</v>
      </c>
      <c r="G822" s="67" t="s">
        <v>234</v>
      </c>
      <c r="H822" s="60" t="s">
        <v>65</v>
      </c>
      <c r="I822" s="89">
        <v>45351</v>
      </c>
      <c r="J822" s="67" t="s">
        <v>234</v>
      </c>
      <c r="K822" s="60">
        <v>300</v>
      </c>
      <c r="L822" s="73"/>
      <c r="M822" s="73"/>
      <c r="N822" s="73"/>
    </row>
    <row r="823" spans="1:14" ht="18.45" customHeight="1" x14ac:dyDescent="0.3">
      <c r="A823" s="76" t="s">
        <v>1843</v>
      </c>
      <c r="B823" s="60" t="s">
        <v>1844</v>
      </c>
      <c r="C823" s="76" t="s">
        <v>94</v>
      </c>
      <c r="D823" s="60">
        <v>51</v>
      </c>
      <c r="E823" s="89">
        <v>45220</v>
      </c>
      <c r="F823" s="89">
        <v>45236</v>
      </c>
      <c r="G823" s="67" t="s">
        <v>234</v>
      </c>
      <c r="H823" s="60" t="s">
        <v>65</v>
      </c>
      <c r="I823" s="89">
        <v>45351</v>
      </c>
      <c r="J823" s="67" t="s">
        <v>234</v>
      </c>
      <c r="K823" s="60">
        <v>580</v>
      </c>
      <c r="L823" s="73"/>
      <c r="M823" s="73"/>
      <c r="N823" s="73"/>
    </row>
    <row r="824" spans="1:14" ht="18.45" customHeight="1" x14ac:dyDescent="0.3">
      <c r="A824" s="76" t="s">
        <v>1845</v>
      </c>
      <c r="B824" s="60" t="s">
        <v>1846</v>
      </c>
      <c r="C824" s="76" t="s">
        <v>135</v>
      </c>
      <c r="D824" s="60">
        <v>68</v>
      </c>
      <c r="E824" s="89">
        <v>45330</v>
      </c>
      <c r="F824" s="89">
        <v>45331</v>
      </c>
      <c r="G824" s="67" t="s">
        <v>234</v>
      </c>
      <c r="H824" s="60" t="s">
        <v>65</v>
      </c>
      <c r="I824" s="89">
        <v>45351</v>
      </c>
      <c r="J824" s="67" t="s">
        <v>234</v>
      </c>
      <c r="K824" s="60">
        <v>500</v>
      </c>
      <c r="L824" s="73"/>
      <c r="M824" s="73"/>
      <c r="N824" s="73"/>
    </row>
    <row r="825" spans="1:14" ht="18.45" customHeight="1" x14ac:dyDescent="0.3">
      <c r="A825" s="99" t="s">
        <v>1847</v>
      </c>
      <c r="B825" s="75" t="s">
        <v>1848</v>
      </c>
      <c r="C825" s="99" t="s">
        <v>120</v>
      </c>
      <c r="D825" s="71">
        <v>199</v>
      </c>
      <c r="E825" s="85">
        <v>45349</v>
      </c>
      <c r="F825" s="85">
        <v>45349</v>
      </c>
      <c r="G825" s="67" t="s">
        <v>234</v>
      </c>
      <c r="H825" s="60" t="s">
        <v>65</v>
      </c>
      <c r="I825" s="87">
        <v>45351</v>
      </c>
      <c r="J825" s="67" t="s">
        <v>234</v>
      </c>
      <c r="K825" s="71">
        <v>250</v>
      </c>
      <c r="L825" s="73"/>
      <c r="M825" s="73"/>
      <c r="N825" s="73"/>
    </row>
    <row r="826" spans="1:14" ht="18.45" customHeight="1" x14ac:dyDescent="0.3">
      <c r="A826" s="76" t="s">
        <v>1849</v>
      </c>
      <c r="B826" s="60" t="s">
        <v>1850</v>
      </c>
      <c r="C826" s="76" t="s">
        <v>94</v>
      </c>
      <c r="D826" s="60">
        <v>63</v>
      </c>
      <c r="E826" s="89">
        <v>45222</v>
      </c>
      <c r="F826" s="89">
        <v>45224</v>
      </c>
      <c r="G826" s="67" t="s">
        <v>234</v>
      </c>
      <c r="H826" s="60" t="s">
        <v>65</v>
      </c>
      <c r="I826" s="89">
        <v>45351</v>
      </c>
      <c r="J826" s="67" t="s">
        <v>234</v>
      </c>
      <c r="K826" s="60">
        <v>400</v>
      </c>
      <c r="L826" s="73"/>
      <c r="M826" s="73"/>
      <c r="N826" s="73"/>
    </row>
    <row r="827" spans="1:14" ht="18.45" customHeight="1" x14ac:dyDescent="0.3">
      <c r="A827" s="76" t="s">
        <v>1851</v>
      </c>
      <c r="B827" s="60" t="s">
        <v>1852</v>
      </c>
      <c r="C827" s="76" t="s">
        <v>2500</v>
      </c>
      <c r="D827" s="60">
        <v>20</v>
      </c>
      <c r="E827" s="89">
        <v>45271</v>
      </c>
      <c r="F827" s="89">
        <v>45273</v>
      </c>
      <c r="G827" s="67" t="s">
        <v>234</v>
      </c>
      <c r="H827" s="60" t="s">
        <v>65</v>
      </c>
      <c r="I827" s="89">
        <v>45351</v>
      </c>
      <c r="J827" s="67" t="s">
        <v>234</v>
      </c>
      <c r="K827" s="60">
        <v>350</v>
      </c>
      <c r="L827" s="73"/>
      <c r="M827" s="73"/>
      <c r="N827" s="73"/>
    </row>
    <row r="828" spans="1:14" ht="18.45" customHeight="1" x14ac:dyDescent="0.3">
      <c r="A828" s="51" t="s">
        <v>1853</v>
      </c>
      <c r="B828" s="51" t="s">
        <v>1854</v>
      </c>
      <c r="C828" s="51" t="s">
        <v>224</v>
      </c>
      <c r="D828" s="84">
        <v>2</v>
      </c>
      <c r="E828" s="54">
        <v>45349</v>
      </c>
      <c r="F828" s="54">
        <v>45351</v>
      </c>
      <c r="G828" s="67" t="s">
        <v>234</v>
      </c>
      <c r="H828" s="51" t="s">
        <v>65</v>
      </c>
      <c r="I828" s="54">
        <v>45351</v>
      </c>
      <c r="J828" s="67" t="s">
        <v>234</v>
      </c>
      <c r="K828" s="51">
        <v>500</v>
      </c>
      <c r="L828" s="73"/>
      <c r="M828" s="73"/>
      <c r="N828" s="73"/>
    </row>
    <row r="829" spans="1:14" ht="18.45" customHeight="1" x14ac:dyDescent="0.3">
      <c r="A829" s="51" t="s">
        <v>1855</v>
      </c>
      <c r="B829" s="51" t="s">
        <v>1856</v>
      </c>
      <c r="C829" s="51" t="s">
        <v>223</v>
      </c>
      <c r="D829" s="84">
        <v>38</v>
      </c>
      <c r="E829" s="54">
        <v>45350</v>
      </c>
      <c r="F829" s="54">
        <v>45351</v>
      </c>
      <c r="G829" s="67" t="s">
        <v>234</v>
      </c>
      <c r="H829" s="51" t="s">
        <v>65</v>
      </c>
      <c r="I829" s="54">
        <v>45351</v>
      </c>
      <c r="J829" s="67" t="s">
        <v>234</v>
      </c>
      <c r="K829" s="51">
        <v>200</v>
      </c>
      <c r="L829" s="73"/>
      <c r="M829" s="73"/>
      <c r="N829" s="73"/>
    </row>
    <row r="830" spans="1:14" ht="18.45" customHeight="1" x14ac:dyDescent="0.3">
      <c r="A830" s="51" t="s">
        <v>1857</v>
      </c>
      <c r="B830" s="51" t="s">
        <v>1858</v>
      </c>
      <c r="C830" s="51" t="s">
        <v>223</v>
      </c>
      <c r="D830" s="84">
        <v>90</v>
      </c>
      <c r="E830" s="54">
        <v>45350</v>
      </c>
      <c r="F830" s="54">
        <v>45351</v>
      </c>
      <c r="G830" s="67" t="s">
        <v>234</v>
      </c>
      <c r="H830" s="51" t="s">
        <v>65</v>
      </c>
      <c r="I830" s="54">
        <v>45351</v>
      </c>
      <c r="J830" s="67" t="s">
        <v>234</v>
      </c>
      <c r="K830" s="51">
        <v>300</v>
      </c>
      <c r="L830" s="73"/>
      <c r="M830" s="73"/>
      <c r="N830" s="73"/>
    </row>
    <row r="831" spans="1:14" ht="18.45" customHeight="1" x14ac:dyDescent="0.3">
      <c r="A831" s="51" t="s">
        <v>1859</v>
      </c>
      <c r="B831" s="51" t="s">
        <v>1860</v>
      </c>
      <c r="C831" s="51" t="s">
        <v>218</v>
      </c>
      <c r="D831" s="84">
        <v>10</v>
      </c>
      <c r="E831" s="54">
        <v>45348</v>
      </c>
      <c r="F831" s="54">
        <v>45351</v>
      </c>
      <c r="G831" s="67" t="s">
        <v>234</v>
      </c>
      <c r="H831" s="51" t="s">
        <v>65</v>
      </c>
      <c r="I831" s="54">
        <v>45351</v>
      </c>
      <c r="J831" s="67" t="s">
        <v>234</v>
      </c>
      <c r="K831" s="51">
        <v>200</v>
      </c>
      <c r="L831" s="73"/>
      <c r="M831" s="73"/>
      <c r="N831" s="73"/>
    </row>
    <row r="832" spans="1:14" ht="18.45" customHeight="1" x14ac:dyDescent="0.3">
      <c r="A832" s="51" t="s">
        <v>1861</v>
      </c>
      <c r="B832" s="51" t="s">
        <v>1862</v>
      </c>
      <c r="C832" s="51" t="s">
        <v>222</v>
      </c>
      <c r="D832" s="84">
        <v>12</v>
      </c>
      <c r="E832" s="54">
        <v>45350</v>
      </c>
      <c r="F832" s="54">
        <v>45351</v>
      </c>
      <c r="G832" s="67" t="s">
        <v>234</v>
      </c>
      <c r="H832" s="51" t="s">
        <v>65</v>
      </c>
      <c r="I832" s="54">
        <v>45351</v>
      </c>
      <c r="J832" s="67" t="s">
        <v>234</v>
      </c>
      <c r="K832" s="51">
        <v>300</v>
      </c>
      <c r="L832" s="73"/>
      <c r="M832" s="73"/>
      <c r="N832" s="73"/>
    </row>
    <row r="833" spans="1:14" ht="18.45" customHeight="1" x14ac:dyDescent="0.3">
      <c r="A833" s="51" t="s">
        <v>1863</v>
      </c>
      <c r="B833" s="51" t="s">
        <v>1864</v>
      </c>
      <c r="C833" s="51" t="s">
        <v>226</v>
      </c>
      <c r="D833" s="84">
        <v>4</v>
      </c>
      <c r="E833" s="54">
        <v>45349</v>
      </c>
      <c r="F833" s="54">
        <v>45351</v>
      </c>
      <c r="G833" s="67" t="s">
        <v>234</v>
      </c>
      <c r="H833" s="51" t="s">
        <v>65</v>
      </c>
      <c r="I833" s="54">
        <v>45351</v>
      </c>
      <c r="J833" s="67" t="s">
        <v>234</v>
      </c>
      <c r="K833" s="51">
        <v>500</v>
      </c>
      <c r="L833" s="73"/>
      <c r="M833" s="73"/>
      <c r="N833" s="73"/>
    </row>
    <row r="834" spans="1:14" ht="18.45" customHeight="1" x14ac:dyDescent="0.3">
      <c r="A834" s="51" t="s">
        <v>1865</v>
      </c>
      <c r="B834" s="51" t="s">
        <v>1866</v>
      </c>
      <c r="C834" s="51" t="s">
        <v>113</v>
      </c>
      <c r="D834" s="51">
        <v>113</v>
      </c>
      <c r="E834" s="58">
        <v>45348</v>
      </c>
      <c r="F834" s="58">
        <v>45349</v>
      </c>
      <c r="G834" s="67" t="s">
        <v>234</v>
      </c>
      <c r="H834" s="51" t="s">
        <v>65</v>
      </c>
      <c r="I834" s="58">
        <v>45351</v>
      </c>
      <c r="J834" s="67" t="s">
        <v>234</v>
      </c>
      <c r="K834" s="51">
        <v>150</v>
      </c>
      <c r="L834" s="73"/>
      <c r="M834" s="73"/>
      <c r="N834" s="73"/>
    </row>
    <row r="835" spans="1:14" ht="18.45" customHeight="1" x14ac:dyDescent="0.3">
      <c r="A835" s="51" t="s">
        <v>1867</v>
      </c>
      <c r="B835" s="51" t="s">
        <v>1868</v>
      </c>
      <c r="C835" s="51" t="s">
        <v>232</v>
      </c>
      <c r="D835" s="51">
        <v>7</v>
      </c>
      <c r="E835" s="58">
        <v>45347</v>
      </c>
      <c r="F835" s="58">
        <v>45348</v>
      </c>
      <c r="G835" s="67" t="s">
        <v>234</v>
      </c>
      <c r="H835" s="51" t="s">
        <v>65</v>
      </c>
      <c r="I835" s="58">
        <v>45351</v>
      </c>
      <c r="J835" s="67" t="s">
        <v>234</v>
      </c>
      <c r="K835" s="51">
        <v>70</v>
      </c>
      <c r="L835" s="73"/>
      <c r="M835" s="73"/>
      <c r="N835" s="73"/>
    </row>
    <row r="836" spans="1:14" ht="18.45" customHeight="1" x14ac:dyDescent="0.3">
      <c r="A836" s="51" t="s">
        <v>1869</v>
      </c>
      <c r="B836" s="51" t="s">
        <v>1870</v>
      </c>
      <c r="C836" s="51" t="s">
        <v>227</v>
      </c>
      <c r="D836" s="51">
        <v>49</v>
      </c>
      <c r="E836" s="58">
        <v>45348</v>
      </c>
      <c r="F836" s="58">
        <v>45349</v>
      </c>
      <c r="G836" s="67" t="s">
        <v>234</v>
      </c>
      <c r="H836" s="51" t="s">
        <v>65</v>
      </c>
      <c r="I836" s="58">
        <v>45351</v>
      </c>
      <c r="J836" s="67" t="s">
        <v>234</v>
      </c>
      <c r="K836" s="51">
        <v>200</v>
      </c>
      <c r="L836" s="73"/>
      <c r="M836" s="73"/>
      <c r="N836" s="73"/>
    </row>
    <row r="837" spans="1:14" ht="18.45" customHeight="1" x14ac:dyDescent="0.3">
      <c r="A837" s="51" t="s">
        <v>1871</v>
      </c>
      <c r="B837" s="51" t="s">
        <v>1872</v>
      </c>
      <c r="C837" s="51" t="s">
        <v>232</v>
      </c>
      <c r="D837" s="51">
        <v>77</v>
      </c>
      <c r="E837" s="58">
        <v>45335</v>
      </c>
      <c r="F837" s="58">
        <v>45336</v>
      </c>
      <c r="G837" s="67" t="s">
        <v>234</v>
      </c>
      <c r="H837" s="51" t="s">
        <v>65</v>
      </c>
      <c r="I837" s="58">
        <v>45351</v>
      </c>
      <c r="J837" s="67" t="s">
        <v>234</v>
      </c>
      <c r="K837" s="51">
        <v>120</v>
      </c>
      <c r="L837" s="73"/>
      <c r="M837" s="73"/>
      <c r="N837" s="73"/>
    </row>
    <row r="838" spans="1:14" ht="18.45" customHeight="1" x14ac:dyDescent="0.3">
      <c r="A838" s="51" t="s">
        <v>1873</v>
      </c>
      <c r="B838" s="51" t="s">
        <v>1874</v>
      </c>
      <c r="C838" s="51" t="s">
        <v>2480</v>
      </c>
      <c r="D838" s="51">
        <v>45</v>
      </c>
      <c r="E838" s="58">
        <v>45345</v>
      </c>
      <c r="F838" s="58">
        <v>45348</v>
      </c>
      <c r="G838" s="67" t="s">
        <v>234</v>
      </c>
      <c r="H838" s="51" t="s">
        <v>65</v>
      </c>
      <c r="I838" s="58">
        <v>45351</v>
      </c>
      <c r="J838" s="67" t="s">
        <v>234</v>
      </c>
      <c r="K838" s="51">
        <v>60</v>
      </c>
      <c r="L838" s="73"/>
      <c r="M838" s="73"/>
      <c r="N838" s="73"/>
    </row>
    <row r="839" spans="1:14" ht="18.45" customHeight="1" x14ac:dyDescent="0.3">
      <c r="A839" s="51" t="s">
        <v>1875</v>
      </c>
      <c r="B839" s="51" t="s">
        <v>1876</v>
      </c>
      <c r="C839" s="51" t="s">
        <v>232</v>
      </c>
      <c r="D839" s="51">
        <v>74</v>
      </c>
      <c r="E839" s="58">
        <v>45345</v>
      </c>
      <c r="F839" s="58">
        <v>45346</v>
      </c>
      <c r="G839" s="67" t="s">
        <v>234</v>
      </c>
      <c r="H839" s="51" t="s">
        <v>65</v>
      </c>
      <c r="I839" s="58">
        <v>45351</v>
      </c>
      <c r="J839" s="67" t="s">
        <v>234</v>
      </c>
      <c r="K839" s="51">
        <v>200</v>
      </c>
      <c r="L839" s="73"/>
      <c r="M839" s="73"/>
      <c r="N839" s="73"/>
    </row>
    <row r="840" spans="1:14" ht="18.45" customHeight="1" x14ac:dyDescent="0.3">
      <c r="A840" s="51" t="s">
        <v>1877</v>
      </c>
      <c r="B840" s="51" t="s">
        <v>1878</v>
      </c>
      <c r="C840" s="51" t="s">
        <v>232</v>
      </c>
      <c r="D840" s="51">
        <v>71</v>
      </c>
      <c r="E840" s="58">
        <v>45341</v>
      </c>
      <c r="F840" s="58">
        <v>45341</v>
      </c>
      <c r="G840" s="67" t="s">
        <v>234</v>
      </c>
      <c r="H840" s="51" t="s">
        <v>65</v>
      </c>
      <c r="I840" s="58">
        <v>45351</v>
      </c>
      <c r="J840" s="67" t="s">
        <v>234</v>
      </c>
      <c r="K840" s="51">
        <v>100</v>
      </c>
      <c r="L840" s="73"/>
      <c r="M840" s="73"/>
      <c r="N840" s="73"/>
    </row>
    <row r="841" spans="1:14" ht="18.45" customHeight="1" x14ac:dyDescent="0.3">
      <c r="A841" s="51" t="s">
        <v>1879</v>
      </c>
      <c r="B841" s="51" t="s">
        <v>1880</v>
      </c>
      <c r="C841" s="51" t="s">
        <v>113</v>
      </c>
      <c r="D841" s="51">
        <v>53</v>
      </c>
      <c r="E841" s="58">
        <v>45345</v>
      </c>
      <c r="F841" s="58">
        <v>45346</v>
      </c>
      <c r="G841" s="67" t="s">
        <v>234</v>
      </c>
      <c r="H841" s="51" t="s">
        <v>65</v>
      </c>
      <c r="I841" s="58">
        <v>45351</v>
      </c>
      <c r="J841" s="67" t="s">
        <v>234</v>
      </c>
      <c r="K841" s="51">
        <v>250</v>
      </c>
      <c r="L841" s="73"/>
      <c r="M841" s="73"/>
      <c r="N841" s="73"/>
    </row>
    <row r="842" spans="1:14" ht="18.45" customHeight="1" x14ac:dyDescent="0.3">
      <c r="A842" s="51" t="s">
        <v>1881</v>
      </c>
      <c r="B842" s="51" t="s">
        <v>1882</v>
      </c>
      <c r="C842" s="51" t="s">
        <v>232</v>
      </c>
      <c r="D842" s="51">
        <v>83</v>
      </c>
      <c r="E842" s="58">
        <v>45343</v>
      </c>
      <c r="F842" s="58">
        <v>45343</v>
      </c>
      <c r="G842" s="67" t="s">
        <v>234</v>
      </c>
      <c r="H842" s="51" t="s">
        <v>65</v>
      </c>
      <c r="I842" s="58">
        <v>45351</v>
      </c>
      <c r="J842" s="67" t="s">
        <v>234</v>
      </c>
      <c r="K842" s="51">
        <v>250</v>
      </c>
      <c r="L842" s="73"/>
      <c r="M842" s="73"/>
      <c r="N842" s="73"/>
    </row>
    <row r="843" spans="1:14" ht="18.45" customHeight="1" x14ac:dyDescent="0.3">
      <c r="A843" s="76" t="s">
        <v>1883</v>
      </c>
      <c r="B843" s="60" t="s">
        <v>1884</v>
      </c>
      <c r="C843" s="76" t="s">
        <v>92</v>
      </c>
      <c r="D843" s="60">
        <v>86</v>
      </c>
      <c r="E843" s="89">
        <v>45314</v>
      </c>
      <c r="F843" s="89">
        <v>45317</v>
      </c>
      <c r="G843" s="67" t="s">
        <v>234</v>
      </c>
      <c r="H843" s="60" t="s">
        <v>65</v>
      </c>
      <c r="I843" s="89">
        <v>45352</v>
      </c>
      <c r="J843" s="67" t="s">
        <v>234</v>
      </c>
      <c r="K843" s="60">
        <v>200</v>
      </c>
      <c r="L843" s="73"/>
      <c r="M843" s="73"/>
      <c r="N843" s="73"/>
    </row>
    <row r="844" spans="1:14" ht="18.45" customHeight="1" x14ac:dyDescent="0.3">
      <c r="A844" s="99" t="s">
        <v>1885</v>
      </c>
      <c r="B844" s="75" t="s">
        <v>1886</v>
      </c>
      <c r="C844" s="99" t="s">
        <v>95</v>
      </c>
      <c r="D844" s="71">
        <v>32</v>
      </c>
      <c r="E844" s="85">
        <v>45345</v>
      </c>
      <c r="F844" s="85">
        <v>45348</v>
      </c>
      <c r="G844" s="67" t="s">
        <v>234</v>
      </c>
      <c r="H844" s="60" t="s">
        <v>65</v>
      </c>
      <c r="I844" s="89">
        <v>45352</v>
      </c>
      <c r="J844" s="67" t="s">
        <v>234</v>
      </c>
      <c r="K844" s="71">
        <v>550</v>
      </c>
      <c r="L844" s="73"/>
      <c r="M844" s="73"/>
      <c r="N844" s="73"/>
    </row>
    <row r="845" spans="1:14" ht="18.45" customHeight="1" x14ac:dyDescent="0.3">
      <c r="A845" s="49" t="s">
        <v>1887</v>
      </c>
      <c r="B845" s="49" t="s">
        <v>1888</v>
      </c>
      <c r="C845" s="49" t="s">
        <v>120</v>
      </c>
      <c r="D845" s="71">
        <v>198</v>
      </c>
      <c r="E845" s="57">
        <v>45341</v>
      </c>
      <c r="F845" s="57">
        <v>45351</v>
      </c>
      <c r="G845" s="67" t="s">
        <v>234</v>
      </c>
      <c r="H845" s="60" t="s">
        <v>65</v>
      </c>
      <c r="I845" s="89">
        <v>45352</v>
      </c>
      <c r="J845" s="67" t="s">
        <v>234</v>
      </c>
      <c r="K845" s="71">
        <v>100</v>
      </c>
      <c r="L845" s="73"/>
      <c r="M845" s="73"/>
      <c r="N845" s="73"/>
    </row>
    <row r="846" spans="1:14" ht="18.45" customHeight="1" x14ac:dyDescent="0.3">
      <c r="A846" s="76" t="s">
        <v>1889</v>
      </c>
      <c r="B846" s="60" t="s">
        <v>1890</v>
      </c>
      <c r="C846" s="76" t="s">
        <v>2503</v>
      </c>
      <c r="D846" s="60">
        <v>45</v>
      </c>
      <c r="E846" s="89">
        <v>45286</v>
      </c>
      <c r="F846" s="89">
        <v>45287</v>
      </c>
      <c r="G846" s="67" t="s">
        <v>234</v>
      </c>
      <c r="H846" s="60" t="s">
        <v>65</v>
      </c>
      <c r="I846" s="89">
        <v>45352</v>
      </c>
      <c r="J846" s="67" t="s">
        <v>234</v>
      </c>
      <c r="K846" s="60">
        <v>200</v>
      </c>
      <c r="L846" s="73"/>
      <c r="M846" s="73"/>
      <c r="N846" s="73"/>
    </row>
    <row r="847" spans="1:14" ht="18.45" customHeight="1" x14ac:dyDescent="0.3">
      <c r="A847" s="99" t="s">
        <v>1891</v>
      </c>
      <c r="B847" s="75" t="s">
        <v>1892</v>
      </c>
      <c r="C847" s="76" t="s">
        <v>135</v>
      </c>
      <c r="D847" s="71">
        <v>13</v>
      </c>
      <c r="E847" s="85">
        <v>45206</v>
      </c>
      <c r="F847" s="85">
        <v>45349</v>
      </c>
      <c r="G847" s="67" t="s">
        <v>234</v>
      </c>
      <c r="H847" s="60" t="s">
        <v>65</v>
      </c>
      <c r="I847" s="89">
        <v>45352</v>
      </c>
      <c r="J847" s="67" t="s">
        <v>234</v>
      </c>
      <c r="K847" s="71">
        <v>200</v>
      </c>
      <c r="L847" s="73"/>
      <c r="M847" s="73"/>
      <c r="N847" s="73"/>
    </row>
    <row r="848" spans="1:14" ht="18.45" customHeight="1" x14ac:dyDescent="0.3">
      <c r="A848" s="99" t="s">
        <v>1893</v>
      </c>
      <c r="B848" s="75" t="s">
        <v>1894</v>
      </c>
      <c r="C848" s="76" t="s">
        <v>135</v>
      </c>
      <c r="D848" s="71">
        <v>42</v>
      </c>
      <c r="E848" s="85">
        <v>45349</v>
      </c>
      <c r="F848" s="85">
        <v>45350</v>
      </c>
      <c r="G848" s="67" t="s">
        <v>234</v>
      </c>
      <c r="H848" s="60" t="s">
        <v>65</v>
      </c>
      <c r="I848" s="89">
        <v>45352</v>
      </c>
      <c r="J848" s="67" t="s">
        <v>234</v>
      </c>
      <c r="K848" s="71">
        <v>200</v>
      </c>
      <c r="L848" s="73"/>
      <c r="M848" s="73"/>
      <c r="N848" s="73"/>
    </row>
    <row r="849" spans="1:14" ht="18.45" customHeight="1" x14ac:dyDescent="0.3">
      <c r="A849" s="51" t="s">
        <v>1895</v>
      </c>
      <c r="B849" s="51" t="s">
        <v>1896</v>
      </c>
      <c r="C849" s="51" t="s">
        <v>223</v>
      </c>
      <c r="D849" s="84">
        <v>19</v>
      </c>
      <c r="E849" s="54">
        <v>45349</v>
      </c>
      <c r="F849" s="54">
        <v>45350</v>
      </c>
      <c r="G849" s="67" t="s">
        <v>234</v>
      </c>
      <c r="H849" s="51" t="s">
        <v>65</v>
      </c>
      <c r="I849" s="54">
        <v>45352</v>
      </c>
      <c r="J849" s="67" t="s">
        <v>234</v>
      </c>
      <c r="K849" s="51">
        <v>500</v>
      </c>
      <c r="L849" s="73"/>
      <c r="M849" s="73"/>
      <c r="N849" s="73"/>
    </row>
    <row r="850" spans="1:14" ht="18.45" customHeight="1" x14ac:dyDescent="0.3">
      <c r="A850" s="51" t="s">
        <v>1897</v>
      </c>
      <c r="B850" s="51" t="s">
        <v>1898</v>
      </c>
      <c r="C850" s="51" t="s">
        <v>223</v>
      </c>
      <c r="D850" s="84">
        <v>19</v>
      </c>
      <c r="E850" s="54">
        <v>45348</v>
      </c>
      <c r="F850" s="54">
        <v>45349</v>
      </c>
      <c r="G850" s="67" t="s">
        <v>234</v>
      </c>
      <c r="H850" s="51" t="s">
        <v>65</v>
      </c>
      <c r="I850" s="54">
        <v>45352</v>
      </c>
      <c r="J850" s="67" t="s">
        <v>234</v>
      </c>
      <c r="K850" s="51">
        <v>500</v>
      </c>
      <c r="L850" s="73"/>
      <c r="M850" s="73"/>
      <c r="N850" s="73"/>
    </row>
    <row r="851" spans="1:14" ht="18.45" customHeight="1" x14ac:dyDescent="0.3">
      <c r="A851" s="51" t="s">
        <v>1899</v>
      </c>
      <c r="B851" s="51" t="s">
        <v>1900</v>
      </c>
      <c r="C851" s="51" t="s">
        <v>223</v>
      </c>
      <c r="D851" s="84">
        <v>25</v>
      </c>
      <c r="E851" s="54">
        <v>45350</v>
      </c>
      <c r="F851" s="54">
        <v>45350</v>
      </c>
      <c r="G851" s="67" t="s">
        <v>234</v>
      </c>
      <c r="H851" s="51" t="s">
        <v>65</v>
      </c>
      <c r="I851" s="54">
        <v>45352</v>
      </c>
      <c r="J851" s="67" t="s">
        <v>234</v>
      </c>
      <c r="K851" s="51">
        <v>300</v>
      </c>
      <c r="L851" s="73"/>
      <c r="M851" s="73"/>
      <c r="N851" s="73"/>
    </row>
    <row r="852" spans="1:14" ht="18.45" customHeight="1" x14ac:dyDescent="0.3">
      <c r="A852" s="51" t="s">
        <v>1901</v>
      </c>
      <c r="B852" s="51" t="s">
        <v>1902</v>
      </c>
      <c r="C852" s="51" t="s">
        <v>223</v>
      </c>
      <c r="D852" s="84">
        <v>24</v>
      </c>
      <c r="E852" s="54">
        <v>45342</v>
      </c>
      <c r="F852" s="54">
        <v>45352</v>
      </c>
      <c r="G852" s="67" t="s">
        <v>234</v>
      </c>
      <c r="H852" s="51" t="s">
        <v>65</v>
      </c>
      <c r="I852" s="54">
        <v>45352</v>
      </c>
      <c r="J852" s="67" t="s">
        <v>234</v>
      </c>
      <c r="K852" s="51">
        <v>350</v>
      </c>
      <c r="L852" s="73"/>
      <c r="M852" s="73"/>
      <c r="N852" s="73"/>
    </row>
    <row r="853" spans="1:14" ht="18.45" customHeight="1" x14ac:dyDescent="0.3">
      <c r="A853" s="51" t="s">
        <v>1903</v>
      </c>
      <c r="B853" s="51" t="s">
        <v>1904</v>
      </c>
      <c r="C853" s="51" t="s">
        <v>229</v>
      </c>
      <c r="D853" s="51">
        <v>30</v>
      </c>
      <c r="E853" s="58">
        <v>45345</v>
      </c>
      <c r="F853" s="58">
        <v>45346</v>
      </c>
      <c r="G853" s="67" t="s">
        <v>234</v>
      </c>
      <c r="H853" s="51" t="s">
        <v>65</v>
      </c>
      <c r="I853" s="58">
        <v>45352</v>
      </c>
      <c r="J853" s="67" t="s">
        <v>234</v>
      </c>
      <c r="K853" s="51">
        <v>50</v>
      </c>
      <c r="L853" s="73"/>
      <c r="M853" s="73"/>
      <c r="N853" s="73"/>
    </row>
    <row r="854" spans="1:14" ht="18.45" customHeight="1" x14ac:dyDescent="0.3">
      <c r="A854" s="51" t="s">
        <v>1905</v>
      </c>
      <c r="B854" s="51" t="s">
        <v>1906</v>
      </c>
      <c r="C854" s="51" t="s">
        <v>231</v>
      </c>
      <c r="D854" s="51">
        <v>25</v>
      </c>
      <c r="E854" s="58">
        <v>45345</v>
      </c>
      <c r="F854" s="58">
        <v>45346</v>
      </c>
      <c r="G854" s="67" t="s">
        <v>234</v>
      </c>
      <c r="H854" s="51" t="s">
        <v>65</v>
      </c>
      <c r="I854" s="58">
        <v>45352</v>
      </c>
      <c r="J854" s="67" t="s">
        <v>234</v>
      </c>
      <c r="K854" s="51">
        <v>50</v>
      </c>
      <c r="L854" s="73"/>
      <c r="M854" s="73"/>
      <c r="N854" s="73"/>
    </row>
    <row r="855" spans="1:14" ht="18.45" customHeight="1" x14ac:dyDescent="0.3">
      <c r="A855" s="51" t="s">
        <v>1907</v>
      </c>
      <c r="B855" s="51" t="s">
        <v>1908</v>
      </c>
      <c r="C855" s="51" t="s">
        <v>229</v>
      </c>
      <c r="D855" s="51">
        <v>12</v>
      </c>
      <c r="E855" s="58">
        <v>45342</v>
      </c>
      <c r="F855" s="58">
        <v>45343</v>
      </c>
      <c r="G855" s="67" t="s">
        <v>234</v>
      </c>
      <c r="H855" s="51" t="s">
        <v>65</v>
      </c>
      <c r="I855" s="58">
        <v>45352</v>
      </c>
      <c r="J855" s="67" t="s">
        <v>234</v>
      </c>
      <c r="K855" s="51">
        <v>150</v>
      </c>
      <c r="L855" s="73"/>
      <c r="M855" s="73"/>
      <c r="N855" s="73"/>
    </row>
    <row r="856" spans="1:14" ht="18.45" customHeight="1" x14ac:dyDescent="0.3">
      <c r="A856" s="51" t="s">
        <v>1909</v>
      </c>
      <c r="B856" s="51" t="s">
        <v>1910</v>
      </c>
      <c r="C856" s="51" t="s">
        <v>227</v>
      </c>
      <c r="D856" s="51">
        <v>19</v>
      </c>
      <c r="E856" s="58">
        <v>45344</v>
      </c>
      <c r="F856" s="58">
        <v>45351</v>
      </c>
      <c r="G856" s="67" t="s">
        <v>234</v>
      </c>
      <c r="H856" s="51" t="s">
        <v>65</v>
      </c>
      <c r="I856" s="58">
        <v>45352</v>
      </c>
      <c r="J856" s="67" t="s">
        <v>234</v>
      </c>
      <c r="K856" s="51">
        <v>50</v>
      </c>
      <c r="L856" s="73"/>
      <c r="M856" s="73"/>
      <c r="N856" s="73"/>
    </row>
    <row r="857" spans="1:14" ht="18.45" customHeight="1" x14ac:dyDescent="0.3">
      <c r="A857" s="51" t="s">
        <v>1911</v>
      </c>
      <c r="B857" s="51" t="s">
        <v>1912</v>
      </c>
      <c r="C857" s="51" t="s">
        <v>229</v>
      </c>
      <c r="D857" s="51">
        <v>18</v>
      </c>
      <c r="E857" s="58">
        <v>45345</v>
      </c>
      <c r="F857" s="58">
        <v>45351</v>
      </c>
      <c r="G857" s="67" t="s">
        <v>234</v>
      </c>
      <c r="H857" s="51" t="s">
        <v>65</v>
      </c>
      <c r="I857" s="58">
        <v>45352</v>
      </c>
      <c r="J857" s="67" t="s">
        <v>234</v>
      </c>
      <c r="K857" s="51">
        <v>60</v>
      </c>
      <c r="L857" s="73"/>
      <c r="M857" s="73"/>
      <c r="N857" s="73"/>
    </row>
    <row r="858" spans="1:14" ht="18.45" customHeight="1" x14ac:dyDescent="0.3">
      <c r="A858" s="51" t="s">
        <v>1913</v>
      </c>
      <c r="B858" s="51" t="s">
        <v>1914</v>
      </c>
      <c r="C858" s="51" t="s">
        <v>227</v>
      </c>
      <c r="D858" s="51">
        <v>29</v>
      </c>
      <c r="E858" s="58">
        <v>45348</v>
      </c>
      <c r="F858" s="58">
        <v>45349</v>
      </c>
      <c r="G858" s="67" t="s">
        <v>234</v>
      </c>
      <c r="H858" s="51" t="s">
        <v>65</v>
      </c>
      <c r="I858" s="58">
        <v>45352</v>
      </c>
      <c r="J858" s="67" t="s">
        <v>234</v>
      </c>
      <c r="K858" s="51">
        <v>350</v>
      </c>
      <c r="L858" s="73"/>
      <c r="M858" s="73"/>
      <c r="N858" s="73"/>
    </row>
    <row r="859" spans="1:14" ht="18.45" customHeight="1" x14ac:dyDescent="0.3">
      <c r="A859" s="51" t="s">
        <v>1915</v>
      </c>
      <c r="B859" s="51" t="s">
        <v>1916</v>
      </c>
      <c r="C859" s="51" t="s">
        <v>231</v>
      </c>
      <c r="D859" s="51">
        <v>22</v>
      </c>
      <c r="E859" s="58">
        <v>45344</v>
      </c>
      <c r="F859" s="58">
        <v>45348</v>
      </c>
      <c r="G859" s="67" t="s">
        <v>234</v>
      </c>
      <c r="H859" s="51" t="s">
        <v>65</v>
      </c>
      <c r="I859" s="58">
        <v>45352</v>
      </c>
      <c r="J859" s="67" t="s">
        <v>234</v>
      </c>
      <c r="K859" s="51">
        <v>180</v>
      </c>
      <c r="L859" s="73"/>
      <c r="M859" s="73"/>
      <c r="N859" s="73"/>
    </row>
    <row r="860" spans="1:14" ht="18.45" customHeight="1" x14ac:dyDescent="0.3">
      <c r="A860" s="51" t="s">
        <v>1917</v>
      </c>
      <c r="B860" s="51" t="s">
        <v>1918</v>
      </c>
      <c r="C860" s="51" t="s">
        <v>231</v>
      </c>
      <c r="D860" s="51">
        <v>11</v>
      </c>
      <c r="E860" s="58">
        <v>45348</v>
      </c>
      <c r="F860" s="58">
        <v>45349</v>
      </c>
      <c r="G860" s="67" t="s">
        <v>234</v>
      </c>
      <c r="H860" s="51" t="s">
        <v>65</v>
      </c>
      <c r="I860" s="58">
        <v>45352</v>
      </c>
      <c r="J860" s="67" t="s">
        <v>234</v>
      </c>
      <c r="K860" s="51">
        <v>250</v>
      </c>
      <c r="L860" s="73"/>
      <c r="M860" s="73"/>
      <c r="N860" s="73"/>
    </row>
    <row r="861" spans="1:14" ht="18.45" customHeight="1" x14ac:dyDescent="0.3">
      <c r="A861" s="51" t="s">
        <v>1919</v>
      </c>
      <c r="B861" s="51" t="s">
        <v>1920</v>
      </c>
      <c r="C861" s="51" t="s">
        <v>232</v>
      </c>
      <c r="D861" s="51">
        <v>66</v>
      </c>
      <c r="E861" s="58">
        <v>45345</v>
      </c>
      <c r="F861" s="58">
        <v>45346</v>
      </c>
      <c r="G861" s="67" t="s">
        <v>234</v>
      </c>
      <c r="H861" s="51" t="s">
        <v>65</v>
      </c>
      <c r="I861" s="58">
        <v>45352</v>
      </c>
      <c r="J861" s="67" t="s">
        <v>234</v>
      </c>
      <c r="K861" s="51">
        <v>100</v>
      </c>
      <c r="L861" s="73"/>
      <c r="M861" s="73"/>
      <c r="N861" s="73"/>
    </row>
    <row r="862" spans="1:14" ht="18.45" customHeight="1" x14ac:dyDescent="0.3">
      <c r="A862" s="51" t="s">
        <v>1921</v>
      </c>
      <c r="B862" s="51" t="s">
        <v>1922</v>
      </c>
      <c r="C862" s="51" t="s">
        <v>229</v>
      </c>
      <c r="D862" s="51">
        <v>11</v>
      </c>
      <c r="E862" s="58">
        <v>45349</v>
      </c>
      <c r="F862" s="58">
        <v>45351</v>
      </c>
      <c r="G862" s="67" t="s">
        <v>234</v>
      </c>
      <c r="H862" s="51" t="s">
        <v>65</v>
      </c>
      <c r="I862" s="58">
        <v>45352</v>
      </c>
      <c r="J862" s="67" t="s">
        <v>234</v>
      </c>
      <c r="K862" s="51">
        <v>70</v>
      </c>
      <c r="L862" s="73"/>
      <c r="M862" s="73"/>
      <c r="N862" s="73"/>
    </row>
    <row r="863" spans="1:14" ht="18.45" customHeight="1" x14ac:dyDescent="0.3">
      <c r="A863" s="76" t="s">
        <v>1923</v>
      </c>
      <c r="B863" s="60" t="s">
        <v>1924</v>
      </c>
      <c r="C863" s="76" t="s">
        <v>95</v>
      </c>
      <c r="D863" s="60">
        <v>35</v>
      </c>
      <c r="E863" s="89">
        <v>45240</v>
      </c>
      <c r="F863" s="89">
        <v>45240</v>
      </c>
      <c r="G863" s="67" t="s">
        <v>234</v>
      </c>
      <c r="H863" s="60" t="s">
        <v>65</v>
      </c>
      <c r="I863" s="92">
        <v>45353</v>
      </c>
      <c r="J863" s="67" t="s">
        <v>234</v>
      </c>
      <c r="K863" s="60">
        <v>450</v>
      </c>
      <c r="L863" s="73"/>
      <c r="M863" s="73"/>
      <c r="N863" s="73"/>
    </row>
    <row r="864" spans="1:14" ht="18.45" customHeight="1" x14ac:dyDescent="0.3">
      <c r="A864" s="48" t="s">
        <v>1925</v>
      </c>
      <c r="B864" s="50" t="s">
        <v>1926</v>
      </c>
      <c r="C864" s="48" t="s">
        <v>92</v>
      </c>
      <c r="D864" s="62">
        <v>76</v>
      </c>
      <c r="E864" s="54">
        <v>45348</v>
      </c>
      <c r="F864" s="54">
        <v>45350</v>
      </c>
      <c r="G864" s="67" t="s">
        <v>234</v>
      </c>
      <c r="H864" s="60" t="s">
        <v>65</v>
      </c>
      <c r="I864" s="92">
        <v>45353</v>
      </c>
      <c r="J864" s="67" t="s">
        <v>234</v>
      </c>
      <c r="K864" s="62">
        <v>150</v>
      </c>
      <c r="L864" s="73"/>
      <c r="M864" s="73"/>
      <c r="N864" s="73"/>
    </row>
    <row r="865" spans="1:14" ht="18.45" customHeight="1" x14ac:dyDescent="0.3">
      <c r="A865" s="76" t="s">
        <v>1927</v>
      </c>
      <c r="B865" s="60" t="s">
        <v>1928</v>
      </c>
      <c r="C865" s="76" t="s">
        <v>91</v>
      </c>
      <c r="D865" s="60">
        <v>97</v>
      </c>
      <c r="E865" s="89">
        <v>45333</v>
      </c>
      <c r="F865" s="89">
        <v>45335</v>
      </c>
      <c r="G865" s="67" t="s">
        <v>234</v>
      </c>
      <c r="H865" s="60" t="s">
        <v>65</v>
      </c>
      <c r="I865" s="89">
        <v>45353</v>
      </c>
      <c r="J865" s="67" t="s">
        <v>234</v>
      </c>
      <c r="K865" s="60">
        <v>100</v>
      </c>
      <c r="L865" s="73"/>
      <c r="M865" s="73"/>
      <c r="N865" s="73"/>
    </row>
    <row r="866" spans="1:14" ht="18.45" customHeight="1" x14ac:dyDescent="0.3">
      <c r="A866" s="48" t="s">
        <v>1929</v>
      </c>
      <c r="B866" s="48" t="s">
        <v>1930</v>
      </c>
      <c r="C866" s="48" t="s">
        <v>91</v>
      </c>
      <c r="D866" s="62">
        <v>22</v>
      </c>
      <c r="E866" s="56">
        <v>45349</v>
      </c>
      <c r="F866" s="56">
        <v>45350</v>
      </c>
      <c r="G866" s="67" t="s">
        <v>234</v>
      </c>
      <c r="H866" s="60" t="s">
        <v>65</v>
      </c>
      <c r="I866" s="89">
        <v>45353</v>
      </c>
      <c r="J866" s="67" t="s">
        <v>234</v>
      </c>
      <c r="K866" s="62">
        <v>250</v>
      </c>
      <c r="L866" s="73"/>
      <c r="M866" s="73"/>
      <c r="N866" s="73"/>
    </row>
    <row r="867" spans="1:14" ht="18.45" customHeight="1" x14ac:dyDescent="0.3">
      <c r="A867" s="48" t="s">
        <v>1931</v>
      </c>
      <c r="B867" s="50" t="s">
        <v>1932</v>
      </c>
      <c r="C867" s="48" t="s">
        <v>92</v>
      </c>
      <c r="D867" s="62">
        <v>22</v>
      </c>
      <c r="E867" s="54">
        <v>45346</v>
      </c>
      <c r="F867" s="54">
        <v>45350</v>
      </c>
      <c r="G867" s="67" t="s">
        <v>234</v>
      </c>
      <c r="H867" s="60" t="s">
        <v>65</v>
      </c>
      <c r="I867" s="92">
        <v>45353</v>
      </c>
      <c r="J867" s="67" t="s">
        <v>234</v>
      </c>
      <c r="K867" s="62">
        <v>250</v>
      </c>
      <c r="L867" s="73"/>
      <c r="M867" s="73"/>
      <c r="N867" s="73"/>
    </row>
    <row r="868" spans="1:14" ht="18.45" customHeight="1" x14ac:dyDescent="0.3">
      <c r="A868" s="76" t="s">
        <v>1933</v>
      </c>
      <c r="B868" s="60" t="s">
        <v>1934</v>
      </c>
      <c r="C868" s="76" t="s">
        <v>91</v>
      </c>
      <c r="D868" s="60">
        <v>82</v>
      </c>
      <c r="E868" s="89">
        <v>45290</v>
      </c>
      <c r="F868" s="89">
        <v>45293</v>
      </c>
      <c r="G868" s="67" t="s">
        <v>234</v>
      </c>
      <c r="H868" s="60" t="s">
        <v>65</v>
      </c>
      <c r="I868" s="89">
        <v>45353</v>
      </c>
      <c r="J868" s="67" t="s">
        <v>234</v>
      </c>
      <c r="K868" s="60">
        <v>150</v>
      </c>
      <c r="L868" s="73"/>
      <c r="M868" s="73"/>
      <c r="N868" s="73"/>
    </row>
    <row r="869" spans="1:14" ht="18.45" customHeight="1" x14ac:dyDescent="0.3">
      <c r="A869" s="76" t="s">
        <v>1935</v>
      </c>
      <c r="B869" s="60" t="s">
        <v>1936</v>
      </c>
      <c r="C869" s="76" t="s">
        <v>91</v>
      </c>
      <c r="D869" s="60">
        <v>82</v>
      </c>
      <c r="E869" s="89">
        <v>45289</v>
      </c>
      <c r="F869" s="89">
        <v>45290</v>
      </c>
      <c r="G869" s="67" t="s">
        <v>234</v>
      </c>
      <c r="H869" s="60" t="s">
        <v>65</v>
      </c>
      <c r="I869" s="89">
        <v>45353</v>
      </c>
      <c r="J869" s="67" t="s">
        <v>234</v>
      </c>
      <c r="K869" s="60">
        <v>150</v>
      </c>
      <c r="L869" s="73"/>
      <c r="M869" s="73"/>
      <c r="N869" s="73"/>
    </row>
    <row r="870" spans="1:14" ht="18.45" customHeight="1" x14ac:dyDescent="0.3">
      <c r="A870" s="51" t="s">
        <v>1937</v>
      </c>
      <c r="B870" s="51" t="s">
        <v>1938</v>
      </c>
      <c r="C870" s="51" t="s">
        <v>224</v>
      </c>
      <c r="D870" s="84">
        <v>8</v>
      </c>
      <c r="E870" s="54">
        <v>45347</v>
      </c>
      <c r="F870" s="54">
        <v>45348</v>
      </c>
      <c r="G870" s="67" t="s">
        <v>234</v>
      </c>
      <c r="H870" s="51" t="s">
        <v>65</v>
      </c>
      <c r="I870" s="54">
        <v>45353</v>
      </c>
      <c r="J870" s="67" t="s">
        <v>234</v>
      </c>
      <c r="K870" s="51">
        <v>200</v>
      </c>
      <c r="L870" s="73"/>
      <c r="M870" s="73"/>
      <c r="N870" s="73"/>
    </row>
    <row r="871" spans="1:14" ht="18.45" customHeight="1" x14ac:dyDescent="0.3">
      <c r="A871" s="51" t="s">
        <v>1939</v>
      </c>
      <c r="B871" s="51" t="s">
        <v>1940</v>
      </c>
      <c r="C871" s="51" t="s">
        <v>223</v>
      </c>
      <c r="D871" s="84">
        <v>116</v>
      </c>
      <c r="E871" s="54">
        <v>45350</v>
      </c>
      <c r="F871" s="54">
        <v>45350</v>
      </c>
      <c r="G871" s="67" t="s">
        <v>234</v>
      </c>
      <c r="H871" s="51" t="s">
        <v>65</v>
      </c>
      <c r="I871" s="54">
        <v>45353</v>
      </c>
      <c r="J871" s="67" t="s">
        <v>234</v>
      </c>
      <c r="K871" s="51">
        <v>350</v>
      </c>
      <c r="L871" s="73"/>
      <c r="M871" s="73"/>
      <c r="N871" s="73"/>
    </row>
    <row r="872" spans="1:14" ht="18.45" customHeight="1" x14ac:dyDescent="0.3">
      <c r="A872" s="51" t="s">
        <v>1941</v>
      </c>
      <c r="B872" s="51" t="s">
        <v>1942</v>
      </c>
      <c r="C872" s="51" t="s">
        <v>223</v>
      </c>
      <c r="D872" s="84">
        <v>7</v>
      </c>
      <c r="E872" s="54">
        <v>45342</v>
      </c>
      <c r="F872" s="54">
        <v>45352</v>
      </c>
      <c r="G872" s="67" t="s">
        <v>234</v>
      </c>
      <c r="H872" s="51" t="s">
        <v>65</v>
      </c>
      <c r="I872" s="54">
        <v>45353</v>
      </c>
      <c r="J872" s="67" t="s">
        <v>234</v>
      </c>
      <c r="K872" s="51">
        <v>300</v>
      </c>
      <c r="L872" s="73"/>
      <c r="M872" s="73"/>
      <c r="N872" s="73"/>
    </row>
    <row r="873" spans="1:14" ht="18.45" customHeight="1" x14ac:dyDescent="0.3">
      <c r="A873" s="51" t="s">
        <v>1943</v>
      </c>
      <c r="B873" s="51" t="s">
        <v>1944</v>
      </c>
      <c r="C873" s="51" t="s">
        <v>227</v>
      </c>
      <c r="D873" s="51">
        <v>91</v>
      </c>
      <c r="E873" s="58">
        <v>45342</v>
      </c>
      <c r="F873" s="58">
        <v>45342</v>
      </c>
      <c r="G873" s="67" t="s">
        <v>234</v>
      </c>
      <c r="H873" s="51" t="s">
        <v>65</v>
      </c>
      <c r="I873" s="58">
        <v>45353</v>
      </c>
      <c r="J873" s="67" t="s">
        <v>234</v>
      </c>
      <c r="K873" s="51">
        <v>150</v>
      </c>
      <c r="L873" s="73"/>
      <c r="M873" s="73"/>
      <c r="N873" s="73"/>
    </row>
    <row r="874" spans="1:14" ht="18.45" customHeight="1" x14ac:dyDescent="0.3">
      <c r="A874" s="51" t="s">
        <v>1945</v>
      </c>
      <c r="B874" s="51" t="s">
        <v>1946</v>
      </c>
      <c r="C874" s="51" t="s">
        <v>231</v>
      </c>
      <c r="D874" s="51">
        <v>25</v>
      </c>
      <c r="E874" s="58">
        <v>45350</v>
      </c>
      <c r="F874" s="58">
        <v>45351</v>
      </c>
      <c r="G874" s="67" t="s">
        <v>234</v>
      </c>
      <c r="H874" s="51" t="s">
        <v>65</v>
      </c>
      <c r="I874" s="58">
        <v>45353</v>
      </c>
      <c r="J874" s="67" t="s">
        <v>234</v>
      </c>
      <c r="K874" s="51">
        <v>350</v>
      </c>
      <c r="L874" s="73"/>
      <c r="M874" s="73"/>
      <c r="N874" s="73"/>
    </row>
    <row r="875" spans="1:14" ht="18.45" customHeight="1" x14ac:dyDescent="0.3">
      <c r="A875" s="51" t="s">
        <v>1947</v>
      </c>
      <c r="B875" s="51" t="s">
        <v>1948</v>
      </c>
      <c r="C875" s="51" t="s">
        <v>232</v>
      </c>
      <c r="D875" s="51">
        <v>81</v>
      </c>
      <c r="E875" s="58">
        <v>45350</v>
      </c>
      <c r="F875" s="58">
        <v>45351</v>
      </c>
      <c r="G875" s="67" t="s">
        <v>234</v>
      </c>
      <c r="H875" s="51" t="s">
        <v>65</v>
      </c>
      <c r="I875" s="58">
        <v>45353</v>
      </c>
      <c r="J875" s="67" t="s">
        <v>234</v>
      </c>
      <c r="K875" s="51">
        <v>100</v>
      </c>
      <c r="L875" s="73"/>
      <c r="M875" s="73"/>
      <c r="N875" s="73"/>
    </row>
    <row r="876" spans="1:14" ht="18.45" customHeight="1" x14ac:dyDescent="0.3">
      <c r="A876" s="51" t="s">
        <v>1949</v>
      </c>
      <c r="B876" s="51" t="s">
        <v>1950</v>
      </c>
      <c r="C876" s="51" t="s">
        <v>232</v>
      </c>
      <c r="D876" s="51">
        <v>41</v>
      </c>
      <c r="E876" s="58">
        <v>45349</v>
      </c>
      <c r="F876" s="58">
        <v>45351</v>
      </c>
      <c r="G876" s="67" t="s">
        <v>234</v>
      </c>
      <c r="H876" s="51" t="s">
        <v>65</v>
      </c>
      <c r="I876" s="58">
        <v>45353</v>
      </c>
      <c r="J876" s="67" t="s">
        <v>234</v>
      </c>
      <c r="K876" s="51">
        <v>100</v>
      </c>
      <c r="L876" s="73"/>
      <c r="M876" s="73"/>
      <c r="N876" s="73"/>
    </row>
    <row r="877" spans="1:14" ht="18.45" customHeight="1" x14ac:dyDescent="0.3">
      <c r="A877" s="51" t="s">
        <v>1951</v>
      </c>
      <c r="B877" s="51" t="s">
        <v>1952</v>
      </c>
      <c r="C877" s="51" t="s">
        <v>232</v>
      </c>
      <c r="D877" s="51">
        <v>26</v>
      </c>
      <c r="E877" s="58">
        <v>45350</v>
      </c>
      <c r="F877" s="58">
        <v>45351</v>
      </c>
      <c r="G877" s="67" t="s">
        <v>234</v>
      </c>
      <c r="H877" s="51" t="s">
        <v>65</v>
      </c>
      <c r="I877" s="58">
        <v>45353</v>
      </c>
      <c r="J877" s="67" t="s">
        <v>234</v>
      </c>
      <c r="K877" s="51">
        <v>250</v>
      </c>
      <c r="L877" s="73"/>
      <c r="M877" s="73"/>
      <c r="N877" s="73"/>
    </row>
    <row r="878" spans="1:14" ht="18.45" customHeight="1" x14ac:dyDescent="0.3">
      <c r="A878" s="51" t="s">
        <v>1953</v>
      </c>
      <c r="B878" s="51" t="s">
        <v>1954</v>
      </c>
      <c r="C878" s="51" t="s">
        <v>232</v>
      </c>
      <c r="D878" s="51">
        <v>17</v>
      </c>
      <c r="E878" s="58">
        <v>45349</v>
      </c>
      <c r="F878" s="58">
        <v>45351</v>
      </c>
      <c r="G878" s="67" t="s">
        <v>234</v>
      </c>
      <c r="H878" s="51" t="s">
        <v>65</v>
      </c>
      <c r="I878" s="58">
        <v>45353</v>
      </c>
      <c r="J878" s="67" t="s">
        <v>234</v>
      </c>
      <c r="K878" s="51">
        <v>350</v>
      </c>
      <c r="L878" s="73"/>
      <c r="M878" s="73"/>
      <c r="N878" s="73"/>
    </row>
    <row r="879" spans="1:14" ht="18.45" customHeight="1" x14ac:dyDescent="0.3">
      <c r="A879" s="51" t="s">
        <v>1955</v>
      </c>
      <c r="B879" s="51" t="s">
        <v>1956</v>
      </c>
      <c r="C879" s="51" t="s">
        <v>227</v>
      </c>
      <c r="D879" s="51">
        <v>52</v>
      </c>
      <c r="E879" s="58">
        <v>45349</v>
      </c>
      <c r="F879" s="58">
        <v>45351</v>
      </c>
      <c r="G879" s="67" t="s">
        <v>234</v>
      </c>
      <c r="H879" s="51" t="s">
        <v>65</v>
      </c>
      <c r="I879" s="58">
        <v>45353</v>
      </c>
      <c r="J879" s="67" t="s">
        <v>234</v>
      </c>
      <c r="K879" s="51">
        <v>50</v>
      </c>
      <c r="L879" s="73"/>
      <c r="M879" s="73"/>
      <c r="N879" s="73"/>
    </row>
    <row r="880" spans="1:14" ht="18.45" customHeight="1" x14ac:dyDescent="0.3">
      <c r="A880" s="48" t="s">
        <v>1957</v>
      </c>
      <c r="B880" s="50" t="s">
        <v>1958</v>
      </c>
      <c r="C880" s="48" t="s">
        <v>95</v>
      </c>
      <c r="D880" s="62">
        <v>44</v>
      </c>
      <c r="E880" s="54">
        <v>45347</v>
      </c>
      <c r="F880" s="54">
        <v>45352</v>
      </c>
      <c r="G880" s="67" t="s">
        <v>234</v>
      </c>
      <c r="H880" s="60" t="s">
        <v>65</v>
      </c>
      <c r="I880" s="92">
        <v>45355</v>
      </c>
      <c r="J880" s="67" t="s">
        <v>234</v>
      </c>
      <c r="K880" s="62">
        <v>250</v>
      </c>
      <c r="L880" s="73"/>
      <c r="M880" s="73"/>
      <c r="N880" s="73"/>
    </row>
    <row r="881" spans="1:14" ht="18.45" customHeight="1" x14ac:dyDescent="0.3">
      <c r="A881" s="48" t="s">
        <v>1959</v>
      </c>
      <c r="B881" s="50" t="s">
        <v>1960</v>
      </c>
      <c r="C881" s="48" t="s">
        <v>92</v>
      </c>
      <c r="D881" s="62">
        <v>77</v>
      </c>
      <c r="E881" s="54">
        <v>45347</v>
      </c>
      <c r="F881" s="54">
        <v>45350</v>
      </c>
      <c r="G881" s="67" t="s">
        <v>234</v>
      </c>
      <c r="H881" s="60" t="s">
        <v>65</v>
      </c>
      <c r="I881" s="92">
        <v>45355</v>
      </c>
      <c r="J881" s="67" t="s">
        <v>234</v>
      </c>
      <c r="K881" s="62">
        <v>300</v>
      </c>
      <c r="L881" s="73"/>
      <c r="M881" s="73"/>
      <c r="N881" s="73"/>
    </row>
    <row r="882" spans="1:14" ht="18.45" customHeight="1" x14ac:dyDescent="0.3">
      <c r="A882" s="76" t="s">
        <v>1961</v>
      </c>
      <c r="B882" s="60" t="s">
        <v>1962</v>
      </c>
      <c r="C882" s="76" t="s">
        <v>91</v>
      </c>
      <c r="D882" s="60">
        <v>22</v>
      </c>
      <c r="E882" s="89">
        <v>45333</v>
      </c>
      <c r="F882" s="89">
        <v>45335</v>
      </c>
      <c r="G882" s="67" t="s">
        <v>234</v>
      </c>
      <c r="H882" s="60" t="s">
        <v>65</v>
      </c>
      <c r="I882" s="92">
        <v>45355</v>
      </c>
      <c r="J882" s="67" t="s">
        <v>234</v>
      </c>
      <c r="K882" s="60">
        <v>250</v>
      </c>
      <c r="L882" s="73"/>
      <c r="M882" s="73"/>
      <c r="N882" s="73"/>
    </row>
    <row r="883" spans="1:14" ht="18.45" customHeight="1" x14ac:dyDescent="0.3">
      <c r="A883" s="76" t="s">
        <v>1963</v>
      </c>
      <c r="B883" s="60" t="s">
        <v>1964</v>
      </c>
      <c r="C883" s="76" t="s">
        <v>91</v>
      </c>
      <c r="D883" s="60">
        <v>57</v>
      </c>
      <c r="E883" s="89">
        <v>45328</v>
      </c>
      <c r="F883" s="89">
        <v>45328</v>
      </c>
      <c r="G883" s="67" t="s">
        <v>234</v>
      </c>
      <c r="H883" s="60" t="s">
        <v>65</v>
      </c>
      <c r="I883" s="92">
        <v>45355</v>
      </c>
      <c r="J883" s="67" t="s">
        <v>234</v>
      </c>
      <c r="K883" s="60">
        <v>200</v>
      </c>
      <c r="L883" s="73"/>
      <c r="M883" s="73"/>
      <c r="N883" s="73"/>
    </row>
    <row r="884" spans="1:14" ht="18.45" customHeight="1" x14ac:dyDescent="0.3">
      <c r="A884" s="48" t="s">
        <v>1965</v>
      </c>
      <c r="B884" s="50" t="s">
        <v>1966</v>
      </c>
      <c r="C884" s="48" t="s">
        <v>94</v>
      </c>
      <c r="D884" s="62">
        <v>55</v>
      </c>
      <c r="E884" s="54">
        <v>45344</v>
      </c>
      <c r="F884" s="54">
        <v>45346</v>
      </c>
      <c r="G884" s="67" t="s">
        <v>234</v>
      </c>
      <c r="H884" s="60" t="s">
        <v>65</v>
      </c>
      <c r="I884" s="92">
        <v>45355</v>
      </c>
      <c r="J884" s="67" t="s">
        <v>234</v>
      </c>
      <c r="K884" s="62">
        <v>220</v>
      </c>
      <c r="L884" s="73"/>
      <c r="M884" s="73"/>
      <c r="N884" s="73"/>
    </row>
    <row r="885" spans="1:14" ht="18.45" customHeight="1" x14ac:dyDescent="0.3">
      <c r="A885" s="48" t="s">
        <v>1967</v>
      </c>
      <c r="B885" s="50" t="s">
        <v>1968</v>
      </c>
      <c r="C885" s="76" t="s">
        <v>2508</v>
      </c>
      <c r="D885" s="62">
        <v>45</v>
      </c>
      <c r="E885" s="88">
        <v>45350</v>
      </c>
      <c r="F885" s="92">
        <v>45351</v>
      </c>
      <c r="G885" s="67" t="s">
        <v>234</v>
      </c>
      <c r="H885" s="60" t="s">
        <v>65</v>
      </c>
      <c r="I885" s="92">
        <v>45355</v>
      </c>
      <c r="J885" s="67" t="s">
        <v>234</v>
      </c>
      <c r="K885" s="62">
        <v>100</v>
      </c>
      <c r="L885" s="73"/>
      <c r="M885" s="73"/>
      <c r="N885" s="73"/>
    </row>
    <row r="886" spans="1:14" ht="18.45" customHeight="1" x14ac:dyDescent="0.3">
      <c r="A886" s="48" t="s">
        <v>1969</v>
      </c>
      <c r="B886" s="50" t="s">
        <v>1970</v>
      </c>
      <c r="C886" s="48" t="s">
        <v>120</v>
      </c>
      <c r="D886" s="62">
        <v>5</v>
      </c>
      <c r="E886" s="54">
        <v>45142</v>
      </c>
      <c r="F886" s="54">
        <v>45349</v>
      </c>
      <c r="G886" s="67" t="s">
        <v>234</v>
      </c>
      <c r="H886" s="60" t="s">
        <v>65</v>
      </c>
      <c r="I886" s="92">
        <v>45355</v>
      </c>
      <c r="J886" s="67" t="s">
        <v>234</v>
      </c>
      <c r="K886" s="62">
        <v>250</v>
      </c>
      <c r="L886" s="73"/>
      <c r="M886" s="73"/>
      <c r="N886" s="73"/>
    </row>
    <row r="887" spans="1:14" ht="18.45" customHeight="1" x14ac:dyDescent="0.3">
      <c r="A887" s="76" t="s">
        <v>1971</v>
      </c>
      <c r="B887" s="76" t="s">
        <v>1972</v>
      </c>
      <c r="C887" s="76" t="s">
        <v>2500</v>
      </c>
      <c r="D887" s="62">
        <v>5</v>
      </c>
      <c r="E887" s="88">
        <v>45289</v>
      </c>
      <c r="F887" s="88">
        <v>45335</v>
      </c>
      <c r="G887" s="67" t="s">
        <v>234</v>
      </c>
      <c r="H887" s="60" t="s">
        <v>65</v>
      </c>
      <c r="I887" s="92">
        <v>45355</v>
      </c>
      <c r="J887" s="67" t="s">
        <v>234</v>
      </c>
      <c r="K887" s="62">
        <v>150</v>
      </c>
      <c r="L887" s="73"/>
      <c r="M887" s="73"/>
      <c r="N887" s="73"/>
    </row>
    <row r="888" spans="1:14" ht="18.45" customHeight="1" x14ac:dyDescent="0.3">
      <c r="A888" s="76" t="s">
        <v>1973</v>
      </c>
      <c r="B888" s="60" t="s">
        <v>1974</v>
      </c>
      <c r="C888" s="76" t="s">
        <v>91</v>
      </c>
      <c r="D888" s="60">
        <v>74</v>
      </c>
      <c r="E888" s="89">
        <v>45321</v>
      </c>
      <c r="F888" s="89">
        <v>45322</v>
      </c>
      <c r="G888" s="67" t="s">
        <v>234</v>
      </c>
      <c r="H888" s="60" t="s">
        <v>65</v>
      </c>
      <c r="I888" s="92">
        <v>45355</v>
      </c>
      <c r="J888" s="67" t="s">
        <v>234</v>
      </c>
      <c r="K888" s="60">
        <v>50</v>
      </c>
      <c r="L888" s="73"/>
      <c r="M888" s="73"/>
      <c r="N888" s="73"/>
    </row>
    <row r="889" spans="1:14" ht="18.45" customHeight="1" x14ac:dyDescent="0.3">
      <c r="A889" s="51" t="s">
        <v>1975</v>
      </c>
      <c r="B889" s="51" t="s">
        <v>1976</v>
      </c>
      <c r="C889" s="51" t="s">
        <v>2480</v>
      </c>
      <c r="D889" s="51">
        <v>11</v>
      </c>
      <c r="E889" s="58">
        <v>45349</v>
      </c>
      <c r="F889" s="58">
        <v>45351</v>
      </c>
      <c r="G889" s="67" t="s">
        <v>234</v>
      </c>
      <c r="H889" s="51" t="s">
        <v>65</v>
      </c>
      <c r="I889" s="58">
        <v>45355</v>
      </c>
      <c r="J889" s="67" t="s">
        <v>234</v>
      </c>
      <c r="K889" s="51">
        <v>150</v>
      </c>
      <c r="L889" s="73"/>
      <c r="M889" s="73"/>
      <c r="N889" s="73"/>
    </row>
    <row r="890" spans="1:14" ht="18.45" customHeight="1" x14ac:dyDescent="0.3">
      <c r="A890" s="51" t="s">
        <v>1977</v>
      </c>
      <c r="B890" s="51" t="s">
        <v>1978</v>
      </c>
      <c r="C890" s="51" t="s">
        <v>231</v>
      </c>
      <c r="D890" s="51">
        <v>5</v>
      </c>
      <c r="E890" s="58">
        <v>45352</v>
      </c>
      <c r="F890" s="58">
        <v>45353</v>
      </c>
      <c r="G890" s="67" t="s">
        <v>234</v>
      </c>
      <c r="H890" s="51" t="s">
        <v>65</v>
      </c>
      <c r="I890" s="58">
        <v>45355</v>
      </c>
      <c r="J890" s="67" t="s">
        <v>234</v>
      </c>
      <c r="K890" s="51">
        <v>200</v>
      </c>
      <c r="L890" s="73"/>
      <c r="M890" s="73"/>
      <c r="N890" s="73"/>
    </row>
    <row r="891" spans="1:14" ht="18.45" customHeight="1" x14ac:dyDescent="0.3">
      <c r="A891" s="51" t="s">
        <v>1979</v>
      </c>
      <c r="B891" s="51" t="s">
        <v>1980</v>
      </c>
      <c r="C891" s="51" t="s">
        <v>231</v>
      </c>
      <c r="D891" s="51">
        <v>15</v>
      </c>
      <c r="E891" s="58">
        <v>45345</v>
      </c>
      <c r="F891" s="58">
        <v>45351</v>
      </c>
      <c r="G891" s="67" t="s">
        <v>234</v>
      </c>
      <c r="H891" s="51" t="s">
        <v>65</v>
      </c>
      <c r="I891" s="58">
        <v>45355</v>
      </c>
      <c r="J891" s="67" t="s">
        <v>234</v>
      </c>
      <c r="K891" s="51">
        <v>250</v>
      </c>
      <c r="L891" s="73"/>
      <c r="M891" s="73"/>
      <c r="N891" s="73"/>
    </row>
    <row r="892" spans="1:14" ht="18.45" customHeight="1" x14ac:dyDescent="0.3">
      <c r="A892" s="51" t="s">
        <v>1981</v>
      </c>
      <c r="B892" s="51" t="s">
        <v>1982</v>
      </c>
      <c r="C892" s="51" t="s">
        <v>232</v>
      </c>
      <c r="D892" s="51">
        <v>81</v>
      </c>
      <c r="E892" s="58">
        <v>45342</v>
      </c>
      <c r="F892" s="58">
        <v>45343</v>
      </c>
      <c r="G892" s="67" t="s">
        <v>234</v>
      </c>
      <c r="H892" s="51" t="s">
        <v>65</v>
      </c>
      <c r="I892" s="58">
        <v>45355</v>
      </c>
      <c r="J892" s="67" t="s">
        <v>234</v>
      </c>
      <c r="K892" s="51">
        <v>350</v>
      </c>
      <c r="L892" s="73"/>
      <c r="M892" s="73"/>
      <c r="N892" s="73"/>
    </row>
    <row r="893" spans="1:14" ht="18.45" customHeight="1" x14ac:dyDescent="0.3">
      <c r="A893" s="51" t="s">
        <v>1983</v>
      </c>
      <c r="B893" s="51" t="s">
        <v>1984</v>
      </c>
      <c r="C893" s="51" t="s">
        <v>231</v>
      </c>
      <c r="D893" s="51">
        <v>29</v>
      </c>
      <c r="E893" s="58">
        <v>45349</v>
      </c>
      <c r="F893" s="58">
        <v>45351</v>
      </c>
      <c r="G893" s="67" t="s">
        <v>234</v>
      </c>
      <c r="H893" s="51" t="s">
        <v>65</v>
      </c>
      <c r="I893" s="58">
        <v>45355</v>
      </c>
      <c r="J893" s="67" t="s">
        <v>234</v>
      </c>
      <c r="K893" s="51">
        <v>50</v>
      </c>
      <c r="L893" s="73"/>
      <c r="M893" s="73"/>
      <c r="N893" s="73"/>
    </row>
    <row r="894" spans="1:14" ht="18.45" customHeight="1" x14ac:dyDescent="0.3">
      <c r="A894" s="51" t="s">
        <v>1985</v>
      </c>
      <c r="B894" s="51" t="s">
        <v>1986</v>
      </c>
      <c r="C894" s="51" t="s">
        <v>231</v>
      </c>
      <c r="D894" s="51">
        <v>3</v>
      </c>
      <c r="E894" s="58">
        <v>45352</v>
      </c>
      <c r="F894" s="58">
        <v>45353</v>
      </c>
      <c r="G894" s="67" t="s">
        <v>234</v>
      </c>
      <c r="H894" s="51" t="s">
        <v>65</v>
      </c>
      <c r="I894" s="58">
        <v>45355</v>
      </c>
      <c r="J894" s="67" t="s">
        <v>234</v>
      </c>
      <c r="K894" s="51">
        <v>80</v>
      </c>
      <c r="L894" s="73"/>
      <c r="M894" s="73"/>
      <c r="N894" s="73"/>
    </row>
    <row r="895" spans="1:14" ht="18.45" customHeight="1" x14ac:dyDescent="0.3">
      <c r="A895" s="51" t="s">
        <v>1987</v>
      </c>
      <c r="B895" s="51" t="s">
        <v>1988</v>
      </c>
      <c r="C895" s="51" t="s">
        <v>229</v>
      </c>
      <c r="D895" s="51">
        <v>32</v>
      </c>
      <c r="E895" s="58">
        <v>45348</v>
      </c>
      <c r="F895" s="58">
        <v>45349</v>
      </c>
      <c r="G895" s="67" t="s">
        <v>234</v>
      </c>
      <c r="H895" s="51" t="s">
        <v>65</v>
      </c>
      <c r="I895" s="58">
        <v>45355</v>
      </c>
      <c r="J895" s="67" t="s">
        <v>234</v>
      </c>
      <c r="K895" s="51">
        <v>350</v>
      </c>
      <c r="L895" s="73"/>
      <c r="M895" s="73"/>
      <c r="N895" s="73"/>
    </row>
    <row r="896" spans="1:14" ht="18.45" customHeight="1" x14ac:dyDescent="0.3">
      <c r="A896" s="51" t="s">
        <v>1989</v>
      </c>
      <c r="B896" s="51" t="s">
        <v>1990</v>
      </c>
      <c r="C896" s="51" t="s">
        <v>113</v>
      </c>
      <c r="D896" s="51">
        <v>5</v>
      </c>
      <c r="E896" s="58">
        <v>45352</v>
      </c>
      <c r="F896" s="58">
        <v>45353</v>
      </c>
      <c r="G896" s="67" t="s">
        <v>234</v>
      </c>
      <c r="H896" s="51" t="s">
        <v>65</v>
      </c>
      <c r="I896" s="58">
        <v>45355</v>
      </c>
      <c r="J896" s="67" t="s">
        <v>234</v>
      </c>
      <c r="K896" s="51">
        <v>250</v>
      </c>
      <c r="L896" s="73"/>
      <c r="M896" s="73"/>
      <c r="N896" s="73"/>
    </row>
    <row r="897" spans="1:14" ht="18.45" customHeight="1" x14ac:dyDescent="0.3">
      <c r="A897" s="51" t="s">
        <v>1991</v>
      </c>
      <c r="B897" s="51" t="s">
        <v>1992</v>
      </c>
      <c r="C897" s="51" t="s">
        <v>113</v>
      </c>
      <c r="D897" s="51">
        <v>38</v>
      </c>
      <c r="E897" s="58">
        <v>45350</v>
      </c>
      <c r="F897" s="58">
        <v>45351</v>
      </c>
      <c r="G897" s="67" t="s">
        <v>234</v>
      </c>
      <c r="H897" s="51" t="s">
        <v>65</v>
      </c>
      <c r="I897" s="58">
        <v>45355</v>
      </c>
      <c r="J897" s="67" t="s">
        <v>234</v>
      </c>
      <c r="K897" s="51">
        <v>200</v>
      </c>
      <c r="L897" s="73"/>
      <c r="M897" s="73"/>
      <c r="N897" s="73"/>
    </row>
    <row r="898" spans="1:14" ht="18.45" customHeight="1" x14ac:dyDescent="0.3">
      <c r="A898" s="51" t="s">
        <v>1993</v>
      </c>
      <c r="B898" s="51" t="s">
        <v>1994</v>
      </c>
      <c r="C898" s="51" t="s">
        <v>113</v>
      </c>
      <c r="D898" s="51">
        <v>10</v>
      </c>
      <c r="E898" s="58">
        <v>45349</v>
      </c>
      <c r="F898" s="58">
        <v>45351</v>
      </c>
      <c r="G898" s="67" t="s">
        <v>234</v>
      </c>
      <c r="H898" s="51" t="s">
        <v>65</v>
      </c>
      <c r="I898" s="58">
        <v>45355</v>
      </c>
      <c r="J898" s="67" t="s">
        <v>234</v>
      </c>
      <c r="K898" s="51">
        <v>70</v>
      </c>
      <c r="L898" s="73"/>
      <c r="M898" s="73"/>
      <c r="N898" s="73"/>
    </row>
    <row r="899" spans="1:14" ht="18.45" customHeight="1" x14ac:dyDescent="0.3">
      <c r="A899" s="51" t="s">
        <v>1995</v>
      </c>
      <c r="B899" s="51" t="s">
        <v>1996</v>
      </c>
      <c r="C899" s="51" t="s">
        <v>223</v>
      </c>
      <c r="D899" s="84">
        <v>105</v>
      </c>
      <c r="E899" s="54">
        <v>45353</v>
      </c>
      <c r="F899" s="54">
        <v>45353</v>
      </c>
      <c r="G899" s="67" t="s">
        <v>234</v>
      </c>
      <c r="H899" s="51" t="s">
        <v>65</v>
      </c>
      <c r="I899" s="54">
        <v>45355</v>
      </c>
      <c r="J899" s="67" t="s">
        <v>234</v>
      </c>
      <c r="K899" s="51">
        <v>100</v>
      </c>
      <c r="L899" s="73"/>
      <c r="M899" s="73"/>
      <c r="N899" s="73"/>
    </row>
    <row r="900" spans="1:14" ht="18.45" customHeight="1" x14ac:dyDescent="0.3">
      <c r="A900" s="51" t="s">
        <v>1997</v>
      </c>
      <c r="B900" s="51" t="s">
        <v>1998</v>
      </c>
      <c r="C900" s="51" t="s">
        <v>223</v>
      </c>
      <c r="D900" s="84">
        <v>47</v>
      </c>
      <c r="E900" s="54">
        <v>45352</v>
      </c>
      <c r="F900" s="54">
        <v>45353</v>
      </c>
      <c r="G900" s="67" t="s">
        <v>234</v>
      </c>
      <c r="H900" s="51" t="s">
        <v>65</v>
      </c>
      <c r="I900" s="54">
        <v>45355</v>
      </c>
      <c r="J900" s="67" t="s">
        <v>234</v>
      </c>
      <c r="K900" s="51">
        <v>200</v>
      </c>
      <c r="L900" s="73"/>
      <c r="M900" s="73"/>
      <c r="N900" s="73"/>
    </row>
    <row r="901" spans="1:14" ht="18.45" customHeight="1" x14ac:dyDescent="0.3">
      <c r="A901" s="51" t="s">
        <v>1999</v>
      </c>
      <c r="B901" s="51" t="s">
        <v>2000</v>
      </c>
      <c r="C901" s="51" t="s">
        <v>223</v>
      </c>
      <c r="D901" s="84">
        <v>61</v>
      </c>
      <c r="E901" s="54">
        <v>45342</v>
      </c>
      <c r="F901" s="54">
        <v>45352</v>
      </c>
      <c r="G901" s="67" t="s">
        <v>234</v>
      </c>
      <c r="H901" s="51" t="s">
        <v>65</v>
      </c>
      <c r="I901" s="54">
        <v>45355</v>
      </c>
      <c r="J901" s="67" t="s">
        <v>234</v>
      </c>
      <c r="K901" s="51">
        <v>350</v>
      </c>
      <c r="L901" s="73"/>
      <c r="M901" s="73"/>
      <c r="N901" s="73"/>
    </row>
    <row r="902" spans="1:14" ht="18.45" customHeight="1" x14ac:dyDescent="0.3">
      <c r="A902" s="51" t="s">
        <v>2001</v>
      </c>
      <c r="B902" s="51" t="s">
        <v>2002</v>
      </c>
      <c r="C902" s="51" t="s">
        <v>2509</v>
      </c>
      <c r="D902" s="84">
        <v>4</v>
      </c>
      <c r="E902" s="54">
        <v>45013</v>
      </c>
      <c r="F902" s="54">
        <v>45352</v>
      </c>
      <c r="G902" s="67" t="s">
        <v>234</v>
      </c>
      <c r="H902" s="51" t="s">
        <v>65</v>
      </c>
      <c r="I902" s="54">
        <v>45355</v>
      </c>
      <c r="J902" s="67" t="s">
        <v>234</v>
      </c>
      <c r="K902" s="51">
        <v>500</v>
      </c>
      <c r="L902" s="73"/>
      <c r="M902" s="73"/>
      <c r="N902" s="73"/>
    </row>
    <row r="903" spans="1:14" ht="18.45" customHeight="1" x14ac:dyDescent="0.3">
      <c r="A903" s="51"/>
      <c r="B903" s="51" t="s">
        <v>2003</v>
      </c>
      <c r="C903" s="51" t="s">
        <v>2510</v>
      </c>
      <c r="D903" s="84">
        <v>57</v>
      </c>
      <c r="E903" s="54">
        <v>45013</v>
      </c>
      <c r="F903" s="54">
        <v>45352</v>
      </c>
      <c r="G903" s="67" t="s">
        <v>234</v>
      </c>
      <c r="H903" s="51" t="s">
        <v>65</v>
      </c>
      <c r="I903" s="54">
        <v>45355</v>
      </c>
      <c r="J903" s="67" t="s">
        <v>234</v>
      </c>
      <c r="K903" s="51">
        <v>350</v>
      </c>
      <c r="L903" s="73"/>
      <c r="M903" s="73"/>
      <c r="N903" s="73"/>
    </row>
    <row r="904" spans="1:14" ht="18.45" customHeight="1" x14ac:dyDescent="0.3">
      <c r="A904" s="51" t="s">
        <v>2004</v>
      </c>
      <c r="B904" s="51" t="s">
        <v>2005</v>
      </c>
      <c r="C904" s="51" t="s">
        <v>223</v>
      </c>
      <c r="D904" s="84">
        <v>104</v>
      </c>
      <c r="E904" s="54">
        <v>45350</v>
      </c>
      <c r="F904" s="54">
        <v>45350</v>
      </c>
      <c r="G904" s="67" t="s">
        <v>234</v>
      </c>
      <c r="H904" s="51" t="s">
        <v>65</v>
      </c>
      <c r="I904" s="54">
        <v>45355</v>
      </c>
      <c r="J904" s="67" t="s">
        <v>234</v>
      </c>
      <c r="K904" s="51">
        <v>200</v>
      </c>
      <c r="L904" s="73"/>
      <c r="M904" s="73"/>
      <c r="N904" s="73"/>
    </row>
    <row r="905" spans="1:14" ht="18.45" customHeight="1" x14ac:dyDescent="0.3">
      <c r="A905" s="51" t="s">
        <v>2006</v>
      </c>
      <c r="B905" s="51" t="s">
        <v>2007</v>
      </c>
      <c r="C905" s="51" t="s">
        <v>223</v>
      </c>
      <c r="D905" s="84">
        <v>57</v>
      </c>
      <c r="E905" s="54">
        <v>45353</v>
      </c>
      <c r="F905" s="54">
        <v>45353</v>
      </c>
      <c r="G905" s="67" t="s">
        <v>234</v>
      </c>
      <c r="H905" s="51" t="s">
        <v>65</v>
      </c>
      <c r="I905" s="54">
        <v>45355</v>
      </c>
      <c r="J905" s="67" t="s">
        <v>234</v>
      </c>
      <c r="K905" s="51">
        <v>300</v>
      </c>
      <c r="L905" s="73"/>
      <c r="M905" s="73"/>
      <c r="N905" s="73"/>
    </row>
    <row r="906" spans="1:14" ht="18.45" customHeight="1" x14ac:dyDescent="0.3">
      <c r="A906" s="48" t="s">
        <v>2008</v>
      </c>
      <c r="B906" s="50" t="s">
        <v>2009</v>
      </c>
      <c r="C906" s="48" t="s">
        <v>92</v>
      </c>
      <c r="D906" s="62">
        <v>25</v>
      </c>
      <c r="E906" s="54">
        <v>45346</v>
      </c>
      <c r="F906" s="54">
        <v>45348</v>
      </c>
      <c r="G906" s="67" t="s">
        <v>234</v>
      </c>
      <c r="H906" s="60" t="s">
        <v>65</v>
      </c>
      <c r="I906" s="89">
        <v>45356</v>
      </c>
      <c r="J906" s="67" t="s">
        <v>234</v>
      </c>
      <c r="K906" s="62">
        <v>250</v>
      </c>
      <c r="L906" s="73"/>
      <c r="M906" s="73"/>
      <c r="N906" s="73"/>
    </row>
    <row r="907" spans="1:14" ht="18.45" customHeight="1" x14ac:dyDescent="0.3">
      <c r="A907" s="48" t="s">
        <v>2010</v>
      </c>
      <c r="B907" s="48" t="s">
        <v>2011</v>
      </c>
      <c r="C907" s="76" t="s">
        <v>134</v>
      </c>
      <c r="D907" s="62">
        <v>45</v>
      </c>
      <c r="E907" s="56">
        <v>45349</v>
      </c>
      <c r="F907" s="56">
        <v>45350</v>
      </c>
      <c r="G907" s="67" t="s">
        <v>234</v>
      </c>
      <c r="H907" s="60" t="s">
        <v>65</v>
      </c>
      <c r="I907" s="89">
        <v>45356</v>
      </c>
      <c r="J907" s="67" t="s">
        <v>234</v>
      </c>
      <c r="K907" s="62">
        <v>100</v>
      </c>
      <c r="L907" s="73"/>
      <c r="M907" s="73"/>
      <c r="N907" s="73"/>
    </row>
    <row r="908" spans="1:14" ht="18.45" customHeight="1" x14ac:dyDescent="0.3">
      <c r="A908" s="48" t="s">
        <v>2012</v>
      </c>
      <c r="B908" s="50" t="s">
        <v>2013</v>
      </c>
      <c r="C908" s="48" t="s">
        <v>92</v>
      </c>
      <c r="D908" s="62">
        <v>17</v>
      </c>
      <c r="E908" s="54">
        <v>45309</v>
      </c>
      <c r="F908" s="54">
        <v>45349</v>
      </c>
      <c r="G908" s="67" t="s">
        <v>234</v>
      </c>
      <c r="H908" s="60" t="s">
        <v>65</v>
      </c>
      <c r="I908" s="89">
        <v>45356</v>
      </c>
      <c r="J908" s="67" t="s">
        <v>234</v>
      </c>
      <c r="K908" s="62">
        <v>300</v>
      </c>
      <c r="L908" s="73"/>
      <c r="M908" s="73"/>
      <c r="N908" s="73"/>
    </row>
    <row r="909" spans="1:14" ht="18.45" customHeight="1" x14ac:dyDescent="0.3">
      <c r="A909" s="76" t="s">
        <v>2014</v>
      </c>
      <c r="B909" s="60" t="s">
        <v>2015</v>
      </c>
      <c r="C909" s="76" t="s">
        <v>2503</v>
      </c>
      <c r="D909" s="60">
        <v>45</v>
      </c>
      <c r="E909" s="89">
        <v>45288</v>
      </c>
      <c r="F909" s="89">
        <v>45288</v>
      </c>
      <c r="G909" s="67" t="s">
        <v>234</v>
      </c>
      <c r="H909" s="60" t="s">
        <v>65</v>
      </c>
      <c r="I909" s="89">
        <v>45356</v>
      </c>
      <c r="J909" s="67" t="s">
        <v>234</v>
      </c>
      <c r="K909" s="60">
        <v>150</v>
      </c>
      <c r="L909" s="73"/>
      <c r="M909" s="73"/>
      <c r="N909" s="73"/>
    </row>
    <row r="910" spans="1:14" ht="18.45" customHeight="1" x14ac:dyDescent="0.3">
      <c r="A910" s="76" t="s">
        <v>2016</v>
      </c>
      <c r="B910" s="60" t="s">
        <v>2017</v>
      </c>
      <c r="C910" s="76" t="s">
        <v>91</v>
      </c>
      <c r="D910" s="60">
        <v>73</v>
      </c>
      <c r="E910" s="89">
        <v>45336</v>
      </c>
      <c r="F910" s="89">
        <v>45337</v>
      </c>
      <c r="G910" s="67" t="s">
        <v>234</v>
      </c>
      <c r="H910" s="60" t="s">
        <v>65</v>
      </c>
      <c r="I910" s="89">
        <v>45356</v>
      </c>
      <c r="J910" s="67" t="s">
        <v>234</v>
      </c>
      <c r="K910" s="60">
        <v>250</v>
      </c>
      <c r="L910" s="73"/>
      <c r="M910" s="73"/>
      <c r="N910" s="73"/>
    </row>
    <row r="911" spans="1:14" ht="18.45" customHeight="1" x14ac:dyDescent="0.3">
      <c r="A911" s="48" t="s">
        <v>2018</v>
      </c>
      <c r="B911" s="50" t="s">
        <v>2019</v>
      </c>
      <c r="C911" s="76" t="s">
        <v>2503</v>
      </c>
      <c r="D911" s="62">
        <v>21</v>
      </c>
      <c r="E911" s="54">
        <v>45348</v>
      </c>
      <c r="F911" s="54">
        <v>45349</v>
      </c>
      <c r="G911" s="67" t="s">
        <v>234</v>
      </c>
      <c r="H911" s="60" t="s">
        <v>65</v>
      </c>
      <c r="I911" s="89">
        <v>45356</v>
      </c>
      <c r="J911" s="67" t="s">
        <v>234</v>
      </c>
      <c r="K911" s="62">
        <v>350</v>
      </c>
      <c r="L911" s="73"/>
      <c r="M911" s="73"/>
      <c r="N911" s="73"/>
    </row>
    <row r="912" spans="1:14" ht="18.45" customHeight="1" x14ac:dyDescent="0.3">
      <c r="A912" s="99" t="s">
        <v>2020</v>
      </c>
      <c r="B912" s="75" t="s">
        <v>2021</v>
      </c>
      <c r="C912" s="99" t="s">
        <v>120</v>
      </c>
      <c r="D912" s="71">
        <v>28</v>
      </c>
      <c r="E912" s="85">
        <v>45352</v>
      </c>
      <c r="F912" s="85">
        <v>45355</v>
      </c>
      <c r="G912" s="67" t="s">
        <v>234</v>
      </c>
      <c r="H912" s="71" t="s">
        <v>65</v>
      </c>
      <c r="I912" s="87">
        <v>45356</v>
      </c>
      <c r="J912" s="67" t="s">
        <v>234</v>
      </c>
      <c r="K912" s="71">
        <v>50</v>
      </c>
      <c r="L912" s="73"/>
      <c r="M912" s="73"/>
      <c r="N912" s="73"/>
    </row>
    <row r="913" spans="1:14" ht="18.45" customHeight="1" x14ac:dyDescent="0.3">
      <c r="A913" s="76" t="s">
        <v>2022</v>
      </c>
      <c r="B913" s="60" t="s">
        <v>2023</v>
      </c>
      <c r="C913" s="76" t="s">
        <v>91</v>
      </c>
      <c r="D913" s="60">
        <v>110</v>
      </c>
      <c r="E913" s="89">
        <v>45306</v>
      </c>
      <c r="F913" s="89">
        <v>45307</v>
      </c>
      <c r="G913" s="67" t="s">
        <v>234</v>
      </c>
      <c r="H913" s="60" t="s">
        <v>65</v>
      </c>
      <c r="I913" s="89">
        <v>45356</v>
      </c>
      <c r="J913" s="67" t="s">
        <v>234</v>
      </c>
      <c r="K913" s="60">
        <v>250</v>
      </c>
      <c r="L913" s="73"/>
      <c r="M913" s="73"/>
      <c r="N913" s="73"/>
    </row>
    <row r="914" spans="1:14" ht="18.45" customHeight="1" x14ac:dyDescent="0.3">
      <c r="A914" s="48" t="s">
        <v>2024</v>
      </c>
      <c r="B914" s="50" t="s">
        <v>2025</v>
      </c>
      <c r="C914" s="48" t="s">
        <v>91</v>
      </c>
      <c r="D914" s="62">
        <v>111</v>
      </c>
      <c r="E914" s="54">
        <v>45345</v>
      </c>
      <c r="F914" s="54">
        <v>45348</v>
      </c>
      <c r="G914" s="67" t="s">
        <v>234</v>
      </c>
      <c r="H914" s="60" t="s">
        <v>65</v>
      </c>
      <c r="I914" s="89">
        <v>45356</v>
      </c>
      <c r="J914" s="67" t="s">
        <v>234</v>
      </c>
      <c r="K914" s="62">
        <v>50</v>
      </c>
      <c r="L914" s="73"/>
      <c r="M914" s="73"/>
      <c r="N914" s="73"/>
    </row>
    <row r="915" spans="1:14" ht="18.45" customHeight="1" x14ac:dyDescent="0.3">
      <c r="A915" s="48" t="s">
        <v>2026</v>
      </c>
      <c r="B915" s="48" t="s">
        <v>2027</v>
      </c>
      <c r="C915" s="76" t="s">
        <v>135</v>
      </c>
      <c r="D915" s="62">
        <v>55</v>
      </c>
      <c r="E915" s="54">
        <v>45056</v>
      </c>
      <c r="F915" s="54">
        <v>45349</v>
      </c>
      <c r="G915" s="67" t="s">
        <v>234</v>
      </c>
      <c r="H915" s="60" t="s">
        <v>65</v>
      </c>
      <c r="I915" s="89">
        <v>45356</v>
      </c>
      <c r="J915" s="67" t="s">
        <v>234</v>
      </c>
      <c r="K915" s="62">
        <v>250</v>
      </c>
      <c r="L915" s="73"/>
      <c r="M915" s="73"/>
      <c r="N915" s="73"/>
    </row>
    <row r="916" spans="1:14" ht="18.45" customHeight="1" x14ac:dyDescent="0.3">
      <c r="A916" s="99" t="s">
        <v>2028</v>
      </c>
      <c r="B916" s="75" t="s">
        <v>2029</v>
      </c>
      <c r="C916" s="99" t="s">
        <v>95</v>
      </c>
      <c r="D916" s="71">
        <v>32</v>
      </c>
      <c r="E916" s="85">
        <v>45352</v>
      </c>
      <c r="F916" s="85">
        <v>45355</v>
      </c>
      <c r="G916" s="67" t="s">
        <v>234</v>
      </c>
      <c r="H916" s="71" t="s">
        <v>65</v>
      </c>
      <c r="I916" s="89">
        <v>45356</v>
      </c>
      <c r="J916" s="67" t="s">
        <v>234</v>
      </c>
      <c r="K916" s="71">
        <v>50</v>
      </c>
      <c r="L916" s="73"/>
      <c r="M916" s="73"/>
      <c r="N916" s="73"/>
    </row>
    <row r="917" spans="1:14" ht="18.45" customHeight="1" x14ac:dyDescent="0.3">
      <c r="A917" s="51" t="s">
        <v>2030</v>
      </c>
      <c r="B917" s="51" t="s">
        <v>2031</v>
      </c>
      <c r="C917" s="51" t="s">
        <v>224</v>
      </c>
      <c r="D917" s="84">
        <v>11</v>
      </c>
      <c r="E917" s="54">
        <v>45352</v>
      </c>
      <c r="F917" s="54">
        <v>45353</v>
      </c>
      <c r="G917" s="67" t="s">
        <v>234</v>
      </c>
      <c r="H917" s="51" t="s">
        <v>65</v>
      </c>
      <c r="I917" s="54">
        <v>45356</v>
      </c>
      <c r="J917" s="67" t="s">
        <v>234</v>
      </c>
      <c r="K917" s="51">
        <v>300</v>
      </c>
      <c r="L917" s="73"/>
      <c r="M917" s="73"/>
      <c r="N917" s="73"/>
    </row>
    <row r="918" spans="1:14" ht="18.45" customHeight="1" x14ac:dyDescent="0.3">
      <c r="A918" s="51" t="s">
        <v>2032</v>
      </c>
      <c r="B918" s="51" t="s">
        <v>2033</v>
      </c>
      <c r="C918" s="51" t="s">
        <v>218</v>
      </c>
      <c r="D918" s="84">
        <v>9</v>
      </c>
      <c r="E918" s="54">
        <v>45343</v>
      </c>
      <c r="F918" s="54">
        <v>45352</v>
      </c>
      <c r="G918" s="67" t="s">
        <v>234</v>
      </c>
      <c r="H918" s="51" t="s">
        <v>65</v>
      </c>
      <c r="I918" s="54">
        <v>45356</v>
      </c>
      <c r="J918" s="67" t="s">
        <v>234</v>
      </c>
      <c r="K918" s="51">
        <v>50</v>
      </c>
      <c r="L918" s="73"/>
      <c r="M918" s="73"/>
      <c r="N918" s="73"/>
    </row>
    <row r="919" spans="1:14" ht="18.45" customHeight="1" x14ac:dyDescent="0.3">
      <c r="A919" s="51" t="s">
        <v>2034</v>
      </c>
      <c r="B919" s="51" t="s">
        <v>2035</v>
      </c>
      <c r="C919" s="51" t="s">
        <v>222</v>
      </c>
      <c r="D919" s="84">
        <v>21</v>
      </c>
      <c r="E919" s="54">
        <v>45342</v>
      </c>
      <c r="F919" s="54">
        <v>45352</v>
      </c>
      <c r="G919" s="67" t="s">
        <v>234</v>
      </c>
      <c r="H919" s="51" t="s">
        <v>65</v>
      </c>
      <c r="I919" s="54">
        <v>45356</v>
      </c>
      <c r="J919" s="67" t="s">
        <v>234</v>
      </c>
      <c r="K919" s="51">
        <v>300</v>
      </c>
      <c r="L919" s="73"/>
      <c r="M919" s="73"/>
      <c r="N919" s="73"/>
    </row>
    <row r="920" spans="1:14" ht="18.45" customHeight="1" x14ac:dyDescent="0.3">
      <c r="A920" s="51" t="s">
        <v>2036</v>
      </c>
      <c r="B920" s="51" t="s">
        <v>2037</v>
      </c>
      <c r="C920" s="51" t="s">
        <v>222</v>
      </c>
      <c r="D920" s="84">
        <v>4</v>
      </c>
      <c r="E920" s="54">
        <v>45352</v>
      </c>
      <c r="F920" s="54">
        <v>45353</v>
      </c>
      <c r="G920" s="67" t="s">
        <v>234</v>
      </c>
      <c r="H920" s="51" t="s">
        <v>65</v>
      </c>
      <c r="I920" s="54">
        <v>45356</v>
      </c>
      <c r="J920" s="67" t="s">
        <v>234</v>
      </c>
      <c r="K920" s="51">
        <v>300</v>
      </c>
      <c r="L920" s="73"/>
      <c r="M920" s="73"/>
      <c r="N920" s="73"/>
    </row>
    <row r="921" spans="1:14" ht="18.45" customHeight="1" x14ac:dyDescent="0.3">
      <c r="A921" s="51" t="s">
        <v>2038</v>
      </c>
      <c r="B921" s="51" t="s">
        <v>2039</v>
      </c>
      <c r="C921" s="51" t="s">
        <v>211</v>
      </c>
      <c r="D921" s="84">
        <v>11</v>
      </c>
      <c r="E921" s="54">
        <v>45321</v>
      </c>
      <c r="F921" s="54">
        <v>45321</v>
      </c>
      <c r="G921" s="67" t="s">
        <v>234</v>
      </c>
      <c r="H921" s="51" t="s">
        <v>65</v>
      </c>
      <c r="I921" s="54">
        <v>45356</v>
      </c>
      <c r="J921" s="67" t="s">
        <v>234</v>
      </c>
      <c r="K921" s="51">
        <v>350</v>
      </c>
      <c r="L921" s="73"/>
      <c r="M921" s="73"/>
      <c r="N921" s="73"/>
    </row>
    <row r="922" spans="1:14" ht="18.45" customHeight="1" x14ac:dyDescent="0.3">
      <c r="A922" s="51" t="s">
        <v>2040</v>
      </c>
      <c r="B922" s="51" t="s">
        <v>2041</v>
      </c>
      <c r="C922" s="51" t="s">
        <v>2511</v>
      </c>
      <c r="D922" s="84">
        <v>4</v>
      </c>
      <c r="E922" s="54">
        <v>45353</v>
      </c>
      <c r="F922" s="54">
        <v>45353</v>
      </c>
      <c r="G922" s="67" t="s">
        <v>234</v>
      </c>
      <c r="H922" s="51" t="s">
        <v>65</v>
      </c>
      <c r="I922" s="54">
        <v>45356</v>
      </c>
      <c r="J922" s="67" t="s">
        <v>234</v>
      </c>
      <c r="K922" s="51">
        <v>200</v>
      </c>
      <c r="L922" s="73"/>
      <c r="M922" s="73"/>
      <c r="N922" s="73"/>
    </row>
    <row r="923" spans="1:14" ht="18.45" customHeight="1" x14ac:dyDescent="0.3">
      <c r="A923" s="51" t="s">
        <v>2042</v>
      </c>
      <c r="B923" s="51" t="s">
        <v>2043</v>
      </c>
      <c r="C923" s="51" t="s">
        <v>226</v>
      </c>
      <c r="D923" s="84">
        <v>20</v>
      </c>
      <c r="E923" s="54">
        <v>45352</v>
      </c>
      <c r="F923" s="54">
        <v>45353</v>
      </c>
      <c r="G923" s="67" t="s">
        <v>234</v>
      </c>
      <c r="H923" s="51" t="s">
        <v>65</v>
      </c>
      <c r="I923" s="54">
        <v>45356</v>
      </c>
      <c r="J923" s="67" t="s">
        <v>234</v>
      </c>
      <c r="K923" s="51">
        <v>300</v>
      </c>
      <c r="L923" s="73"/>
      <c r="M923" s="73"/>
      <c r="N923" s="73"/>
    </row>
    <row r="924" spans="1:14" ht="18.45" customHeight="1" x14ac:dyDescent="0.3">
      <c r="A924" s="51" t="s">
        <v>2044</v>
      </c>
      <c r="B924" s="51" t="s">
        <v>2045</v>
      </c>
      <c r="C924" s="51" t="s">
        <v>113</v>
      </c>
      <c r="D924" s="51">
        <v>123</v>
      </c>
      <c r="E924" s="58">
        <v>45348</v>
      </c>
      <c r="F924" s="58">
        <v>45349</v>
      </c>
      <c r="G924" s="67" t="s">
        <v>234</v>
      </c>
      <c r="H924" s="51" t="s">
        <v>65</v>
      </c>
      <c r="I924" s="58">
        <v>45356</v>
      </c>
      <c r="J924" s="67" t="s">
        <v>234</v>
      </c>
      <c r="K924" s="51">
        <v>80</v>
      </c>
      <c r="L924" s="73"/>
      <c r="M924" s="73"/>
      <c r="N924" s="73"/>
    </row>
    <row r="925" spans="1:14" ht="18.45" customHeight="1" x14ac:dyDescent="0.3">
      <c r="A925" s="51" t="s">
        <v>2046</v>
      </c>
      <c r="B925" s="51" t="s">
        <v>2047</v>
      </c>
      <c r="C925" s="51" t="s">
        <v>232</v>
      </c>
      <c r="D925" s="51">
        <v>92</v>
      </c>
      <c r="E925" s="58">
        <v>45350</v>
      </c>
      <c r="F925" s="58">
        <v>45351</v>
      </c>
      <c r="G925" s="67" t="s">
        <v>234</v>
      </c>
      <c r="H925" s="51" t="s">
        <v>65</v>
      </c>
      <c r="I925" s="58">
        <v>45356</v>
      </c>
      <c r="J925" s="67" t="s">
        <v>234</v>
      </c>
      <c r="K925" s="51">
        <v>200</v>
      </c>
      <c r="L925" s="73"/>
      <c r="M925" s="73"/>
      <c r="N925" s="73"/>
    </row>
    <row r="926" spans="1:14" ht="18.45" customHeight="1" x14ac:dyDescent="0.3">
      <c r="A926" s="51" t="s">
        <v>2048</v>
      </c>
      <c r="B926" s="51" t="s">
        <v>2049</v>
      </c>
      <c r="C926" s="51" t="s">
        <v>231</v>
      </c>
      <c r="D926" s="51">
        <v>7</v>
      </c>
      <c r="E926" s="58">
        <v>45352</v>
      </c>
      <c r="F926" s="58">
        <v>45353</v>
      </c>
      <c r="G926" s="67" t="s">
        <v>234</v>
      </c>
      <c r="H926" s="51" t="s">
        <v>65</v>
      </c>
      <c r="I926" s="58">
        <v>45356</v>
      </c>
      <c r="J926" s="67" t="s">
        <v>234</v>
      </c>
      <c r="K926" s="51">
        <v>150</v>
      </c>
      <c r="L926" s="73"/>
      <c r="M926" s="73"/>
      <c r="N926" s="73"/>
    </row>
    <row r="927" spans="1:14" ht="18.45" customHeight="1" x14ac:dyDescent="0.3">
      <c r="A927" s="51" t="s">
        <v>2050</v>
      </c>
      <c r="B927" s="51" t="s">
        <v>2051</v>
      </c>
      <c r="C927" s="51" t="s">
        <v>232</v>
      </c>
      <c r="D927" s="51">
        <v>39</v>
      </c>
      <c r="E927" s="58">
        <v>45352</v>
      </c>
      <c r="F927" s="58">
        <v>45353</v>
      </c>
      <c r="G927" s="67" t="s">
        <v>234</v>
      </c>
      <c r="H927" s="51" t="s">
        <v>65</v>
      </c>
      <c r="I927" s="58">
        <v>45356</v>
      </c>
      <c r="J927" s="67" t="s">
        <v>234</v>
      </c>
      <c r="K927" s="51">
        <v>150</v>
      </c>
      <c r="L927" s="73"/>
      <c r="M927" s="73"/>
      <c r="N927" s="73"/>
    </row>
    <row r="928" spans="1:14" ht="18.45" customHeight="1" x14ac:dyDescent="0.3">
      <c r="A928" s="51" t="s">
        <v>2052</v>
      </c>
      <c r="B928" s="51" t="s">
        <v>2053</v>
      </c>
      <c r="C928" s="51" t="s">
        <v>232</v>
      </c>
      <c r="D928" s="51">
        <v>5</v>
      </c>
      <c r="E928" s="58">
        <v>45352</v>
      </c>
      <c r="F928" s="58">
        <v>45353</v>
      </c>
      <c r="G928" s="67" t="s">
        <v>234</v>
      </c>
      <c r="H928" s="51" t="s">
        <v>65</v>
      </c>
      <c r="I928" s="58">
        <v>45356</v>
      </c>
      <c r="J928" s="67" t="s">
        <v>234</v>
      </c>
      <c r="K928" s="51">
        <v>180</v>
      </c>
      <c r="L928" s="73"/>
      <c r="M928" s="73"/>
      <c r="N928" s="73"/>
    </row>
    <row r="929" spans="1:14" ht="18.45" customHeight="1" x14ac:dyDescent="0.3">
      <c r="A929" s="51" t="s">
        <v>2054</v>
      </c>
      <c r="B929" s="51" t="s">
        <v>2055</v>
      </c>
      <c r="C929" s="51" t="s">
        <v>228</v>
      </c>
      <c r="D929" s="51">
        <v>23</v>
      </c>
      <c r="E929" s="58">
        <v>45345</v>
      </c>
      <c r="F929" s="58">
        <v>45346</v>
      </c>
      <c r="G929" s="67" t="s">
        <v>234</v>
      </c>
      <c r="H929" s="51" t="s">
        <v>65</v>
      </c>
      <c r="I929" s="58">
        <v>45356</v>
      </c>
      <c r="J929" s="67" t="s">
        <v>234</v>
      </c>
      <c r="K929" s="51">
        <v>250</v>
      </c>
      <c r="L929" s="73"/>
      <c r="M929" s="73"/>
      <c r="N929" s="73"/>
    </row>
    <row r="930" spans="1:14" ht="18.45" customHeight="1" x14ac:dyDescent="0.3">
      <c r="A930" s="51" t="s">
        <v>2056</v>
      </c>
      <c r="B930" s="51" t="s">
        <v>2057</v>
      </c>
      <c r="C930" s="51" t="s">
        <v>113</v>
      </c>
      <c r="D930" s="51">
        <v>1</v>
      </c>
      <c r="E930" s="58">
        <v>45349</v>
      </c>
      <c r="F930" s="58">
        <v>45351</v>
      </c>
      <c r="G930" s="67" t="s">
        <v>234</v>
      </c>
      <c r="H930" s="51" t="s">
        <v>65</v>
      </c>
      <c r="I930" s="58">
        <v>45356</v>
      </c>
      <c r="J930" s="67" t="s">
        <v>234</v>
      </c>
      <c r="K930" s="51">
        <v>200</v>
      </c>
      <c r="L930" s="73"/>
      <c r="M930" s="73"/>
      <c r="N930" s="73"/>
    </row>
    <row r="931" spans="1:14" ht="18.45" customHeight="1" x14ac:dyDescent="0.3">
      <c r="A931" s="99" t="s">
        <v>2058</v>
      </c>
      <c r="B931" s="75" t="s">
        <v>2059</v>
      </c>
      <c r="C931" s="76" t="s">
        <v>99</v>
      </c>
      <c r="D931" s="71">
        <v>45</v>
      </c>
      <c r="E931" s="85">
        <v>45352</v>
      </c>
      <c r="F931" s="85">
        <v>45353</v>
      </c>
      <c r="G931" s="67" t="s">
        <v>234</v>
      </c>
      <c r="H931" s="71" t="s">
        <v>65</v>
      </c>
      <c r="I931" s="87">
        <v>45357</v>
      </c>
      <c r="J931" s="67" t="s">
        <v>234</v>
      </c>
      <c r="K931" s="71">
        <v>350</v>
      </c>
      <c r="L931" s="73"/>
      <c r="M931" s="73"/>
      <c r="N931" s="73"/>
    </row>
    <row r="932" spans="1:14" ht="18.45" customHeight="1" x14ac:dyDescent="0.3">
      <c r="A932" s="99" t="s">
        <v>2060</v>
      </c>
      <c r="B932" s="75" t="s">
        <v>2061</v>
      </c>
      <c r="C932" s="76" t="s">
        <v>99</v>
      </c>
      <c r="D932" s="71">
        <v>76</v>
      </c>
      <c r="E932" s="85">
        <v>45355</v>
      </c>
      <c r="F932" s="85">
        <v>45356</v>
      </c>
      <c r="G932" s="67" t="s">
        <v>234</v>
      </c>
      <c r="H932" s="71" t="s">
        <v>65</v>
      </c>
      <c r="I932" s="87">
        <v>45357</v>
      </c>
      <c r="J932" s="67" t="s">
        <v>234</v>
      </c>
      <c r="K932" s="71">
        <v>400</v>
      </c>
      <c r="L932" s="73"/>
      <c r="M932" s="73"/>
      <c r="N932" s="73"/>
    </row>
    <row r="933" spans="1:14" ht="18.45" customHeight="1" x14ac:dyDescent="0.3">
      <c r="A933" s="76" t="s">
        <v>2062</v>
      </c>
      <c r="B933" s="60" t="s">
        <v>2063</v>
      </c>
      <c r="C933" s="76" t="s">
        <v>2503</v>
      </c>
      <c r="D933" s="60">
        <v>45</v>
      </c>
      <c r="E933" s="89">
        <v>45286</v>
      </c>
      <c r="F933" s="89">
        <v>45287</v>
      </c>
      <c r="G933" s="67" t="s">
        <v>234</v>
      </c>
      <c r="H933" s="60" t="s">
        <v>65</v>
      </c>
      <c r="I933" s="89">
        <v>45357</v>
      </c>
      <c r="J933" s="67" t="s">
        <v>234</v>
      </c>
      <c r="K933" s="60">
        <v>200</v>
      </c>
      <c r="L933" s="73"/>
      <c r="M933" s="73"/>
      <c r="N933" s="73"/>
    </row>
    <row r="934" spans="1:14" ht="18.45" customHeight="1" x14ac:dyDescent="0.3">
      <c r="A934" s="51" t="s">
        <v>2064</v>
      </c>
      <c r="B934" s="51" t="s">
        <v>2065</v>
      </c>
      <c r="C934" s="51" t="s">
        <v>223</v>
      </c>
      <c r="D934" s="84">
        <v>49</v>
      </c>
      <c r="E934" s="54">
        <v>45354</v>
      </c>
      <c r="F934" s="54">
        <v>45355</v>
      </c>
      <c r="G934" s="67" t="s">
        <v>234</v>
      </c>
      <c r="H934" s="51" t="s">
        <v>65</v>
      </c>
      <c r="I934" s="54">
        <v>45357</v>
      </c>
      <c r="J934" s="67" t="s">
        <v>234</v>
      </c>
      <c r="K934" s="51">
        <v>200</v>
      </c>
      <c r="L934" s="73"/>
      <c r="M934" s="73"/>
      <c r="N934" s="73"/>
    </row>
    <row r="935" spans="1:14" ht="18.45" customHeight="1" x14ac:dyDescent="0.3">
      <c r="A935" s="51" t="s">
        <v>2066</v>
      </c>
      <c r="B935" s="51" t="s">
        <v>2067</v>
      </c>
      <c r="C935" s="51" t="s">
        <v>223</v>
      </c>
      <c r="D935" s="84">
        <v>7</v>
      </c>
      <c r="E935" s="54">
        <v>45354</v>
      </c>
      <c r="F935" s="54">
        <v>45355</v>
      </c>
      <c r="G935" s="67" t="s">
        <v>234</v>
      </c>
      <c r="H935" s="51" t="s">
        <v>65</v>
      </c>
      <c r="I935" s="54">
        <v>45357</v>
      </c>
      <c r="J935" s="67" t="s">
        <v>234</v>
      </c>
      <c r="K935" s="51">
        <v>300</v>
      </c>
      <c r="L935" s="73"/>
      <c r="M935" s="73"/>
      <c r="N935" s="73"/>
    </row>
    <row r="936" spans="1:14" ht="18.45" customHeight="1" x14ac:dyDescent="0.3">
      <c r="A936" s="51" t="s">
        <v>2068</v>
      </c>
      <c r="B936" s="51" t="s">
        <v>2069</v>
      </c>
      <c r="C936" s="51" t="s">
        <v>222</v>
      </c>
      <c r="D936" s="84">
        <v>24</v>
      </c>
      <c r="E936" s="54">
        <v>45342</v>
      </c>
      <c r="F936" s="54">
        <v>45352</v>
      </c>
      <c r="G936" s="67" t="s">
        <v>234</v>
      </c>
      <c r="H936" s="51" t="s">
        <v>65</v>
      </c>
      <c r="I936" s="54">
        <v>45357</v>
      </c>
      <c r="J936" s="67" t="s">
        <v>234</v>
      </c>
      <c r="K936" s="51">
        <v>500</v>
      </c>
      <c r="L936" s="73"/>
      <c r="M936" s="73"/>
      <c r="N936" s="73"/>
    </row>
    <row r="937" spans="1:14" ht="18.45" customHeight="1" x14ac:dyDescent="0.3">
      <c r="A937" s="51" t="s">
        <v>2070</v>
      </c>
      <c r="B937" s="51" t="s">
        <v>2071</v>
      </c>
      <c r="C937" s="51" t="s">
        <v>223</v>
      </c>
      <c r="D937" s="84">
        <v>90</v>
      </c>
      <c r="E937" s="54">
        <v>45351</v>
      </c>
      <c r="F937" s="54">
        <v>45351</v>
      </c>
      <c r="G937" s="67" t="s">
        <v>234</v>
      </c>
      <c r="H937" s="51" t="s">
        <v>65</v>
      </c>
      <c r="I937" s="54">
        <v>45357</v>
      </c>
      <c r="J937" s="67" t="s">
        <v>234</v>
      </c>
      <c r="K937" s="51">
        <v>100</v>
      </c>
      <c r="L937" s="73"/>
      <c r="M937" s="73"/>
      <c r="N937" s="73"/>
    </row>
    <row r="938" spans="1:14" ht="18.45" customHeight="1" x14ac:dyDescent="0.3">
      <c r="A938" s="51" t="s">
        <v>2072</v>
      </c>
      <c r="B938" s="51" t="s">
        <v>2073</v>
      </c>
      <c r="C938" s="51" t="s">
        <v>232</v>
      </c>
      <c r="D938" s="51">
        <v>26</v>
      </c>
      <c r="E938" s="58">
        <v>45355</v>
      </c>
      <c r="F938" s="58">
        <v>45356</v>
      </c>
      <c r="G938" s="67" t="s">
        <v>234</v>
      </c>
      <c r="H938" s="51" t="s">
        <v>65</v>
      </c>
      <c r="I938" s="58">
        <v>45357</v>
      </c>
      <c r="J938" s="67" t="s">
        <v>234</v>
      </c>
      <c r="K938" s="51">
        <v>200</v>
      </c>
      <c r="L938" s="73"/>
      <c r="M938" s="73"/>
      <c r="N938" s="73"/>
    </row>
    <row r="939" spans="1:14" ht="18.45" customHeight="1" x14ac:dyDescent="0.3">
      <c r="A939" s="51" t="s">
        <v>2074</v>
      </c>
      <c r="B939" s="51" t="s">
        <v>2075</v>
      </c>
      <c r="C939" s="51" t="s">
        <v>232</v>
      </c>
      <c r="D939" s="51">
        <v>25</v>
      </c>
      <c r="E939" s="58">
        <v>45337</v>
      </c>
      <c r="F939" s="58">
        <v>45338</v>
      </c>
      <c r="G939" s="67" t="s">
        <v>234</v>
      </c>
      <c r="H939" s="51" t="s">
        <v>65</v>
      </c>
      <c r="I939" s="58">
        <v>45357</v>
      </c>
      <c r="J939" s="67" t="s">
        <v>234</v>
      </c>
      <c r="K939" s="51">
        <v>300</v>
      </c>
      <c r="L939" s="73"/>
      <c r="M939" s="73"/>
      <c r="N939" s="73"/>
    </row>
    <row r="940" spans="1:14" ht="18.45" customHeight="1" x14ac:dyDescent="0.3">
      <c r="A940" s="51" t="s">
        <v>2076</v>
      </c>
      <c r="B940" s="51" t="s">
        <v>2077</v>
      </c>
      <c r="C940" s="51" t="s">
        <v>230</v>
      </c>
      <c r="D940" s="51">
        <v>16</v>
      </c>
      <c r="E940" s="58">
        <v>45352</v>
      </c>
      <c r="F940" s="58">
        <v>45353</v>
      </c>
      <c r="G940" s="67" t="s">
        <v>234</v>
      </c>
      <c r="H940" s="51" t="s">
        <v>65</v>
      </c>
      <c r="I940" s="58">
        <v>45357</v>
      </c>
      <c r="J940" s="67" t="s">
        <v>234</v>
      </c>
      <c r="K940" s="51">
        <v>250</v>
      </c>
      <c r="L940" s="73"/>
      <c r="M940" s="73"/>
      <c r="N940" s="73"/>
    </row>
    <row r="941" spans="1:14" ht="18.45" customHeight="1" x14ac:dyDescent="0.3">
      <c r="A941" s="51" t="s">
        <v>2078</v>
      </c>
      <c r="B941" s="51" t="s">
        <v>2079</v>
      </c>
      <c r="C941" s="51" t="s">
        <v>232</v>
      </c>
      <c r="D941" s="51">
        <v>35</v>
      </c>
      <c r="E941" s="58">
        <v>45350</v>
      </c>
      <c r="F941" s="58">
        <v>45351</v>
      </c>
      <c r="G941" s="67" t="s">
        <v>234</v>
      </c>
      <c r="H941" s="51" t="s">
        <v>65</v>
      </c>
      <c r="I941" s="58">
        <v>45357</v>
      </c>
      <c r="J941" s="67" t="s">
        <v>234</v>
      </c>
      <c r="K941" s="51">
        <v>200</v>
      </c>
      <c r="L941" s="73"/>
      <c r="M941" s="73"/>
      <c r="N941" s="73"/>
    </row>
    <row r="942" spans="1:14" ht="18.45" customHeight="1" x14ac:dyDescent="0.3">
      <c r="A942" s="51" t="s">
        <v>2080</v>
      </c>
      <c r="B942" s="51" t="s">
        <v>2081</v>
      </c>
      <c r="C942" s="51" t="s">
        <v>113</v>
      </c>
      <c r="D942" s="51">
        <v>121</v>
      </c>
      <c r="E942" s="58">
        <v>45346</v>
      </c>
      <c r="F942" s="58">
        <v>45348</v>
      </c>
      <c r="G942" s="67" t="s">
        <v>234</v>
      </c>
      <c r="H942" s="51" t="s">
        <v>65</v>
      </c>
      <c r="I942" s="58">
        <v>45357</v>
      </c>
      <c r="J942" s="67" t="s">
        <v>234</v>
      </c>
      <c r="K942" s="51">
        <v>300</v>
      </c>
      <c r="L942" s="73"/>
      <c r="M942" s="73"/>
      <c r="N942" s="73"/>
    </row>
    <row r="943" spans="1:14" ht="18.45" customHeight="1" x14ac:dyDescent="0.3">
      <c r="A943" s="76" t="s">
        <v>2082</v>
      </c>
      <c r="B943" s="60" t="s">
        <v>2083</v>
      </c>
      <c r="C943" s="76" t="s">
        <v>91</v>
      </c>
      <c r="D943" s="60">
        <v>82</v>
      </c>
      <c r="E943" s="89">
        <v>45302</v>
      </c>
      <c r="F943" s="89">
        <v>45304</v>
      </c>
      <c r="G943" s="67" t="s">
        <v>234</v>
      </c>
      <c r="H943" s="60" t="s">
        <v>65</v>
      </c>
      <c r="I943" s="89">
        <v>45358</v>
      </c>
      <c r="J943" s="67" t="s">
        <v>234</v>
      </c>
      <c r="K943" s="60">
        <v>350</v>
      </c>
      <c r="L943" s="73"/>
      <c r="M943" s="73"/>
      <c r="N943" s="73"/>
    </row>
    <row r="944" spans="1:14" ht="18.45" customHeight="1" x14ac:dyDescent="0.3">
      <c r="A944" s="76" t="s">
        <v>2084</v>
      </c>
      <c r="B944" s="60" t="s">
        <v>2085</v>
      </c>
      <c r="C944" s="76" t="s">
        <v>91</v>
      </c>
      <c r="D944" s="60">
        <v>119</v>
      </c>
      <c r="E944" s="89">
        <v>45287</v>
      </c>
      <c r="F944" s="89">
        <v>45287</v>
      </c>
      <c r="G944" s="67" t="s">
        <v>234</v>
      </c>
      <c r="H944" s="60" t="s">
        <v>65</v>
      </c>
      <c r="I944" s="89">
        <v>45358</v>
      </c>
      <c r="J944" s="67" t="s">
        <v>234</v>
      </c>
      <c r="K944" s="60">
        <v>200</v>
      </c>
      <c r="L944" s="73"/>
      <c r="M944" s="73"/>
      <c r="N944" s="73"/>
    </row>
    <row r="945" spans="1:14" ht="18.45" customHeight="1" x14ac:dyDescent="0.3">
      <c r="A945" s="48" t="s">
        <v>2086</v>
      </c>
      <c r="B945" s="48" t="s">
        <v>2087</v>
      </c>
      <c r="C945" s="76" t="s">
        <v>2477</v>
      </c>
      <c r="D945" s="62">
        <v>21</v>
      </c>
      <c r="E945" s="56">
        <v>45355</v>
      </c>
      <c r="F945" s="56">
        <v>45357</v>
      </c>
      <c r="G945" s="67" t="s">
        <v>234</v>
      </c>
      <c r="H945" s="62" t="s">
        <v>65</v>
      </c>
      <c r="I945" s="92">
        <v>45358</v>
      </c>
      <c r="J945" s="67" t="s">
        <v>234</v>
      </c>
      <c r="K945" s="60">
        <v>250</v>
      </c>
      <c r="L945" s="73"/>
      <c r="M945" s="73"/>
      <c r="N945" s="73"/>
    </row>
    <row r="946" spans="1:14" ht="18.45" customHeight="1" x14ac:dyDescent="0.3">
      <c r="A946" s="48" t="s">
        <v>2088</v>
      </c>
      <c r="B946" s="50" t="s">
        <v>2089</v>
      </c>
      <c r="C946" s="76" t="s">
        <v>2488</v>
      </c>
      <c r="D946" s="62">
        <v>12</v>
      </c>
      <c r="E946" s="54">
        <v>45346</v>
      </c>
      <c r="F946" s="54">
        <v>45348</v>
      </c>
      <c r="G946" s="67" t="s">
        <v>234</v>
      </c>
      <c r="H946" s="60" t="s">
        <v>65</v>
      </c>
      <c r="I946" s="89">
        <v>45358</v>
      </c>
      <c r="J946" s="67" t="s">
        <v>234</v>
      </c>
      <c r="K946" s="62">
        <v>350</v>
      </c>
      <c r="L946" s="73"/>
      <c r="M946" s="73"/>
      <c r="N946" s="73"/>
    </row>
    <row r="947" spans="1:14" ht="18.45" customHeight="1" x14ac:dyDescent="0.3">
      <c r="A947" s="48" t="s">
        <v>2090</v>
      </c>
      <c r="B947" s="50" t="s">
        <v>2091</v>
      </c>
      <c r="C947" s="76" t="s">
        <v>99</v>
      </c>
      <c r="D947" s="62">
        <v>60</v>
      </c>
      <c r="E947" s="54">
        <v>45349</v>
      </c>
      <c r="F947" s="54">
        <v>45349</v>
      </c>
      <c r="G947" s="67" t="s">
        <v>234</v>
      </c>
      <c r="H947" s="60" t="s">
        <v>65</v>
      </c>
      <c r="I947" s="89">
        <v>45358</v>
      </c>
      <c r="J947" s="67" t="s">
        <v>234</v>
      </c>
      <c r="K947" s="62">
        <v>250</v>
      </c>
      <c r="L947" s="73"/>
      <c r="M947" s="73"/>
      <c r="N947" s="73"/>
    </row>
    <row r="948" spans="1:14" ht="18.45" customHeight="1" x14ac:dyDescent="0.3">
      <c r="A948" s="76" t="s">
        <v>2092</v>
      </c>
      <c r="B948" s="60" t="s">
        <v>2093</v>
      </c>
      <c r="C948" s="76" t="s">
        <v>94</v>
      </c>
      <c r="D948" s="60">
        <v>88</v>
      </c>
      <c r="E948" s="89">
        <v>45306</v>
      </c>
      <c r="F948" s="89">
        <v>45307</v>
      </c>
      <c r="G948" s="67" t="s">
        <v>234</v>
      </c>
      <c r="H948" s="60" t="s">
        <v>65</v>
      </c>
      <c r="I948" s="89">
        <v>45358</v>
      </c>
      <c r="J948" s="67" t="s">
        <v>234</v>
      </c>
      <c r="K948" s="60">
        <v>50</v>
      </c>
      <c r="L948" s="73"/>
      <c r="M948" s="73"/>
      <c r="N948" s="73"/>
    </row>
    <row r="949" spans="1:14" ht="18.45" customHeight="1" x14ac:dyDescent="0.3">
      <c r="A949" s="48" t="s">
        <v>2094</v>
      </c>
      <c r="B949" s="48" t="s">
        <v>2095</v>
      </c>
      <c r="C949" s="48" t="s">
        <v>120</v>
      </c>
      <c r="D949" s="62">
        <v>444</v>
      </c>
      <c r="E949" s="56">
        <v>45356</v>
      </c>
      <c r="F949" s="56">
        <v>45357</v>
      </c>
      <c r="G949" s="67" t="s">
        <v>234</v>
      </c>
      <c r="H949" s="62" t="s">
        <v>65</v>
      </c>
      <c r="I949" s="92">
        <v>45358</v>
      </c>
      <c r="J949" s="67" t="s">
        <v>234</v>
      </c>
      <c r="K949" s="62">
        <v>400</v>
      </c>
      <c r="L949" s="73"/>
      <c r="M949" s="73"/>
      <c r="N949" s="73"/>
    </row>
    <row r="950" spans="1:14" ht="18.45" customHeight="1" x14ac:dyDescent="0.3">
      <c r="A950" s="76" t="s">
        <v>2096</v>
      </c>
      <c r="B950" s="60" t="s">
        <v>2097</v>
      </c>
      <c r="C950" s="76" t="s">
        <v>91</v>
      </c>
      <c r="D950" s="60">
        <v>99</v>
      </c>
      <c r="E950" s="89">
        <v>45333</v>
      </c>
      <c r="F950" s="89">
        <v>45335</v>
      </c>
      <c r="G950" s="67" t="s">
        <v>234</v>
      </c>
      <c r="H950" s="60" t="s">
        <v>65</v>
      </c>
      <c r="I950" s="89">
        <v>45358</v>
      </c>
      <c r="J950" s="67" t="s">
        <v>234</v>
      </c>
      <c r="K950" s="60">
        <v>260</v>
      </c>
      <c r="L950" s="73"/>
      <c r="M950" s="73"/>
      <c r="N950" s="73"/>
    </row>
    <row r="951" spans="1:14" ht="18.45" customHeight="1" x14ac:dyDescent="0.3">
      <c r="A951" s="48" t="s">
        <v>2098</v>
      </c>
      <c r="B951" s="50" t="s">
        <v>2099</v>
      </c>
      <c r="C951" s="48" t="s">
        <v>94</v>
      </c>
      <c r="D951" s="62">
        <v>59</v>
      </c>
      <c r="E951" s="54">
        <v>45352</v>
      </c>
      <c r="F951" s="54">
        <v>45353</v>
      </c>
      <c r="G951" s="67" t="s">
        <v>234</v>
      </c>
      <c r="H951" s="62" t="s">
        <v>65</v>
      </c>
      <c r="I951" s="89">
        <v>45358</v>
      </c>
      <c r="J951" s="67" t="s">
        <v>234</v>
      </c>
      <c r="K951" s="62">
        <v>380</v>
      </c>
      <c r="L951" s="73"/>
      <c r="M951" s="73"/>
      <c r="N951" s="73"/>
    </row>
    <row r="952" spans="1:14" ht="18.45" customHeight="1" x14ac:dyDescent="0.3">
      <c r="A952" s="51" t="s">
        <v>2100</v>
      </c>
      <c r="B952" s="51" t="s">
        <v>2101</v>
      </c>
      <c r="C952" s="51" t="s">
        <v>223</v>
      </c>
      <c r="D952" s="84">
        <v>100</v>
      </c>
      <c r="E952" s="54">
        <v>45355</v>
      </c>
      <c r="F952" s="54">
        <v>45357</v>
      </c>
      <c r="G952" s="67" t="s">
        <v>234</v>
      </c>
      <c r="H952" s="51" t="s">
        <v>65</v>
      </c>
      <c r="I952" s="89">
        <v>45358</v>
      </c>
      <c r="J952" s="67" t="s">
        <v>234</v>
      </c>
      <c r="K952" s="51">
        <v>200</v>
      </c>
      <c r="L952" s="73"/>
      <c r="M952" s="73"/>
      <c r="N952" s="73"/>
    </row>
    <row r="953" spans="1:14" ht="18.45" customHeight="1" x14ac:dyDescent="0.3">
      <c r="A953" s="51" t="s">
        <v>2102</v>
      </c>
      <c r="B953" s="51" t="s">
        <v>2103</v>
      </c>
      <c r="C953" s="51" t="s">
        <v>2474</v>
      </c>
      <c r="D953" s="84">
        <v>23</v>
      </c>
      <c r="E953" s="54">
        <v>45354</v>
      </c>
      <c r="F953" s="54">
        <v>45355</v>
      </c>
      <c r="G953" s="67" t="s">
        <v>234</v>
      </c>
      <c r="H953" s="51" t="s">
        <v>65</v>
      </c>
      <c r="I953" s="89">
        <v>45358</v>
      </c>
      <c r="J953" s="67" t="s">
        <v>234</v>
      </c>
      <c r="K953" s="51">
        <v>100</v>
      </c>
      <c r="L953" s="73"/>
      <c r="M953" s="73"/>
      <c r="N953" s="73"/>
    </row>
    <row r="954" spans="1:14" ht="18.45" customHeight="1" x14ac:dyDescent="0.3">
      <c r="A954" s="51" t="s">
        <v>2104</v>
      </c>
      <c r="B954" s="51" t="s">
        <v>2105</v>
      </c>
      <c r="C954" s="51" t="s">
        <v>226</v>
      </c>
      <c r="D954" s="84">
        <v>28</v>
      </c>
      <c r="E954" s="54">
        <v>45351</v>
      </c>
      <c r="F954" s="54">
        <v>45351</v>
      </c>
      <c r="G954" s="67" t="s">
        <v>234</v>
      </c>
      <c r="H954" s="51" t="s">
        <v>65</v>
      </c>
      <c r="I954" s="89">
        <v>45358</v>
      </c>
      <c r="J954" s="67" t="s">
        <v>234</v>
      </c>
      <c r="K954" s="51">
        <v>200</v>
      </c>
      <c r="L954" s="73"/>
      <c r="M954" s="73"/>
      <c r="N954" s="73"/>
    </row>
    <row r="955" spans="1:14" ht="18.45" customHeight="1" x14ac:dyDescent="0.3">
      <c r="A955" s="51" t="s">
        <v>171</v>
      </c>
      <c r="B955" s="51" t="s">
        <v>172</v>
      </c>
      <c r="C955" s="51" t="s">
        <v>2512</v>
      </c>
      <c r="D955" s="84">
        <v>9</v>
      </c>
      <c r="E955" s="54">
        <v>45352</v>
      </c>
      <c r="F955" s="54">
        <v>45353</v>
      </c>
      <c r="G955" s="67" t="s">
        <v>234</v>
      </c>
      <c r="H955" s="51" t="s">
        <v>65</v>
      </c>
      <c r="I955" s="89">
        <v>45358</v>
      </c>
      <c r="J955" s="67" t="s">
        <v>234</v>
      </c>
      <c r="K955" s="51">
        <v>300</v>
      </c>
      <c r="L955" s="73"/>
      <c r="M955" s="73"/>
      <c r="N955" s="73"/>
    </row>
    <row r="956" spans="1:14" ht="18.45" customHeight="1" x14ac:dyDescent="0.3">
      <c r="A956" s="51" t="s">
        <v>2106</v>
      </c>
      <c r="B956" s="51" t="s">
        <v>2107</v>
      </c>
      <c r="C956" s="51" t="s">
        <v>226</v>
      </c>
      <c r="D956" s="84">
        <v>6</v>
      </c>
      <c r="E956" s="54">
        <v>45353</v>
      </c>
      <c r="F956" s="54">
        <v>45355</v>
      </c>
      <c r="G956" s="67" t="s">
        <v>234</v>
      </c>
      <c r="H956" s="51" t="s">
        <v>65</v>
      </c>
      <c r="I956" s="89">
        <v>45358</v>
      </c>
      <c r="J956" s="67" t="s">
        <v>234</v>
      </c>
      <c r="K956" s="51">
        <v>200</v>
      </c>
      <c r="L956" s="73"/>
      <c r="M956" s="73"/>
      <c r="N956" s="73"/>
    </row>
    <row r="957" spans="1:14" ht="18.45" customHeight="1" x14ac:dyDescent="0.3">
      <c r="A957" s="51" t="s">
        <v>2108</v>
      </c>
      <c r="B957" s="51" t="s">
        <v>2109</v>
      </c>
      <c r="C957" s="51" t="s">
        <v>229</v>
      </c>
      <c r="D957" s="51">
        <v>27</v>
      </c>
      <c r="E957" s="58">
        <v>45344</v>
      </c>
      <c r="F957" s="58">
        <v>45357</v>
      </c>
      <c r="G957" s="67" t="s">
        <v>234</v>
      </c>
      <c r="H957" s="51" t="s">
        <v>65</v>
      </c>
      <c r="I957" s="89">
        <v>45358</v>
      </c>
      <c r="J957" s="67" t="s">
        <v>234</v>
      </c>
      <c r="K957" s="51">
        <v>150</v>
      </c>
      <c r="L957" s="73"/>
      <c r="M957" s="73"/>
      <c r="N957" s="73"/>
    </row>
    <row r="958" spans="1:14" ht="18.45" customHeight="1" x14ac:dyDescent="0.3">
      <c r="A958" s="51" t="s">
        <v>2110</v>
      </c>
      <c r="B958" s="51" t="s">
        <v>2111</v>
      </c>
      <c r="C958" s="51" t="s">
        <v>113</v>
      </c>
      <c r="D958" s="51">
        <v>2</v>
      </c>
      <c r="E958" s="58">
        <v>45350</v>
      </c>
      <c r="F958" s="58">
        <v>45351</v>
      </c>
      <c r="G958" s="67" t="s">
        <v>234</v>
      </c>
      <c r="H958" s="51" t="s">
        <v>65</v>
      </c>
      <c r="I958" s="89">
        <v>45358</v>
      </c>
      <c r="J958" s="67" t="s">
        <v>234</v>
      </c>
      <c r="K958" s="51">
        <v>80</v>
      </c>
      <c r="L958" s="73"/>
      <c r="M958" s="73"/>
      <c r="N958" s="73"/>
    </row>
    <row r="959" spans="1:14" ht="18.45" customHeight="1" x14ac:dyDescent="0.3">
      <c r="A959" s="51" t="s">
        <v>2112</v>
      </c>
      <c r="B959" s="51" t="s">
        <v>2113</v>
      </c>
      <c r="C959" s="51" t="s">
        <v>113</v>
      </c>
      <c r="D959" s="51">
        <v>33</v>
      </c>
      <c r="E959" s="58">
        <v>45355</v>
      </c>
      <c r="F959" s="58">
        <v>45356</v>
      </c>
      <c r="G959" s="67" t="s">
        <v>234</v>
      </c>
      <c r="H959" s="51" t="s">
        <v>65</v>
      </c>
      <c r="I959" s="89">
        <v>45358</v>
      </c>
      <c r="J959" s="67" t="s">
        <v>234</v>
      </c>
      <c r="K959" s="51">
        <v>250</v>
      </c>
      <c r="L959" s="73"/>
      <c r="M959" s="73"/>
      <c r="N959" s="73"/>
    </row>
    <row r="960" spans="1:14" ht="18.45" customHeight="1" x14ac:dyDescent="0.3">
      <c r="A960" s="51" t="s">
        <v>2114</v>
      </c>
      <c r="B960" s="51" t="s">
        <v>2115</v>
      </c>
      <c r="C960" s="51" t="s">
        <v>232</v>
      </c>
      <c r="D960" s="51">
        <v>19</v>
      </c>
      <c r="E960" s="58">
        <v>45353</v>
      </c>
      <c r="F960" s="58">
        <v>45355</v>
      </c>
      <c r="G960" s="67" t="s">
        <v>234</v>
      </c>
      <c r="H960" s="51" t="s">
        <v>65</v>
      </c>
      <c r="I960" s="89">
        <v>45358</v>
      </c>
      <c r="J960" s="67" t="s">
        <v>234</v>
      </c>
      <c r="K960" s="51">
        <v>350</v>
      </c>
      <c r="L960" s="73"/>
      <c r="M960" s="73"/>
      <c r="N960" s="73"/>
    </row>
    <row r="961" spans="1:14" ht="18.45" customHeight="1" x14ac:dyDescent="0.3">
      <c r="A961" s="51" t="s">
        <v>2116</v>
      </c>
      <c r="B961" s="51" t="s">
        <v>2117</v>
      </c>
      <c r="C961" s="51" t="s">
        <v>113</v>
      </c>
      <c r="D961" s="51">
        <v>17</v>
      </c>
      <c r="E961" s="58">
        <v>45351</v>
      </c>
      <c r="F961" s="58">
        <v>45351</v>
      </c>
      <c r="G961" s="67" t="s">
        <v>234</v>
      </c>
      <c r="H961" s="51" t="s">
        <v>65</v>
      </c>
      <c r="I961" s="89">
        <v>45358</v>
      </c>
      <c r="J961" s="67" t="s">
        <v>234</v>
      </c>
      <c r="K961" s="51">
        <v>300</v>
      </c>
      <c r="L961" s="73"/>
      <c r="M961" s="73"/>
      <c r="N961" s="73"/>
    </row>
    <row r="962" spans="1:14" ht="18.45" customHeight="1" x14ac:dyDescent="0.3">
      <c r="A962" s="51" t="s">
        <v>2118</v>
      </c>
      <c r="B962" s="51" t="s">
        <v>2119</v>
      </c>
      <c r="C962" s="51" t="s">
        <v>231</v>
      </c>
      <c r="D962" s="51">
        <v>10</v>
      </c>
      <c r="E962" s="58">
        <v>45351</v>
      </c>
      <c r="F962" s="58">
        <v>45352</v>
      </c>
      <c r="G962" s="67" t="s">
        <v>234</v>
      </c>
      <c r="H962" s="51" t="s">
        <v>65</v>
      </c>
      <c r="I962" s="89">
        <v>45358</v>
      </c>
      <c r="J962" s="67" t="s">
        <v>234</v>
      </c>
      <c r="K962" s="51">
        <v>100</v>
      </c>
      <c r="L962" s="73"/>
      <c r="M962" s="73"/>
      <c r="N962" s="73"/>
    </row>
    <row r="963" spans="1:14" ht="18.45" customHeight="1" x14ac:dyDescent="0.3">
      <c r="A963" s="48" t="s">
        <v>2120</v>
      </c>
      <c r="B963" s="50" t="s">
        <v>2121</v>
      </c>
      <c r="C963" s="76" t="s">
        <v>2513</v>
      </c>
      <c r="D963" s="62">
        <v>18</v>
      </c>
      <c r="E963" s="54">
        <v>45347</v>
      </c>
      <c r="F963" s="54">
        <v>45348</v>
      </c>
      <c r="G963" s="67" t="s">
        <v>234</v>
      </c>
      <c r="H963" s="60" t="s">
        <v>65</v>
      </c>
      <c r="I963" s="89">
        <v>45359</v>
      </c>
      <c r="J963" s="67" t="s">
        <v>234</v>
      </c>
      <c r="K963" s="62">
        <v>150</v>
      </c>
      <c r="L963" s="73"/>
      <c r="M963" s="73"/>
      <c r="N963" s="73"/>
    </row>
    <row r="964" spans="1:14" ht="18.45" customHeight="1" x14ac:dyDescent="0.3">
      <c r="A964" s="76" t="s">
        <v>2122</v>
      </c>
      <c r="B964" s="60" t="s">
        <v>2123</v>
      </c>
      <c r="C964" s="76" t="s">
        <v>2513</v>
      </c>
      <c r="D964" s="60">
        <v>3</v>
      </c>
      <c r="E964" s="89">
        <v>45336</v>
      </c>
      <c r="F964" s="89">
        <v>45337</v>
      </c>
      <c r="G964" s="67" t="s">
        <v>234</v>
      </c>
      <c r="H964" s="60" t="s">
        <v>65</v>
      </c>
      <c r="I964" s="89">
        <v>45359</v>
      </c>
      <c r="J964" s="67" t="s">
        <v>234</v>
      </c>
      <c r="K964" s="60">
        <v>250</v>
      </c>
      <c r="L964" s="73"/>
      <c r="M964" s="73"/>
      <c r="N964" s="73"/>
    </row>
    <row r="965" spans="1:14" ht="18.45" customHeight="1" x14ac:dyDescent="0.3">
      <c r="A965" s="76" t="s">
        <v>2124</v>
      </c>
      <c r="B965" s="60" t="s">
        <v>2125</v>
      </c>
      <c r="C965" s="76" t="s">
        <v>96</v>
      </c>
      <c r="D965" s="60">
        <v>4</v>
      </c>
      <c r="E965" s="89">
        <v>44841</v>
      </c>
      <c r="F965" s="89">
        <v>44845</v>
      </c>
      <c r="G965" s="67" t="s">
        <v>234</v>
      </c>
      <c r="H965" s="60" t="s">
        <v>65</v>
      </c>
      <c r="I965" s="89">
        <v>45359</v>
      </c>
      <c r="J965" s="67" t="s">
        <v>234</v>
      </c>
      <c r="K965" s="60">
        <v>400</v>
      </c>
      <c r="L965" s="73"/>
      <c r="M965" s="73"/>
      <c r="N965" s="73"/>
    </row>
    <row r="966" spans="1:14" ht="18.45" customHeight="1" x14ac:dyDescent="0.3">
      <c r="A966" s="76" t="s">
        <v>2126</v>
      </c>
      <c r="B966" s="60" t="s">
        <v>2127</v>
      </c>
      <c r="C966" s="76" t="s">
        <v>120</v>
      </c>
      <c r="D966" s="60">
        <v>75</v>
      </c>
      <c r="E966" s="89">
        <v>45266</v>
      </c>
      <c r="F966" s="89">
        <v>45266</v>
      </c>
      <c r="G966" s="67" t="s">
        <v>234</v>
      </c>
      <c r="H966" s="60" t="s">
        <v>65</v>
      </c>
      <c r="I966" s="89">
        <v>45359</v>
      </c>
      <c r="J966" s="67" t="s">
        <v>234</v>
      </c>
      <c r="K966" s="60">
        <v>400</v>
      </c>
      <c r="L966" s="73"/>
      <c r="M966" s="73"/>
      <c r="N966" s="73"/>
    </row>
    <row r="967" spans="1:14" ht="18.45" customHeight="1" x14ac:dyDescent="0.3">
      <c r="A967" s="48" t="s">
        <v>2128</v>
      </c>
      <c r="B967" s="48" t="s">
        <v>2129</v>
      </c>
      <c r="C967" s="76" t="s">
        <v>136</v>
      </c>
      <c r="D967" s="62">
        <v>20</v>
      </c>
      <c r="E967" s="56">
        <v>45341</v>
      </c>
      <c r="F967" s="56">
        <v>45352</v>
      </c>
      <c r="G967" s="67" t="s">
        <v>234</v>
      </c>
      <c r="H967" s="62" t="s">
        <v>65</v>
      </c>
      <c r="I967" s="89">
        <v>45359</v>
      </c>
      <c r="J967" s="67" t="s">
        <v>234</v>
      </c>
      <c r="K967" s="62">
        <v>250</v>
      </c>
      <c r="L967" s="73"/>
      <c r="M967" s="73"/>
      <c r="N967" s="73"/>
    </row>
    <row r="968" spans="1:14" ht="18.45" customHeight="1" x14ac:dyDescent="0.3">
      <c r="A968" s="48" t="s">
        <v>2130</v>
      </c>
      <c r="B968" s="50" t="s">
        <v>2131</v>
      </c>
      <c r="C968" s="48" t="s">
        <v>135</v>
      </c>
      <c r="D968" s="62">
        <v>42</v>
      </c>
      <c r="E968" s="54">
        <v>45352</v>
      </c>
      <c r="F968" s="54">
        <v>45353</v>
      </c>
      <c r="G968" s="67" t="s">
        <v>234</v>
      </c>
      <c r="H968" s="62" t="s">
        <v>65</v>
      </c>
      <c r="I968" s="89">
        <v>45359</v>
      </c>
      <c r="J968" s="67" t="s">
        <v>234</v>
      </c>
      <c r="K968" s="62">
        <v>200</v>
      </c>
      <c r="L968" s="73"/>
      <c r="M968" s="73"/>
      <c r="N968" s="73"/>
    </row>
    <row r="969" spans="1:14" ht="18.45" customHeight="1" x14ac:dyDescent="0.3">
      <c r="A969" s="48" t="s">
        <v>2132</v>
      </c>
      <c r="B969" s="50" t="s">
        <v>2133</v>
      </c>
      <c r="C969" s="48" t="s">
        <v>135</v>
      </c>
      <c r="D969" s="62">
        <v>63</v>
      </c>
      <c r="E969" s="54">
        <v>45352</v>
      </c>
      <c r="F969" s="54">
        <v>45355</v>
      </c>
      <c r="G969" s="67" t="s">
        <v>234</v>
      </c>
      <c r="H969" s="62" t="s">
        <v>65</v>
      </c>
      <c r="I969" s="89">
        <v>45359</v>
      </c>
      <c r="J969" s="67" t="s">
        <v>234</v>
      </c>
      <c r="K969" s="62">
        <v>250</v>
      </c>
      <c r="L969" s="73"/>
      <c r="M969" s="73"/>
      <c r="N969" s="73"/>
    </row>
    <row r="970" spans="1:14" ht="18.45" customHeight="1" x14ac:dyDescent="0.3">
      <c r="A970" s="76" t="s">
        <v>2134</v>
      </c>
      <c r="B970" s="60" t="s">
        <v>2135</v>
      </c>
      <c r="C970" s="76" t="s">
        <v>91</v>
      </c>
      <c r="D970" s="60">
        <v>104</v>
      </c>
      <c r="E970" s="89">
        <v>45333</v>
      </c>
      <c r="F970" s="89">
        <v>45335</v>
      </c>
      <c r="G970" s="67" t="s">
        <v>234</v>
      </c>
      <c r="H970" s="60" t="s">
        <v>65</v>
      </c>
      <c r="I970" s="89">
        <v>45359</v>
      </c>
      <c r="J970" s="67" t="s">
        <v>234</v>
      </c>
      <c r="K970" s="60">
        <v>350</v>
      </c>
      <c r="L970" s="73"/>
      <c r="M970" s="73"/>
      <c r="N970" s="73"/>
    </row>
    <row r="971" spans="1:14" ht="18.45" customHeight="1" x14ac:dyDescent="0.3">
      <c r="A971" s="48" t="s">
        <v>2136</v>
      </c>
      <c r="B971" s="48" t="s">
        <v>2137</v>
      </c>
      <c r="C971" s="48" t="s">
        <v>92</v>
      </c>
      <c r="D971" s="62">
        <v>24</v>
      </c>
      <c r="E971" s="56">
        <v>45356</v>
      </c>
      <c r="F971" s="56">
        <v>45358</v>
      </c>
      <c r="G971" s="67" t="s">
        <v>234</v>
      </c>
      <c r="H971" s="60" t="s">
        <v>65</v>
      </c>
      <c r="I971" s="89">
        <v>45359</v>
      </c>
      <c r="J971" s="67" t="s">
        <v>234</v>
      </c>
      <c r="K971" s="62">
        <v>20</v>
      </c>
      <c r="L971" s="73"/>
      <c r="M971" s="73"/>
      <c r="N971" s="73"/>
    </row>
    <row r="972" spans="1:14" ht="18.45" customHeight="1" x14ac:dyDescent="0.3">
      <c r="A972" s="51" t="s">
        <v>2138</v>
      </c>
      <c r="B972" s="51" t="s">
        <v>2139</v>
      </c>
      <c r="C972" s="51" t="s">
        <v>223</v>
      </c>
      <c r="D972" s="84">
        <v>113</v>
      </c>
      <c r="E972" s="54">
        <v>45357</v>
      </c>
      <c r="F972" s="54">
        <v>45359</v>
      </c>
      <c r="G972" s="67" t="s">
        <v>234</v>
      </c>
      <c r="H972" s="51" t="s">
        <v>65</v>
      </c>
      <c r="I972" s="89">
        <v>45359</v>
      </c>
      <c r="J972" s="67" t="s">
        <v>234</v>
      </c>
      <c r="K972" s="51">
        <v>200</v>
      </c>
      <c r="L972" s="73"/>
      <c r="M972" s="73"/>
      <c r="N972" s="73"/>
    </row>
    <row r="973" spans="1:14" ht="18.45" customHeight="1" x14ac:dyDescent="0.3">
      <c r="A973" s="51" t="s">
        <v>2140</v>
      </c>
      <c r="B973" s="51" t="s">
        <v>2141</v>
      </c>
      <c r="C973" s="51" t="s">
        <v>223</v>
      </c>
      <c r="D973" s="84">
        <v>99</v>
      </c>
      <c r="E973" s="54">
        <v>45358</v>
      </c>
      <c r="F973" s="54">
        <v>45359</v>
      </c>
      <c r="G973" s="67" t="s">
        <v>234</v>
      </c>
      <c r="H973" s="51" t="s">
        <v>65</v>
      </c>
      <c r="I973" s="89">
        <v>45359</v>
      </c>
      <c r="J973" s="67" t="s">
        <v>234</v>
      </c>
      <c r="K973" s="51">
        <v>100</v>
      </c>
      <c r="L973" s="73"/>
      <c r="M973" s="73"/>
      <c r="N973" s="73"/>
    </row>
    <row r="974" spans="1:14" ht="18.45" customHeight="1" x14ac:dyDescent="0.3">
      <c r="A974" s="51" t="s">
        <v>2142</v>
      </c>
      <c r="B974" s="51" t="s">
        <v>2143</v>
      </c>
      <c r="C974" s="51" t="s">
        <v>218</v>
      </c>
      <c r="D974" s="84">
        <v>24</v>
      </c>
      <c r="E974" s="54">
        <v>45357</v>
      </c>
      <c r="F974" s="54">
        <v>45359</v>
      </c>
      <c r="G974" s="67" t="s">
        <v>234</v>
      </c>
      <c r="H974" s="51" t="s">
        <v>65</v>
      </c>
      <c r="I974" s="89">
        <v>45359</v>
      </c>
      <c r="J974" s="67" t="s">
        <v>234</v>
      </c>
      <c r="K974" s="51">
        <v>300</v>
      </c>
      <c r="L974" s="73"/>
      <c r="M974" s="73"/>
      <c r="N974" s="73"/>
    </row>
    <row r="975" spans="1:14" ht="18.45" customHeight="1" x14ac:dyDescent="0.3">
      <c r="A975" s="51" t="s">
        <v>2144</v>
      </c>
      <c r="B975" s="51" t="s">
        <v>2145</v>
      </c>
      <c r="C975" s="51" t="s">
        <v>2494</v>
      </c>
      <c r="D975" s="84">
        <v>4</v>
      </c>
      <c r="E975" s="54">
        <v>45357</v>
      </c>
      <c r="F975" s="54">
        <v>45359</v>
      </c>
      <c r="G975" s="67" t="s">
        <v>234</v>
      </c>
      <c r="H975" s="51" t="s">
        <v>65</v>
      </c>
      <c r="I975" s="89">
        <v>45359</v>
      </c>
      <c r="J975" s="67" t="s">
        <v>234</v>
      </c>
      <c r="K975" s="51">
        <v>300</v>
      </c>
      <c r="L975" s="73"/>
      <c r="M975" s="73"/>
      <c r="N975" s="73"/>
    </row>
    <row r="976" spans="1:14" ht="18.45" customHeight="1" x14ac:dyDescent="0.3">
      <c r="A976" s="51" t="s">
        <v>2146</v>
      </c>
      <c r="B976" s="51" t="s">
        <v>2147</v>
      </c>
      <c r="C976" s="51" t="s">
        <v>231</v>
      </c>
      <c r="D976" s="51">
        <v>11</v>
      </c>
      <c r="E976" s="58">
        <v>45204</v>
      </c>
      <c r="F976" s="58">
        <v>45204</v>
      </c>
      <c r="G976" s="67" t="s">
        <v>234</v>
      </c>
      <c r="H976" s="51" t="s">
        <v>65</v>
      </c>
      <c r="I976" s="89">
        <v>45359</v>
      </c>
      <c r="J976" s="67" t="s">
        <v>234</v>
      </c>
      <c r="K976" s="51">
        <v>300</v>
      </c>
      <c r="L976" s="73"/>
      <c r="M976" s="73"/>
      <c r="N976" s="73"/>
    </row>
    <row r="977" spans="1:14" ht="18.45" customHeight="1" x14ac:dyDescent="0.3">
      <c r="A977" s="51" t="s">
        <v>2148</v>
      </c>
      <c r="B977" s="51" t="s">
        <v>2149</v>
      </c>
      <c r="C977" s="51" t="s">
        <v>227</v>
      </c>
      <c r="D977" s="51">
        <v>29</v>
      </c>
      <c r="E977" s="58">
        <v>45355</v>
      </c>
      <c r="F977" s="58">
        <v>45357</v>
      </c>
      <c r="G977" s="67" t="s">
        <v>234</v>
      </c>
      <c r="H977" s="51" t="s">
        <v>65</v>
      </c>
      <c r="I977" s="89">
        <v>45359</v>
      </c>
      <c r="J977" s="67" t="s">
        <v>234</v>
      </c>
      <c r="K977" s="51">
        <v>200</v>
      </c>
      <c r="L977" s="73"/>
      <c r="M977" s="73"/>
      <c r="N977" s="73"/>
    </row>
    <row r="978" spans="1:14" ht="18.45" customHeight="1" x14ac:dyDescent="0.3">
      <c r="A978" s="51" t="s">
        <v>2150</v>
      </c>
      <c r="B978" s="51" t="s">
        <v>2151</v>
      </c>
      <c r="C978" s="51" t="s">
        <v>232</v>
      </c>
      <c r="D978" s="51">
        <v>35</v>
      </c>
      <c r="E978" s="58">
        <v>45356</v>
      </c>
      <c r="F978" s="58">
        <v>45356</v>
      </c>
      <c r="G978" s="67" t="s">
        <v>234</v>
      </c>
      <c r="H978" s="51" t="s">
        <v>65</v>
      </c>
      <c r="I978" s="89">
        <v>45359</v>
      </c>
      <c r="J978" s="67" t="s">
        <v>234</v>
      </c>
      <c r="K978" s="51">
        <v>150</v>
      </c>
      <c r="L978" s="73"/>
      <c r="M978" s="73"/>
      <c r="N978" s="73"/>
    </row>
    <row r="979" spans="1:14" ht="18.45" customHeight="1" x14ac:dyDescent="0.3">
      <c r="A979" s="51" t="s">
        <v>2152</v>
      </c>
      <c r="B979" s="51" t="s">
        <v>2153</v>
      </c>
      <c r="C979" s="51" t="s">
        <v>232</v>
      </c>
      <c r="D979" s="51">
        <v>10</v>
      </c>
      <c r="E979" s="58">
        <v>45350</v>
      </c>
      <c r="F979" s="58">
        <v>45351</v>
      </c>
      <c r="G979" s="67" t="s">
        <v>234</v>
      </c>
      <c r="H979" s="51" t="s">
        <v>65</v>
      </c>
      <c r="I979" s="89">
        <v>45359</v>
      </c>
      <c r="J979" s="67" t="s">
        <v>234</v>
      </c>
      <c r="K979" s="51">
        <v>350</v>
      </c>
      <c r="L979" s="73"/>
      <c r="M979" s="73"/>
      <c r="N979" s="73"/>
    </row>
    <row r="980" spans="1:14" ht="18.45" customHeight="1" x14ac:dyDescent="0.3">
      <c r="A980" s="51" t="s">
        <v>2154</v>
      </c>
      <c r="B980" s="51" t="s">
        <v>2155</v>
      </c>
      <c r="C980" s="51" t="s">
        <v>231</v>
      </c>
      <c r="D980" s="51">
        <v>7</v>
      </c>
      <c r="E980" s="58">
        <v>45345</v>
      </c>
      <c r="F980" s="58">
        <v>45346</v>
      </c>
      <c r="G980" s="67" t="s">
        <v>234</v>
      </c>
      <c r="H980" s="51" t="s">
        <v>65</v>
      </c>
      <c r="I980" s="89">
        <v>45359</v>
      </c>
      <c r="J980" s="67" t="s">
        <v>234</v>
      </c>
      <c r="K980" s="51">
        <v>250</v>
      </c>
      <c r="L980" s="73"/>
      <c r="M980" s="73"/>
      <c r="N980" s="73"/>
    </row>
    <row r="981" spans="1:14" ht="18.45" customHeight="1" x14ac:dyDescent="0.3">
      <c r="A981" s="51" t="s">
        <v>2156</v>
      </c>
      <c r="B981" s="51" t="s">
        <v>2157</v>
      </c>
      <c r="C981" s="51" t="s">
        <v>230</v>
      </c>
      <c r="D981" s="51">
        <v>10</v>
      </c>
      <c r="E981" s="58">
        <v>45355</v>
      </c>
      <c r="F981" s="58">
        <v>45357</v>
      </c>
      <c r="G981" s="67" t="s">
        <v>234</v>
      </c>
      <c r="H981" s="51" t="s">
        <v>65</v>
      </c>
      <c r="I981" s="89">
        <v>45359</v>
      </c>
      <c r="J981" s="67" t="s">
        <v>234</v>
      </c>
      <c r="K981" s="51">
        <v>200</v>
      </c>
      <c r="L981" s="73"/>
      <c r="M981" s="73"/>
      <c r="N981" s="73"/>
    </row>
    <row r="982" spans="1:14" ht="18.45" customHeight="1" x14ac:dyDescent="0.3">
      <c r="A982" s="76" t="s">
        <v>2158</v>
      </c>
      <c r="B982" s="60" t="s">
        <v>2159</v>
      </c>
      <c r="C982" s="76" t="s">
        <v>94</v>
      </c>
      <c r="D982" s="60">
        <v>57</v>
      </c>
      <c r="E982" s="89">
        <v>44631</v>
      </c>
      <c r="F982" s="89">
        <v>45190</v>
      </c>
      <c r="G982" s="67" t="s">
        <v>234</v>
      </c>
      <c r="H982" s="60" t="s">
        <v>65</v>
      </c>
      <c r="I982" s="92">
        <v>45360</v>
      </c>
      <c r="J982" s="67" t="s">
        <v>234</v>
      </c>
      <c r="K982" s="60">
        <v>500</v>
      </c>
      <c r="L982" s="73"/>
      <c r="M982" s="73"/>
      <c r="N982" s="73"/>
    </row>
    <row r="983" spans="1:14" ht="18.45" customHeight="1" x14ac:dyDescent="0.3">
      <c r="A983" s="48" t="s">
        <v>2160</v>
      </c>
      <c r="B983" s="50" t="s">
        <v>2161</v>
      </c>
      <c r="C983" s="76" t="s">
        <v>2477</v>
      </c>
      <c r="D983" s="62">
        <v>76</v>
      </c>
      <c r="E983" s="54">
        <v>45345</v>
      </c>
      <c r="F983" s="54">
        <v>45346</v>
      </c>
      <c r="G983" s="67" t="s">
        <v>234</v>
      </c>
      <c r="H983" s="60" t="s">
        <v>65</v>
      </c>
      <c r="I983" s="89">
        <v>45360</v>
      </c>
      <c r="J983" s="67" t="s">
        <v>234</v>
      </c>
      <c r="K983" s="62">
        <v>380</v>
      </c>
      <c r="L983" s="73"/>
      <c r="M983" s="73"/>
      <c r="N983" s="73"/>
    </row>
    <row r="984" spans="1:14" ht="18.45" customHeight="1" x14ac:dyDescent="0.3">
      <c r="A984" s="48" t="s">
        <v>2162</v>
      </c>
      <c r="B984" s="50" t="s">
        <v>2163</v>
      </c>
      <c r="C984" s="76" t="s">
        <v>2488</v>
      </c>
      <c r="D984" s="62">
        <v>34</v>
      </c>
      <c r="E984" s="54">
        <v>45353</v>
      </c>
      <c r="F984" s="54">
        <v>45355</v>
      </c>
      <c r="G984" s="67" t="s">
        <v>234</v>
      </c>
      <c r="H984" s="62" t="s">
        <v>65</v>
      </c>
      <c r="I984" s="89">
        <v>45360</v>
      </c>
      <c r="J984" s="67" t="s">
        <v>234</v>
      </c>
      <c r="K984" s="62">
        <v>250</v>
      </c>
      <c r="L984" s="73"/>
      <c r="M984" s="73"/>
      <c r="N984" s="73"/>
    </row>
    <row r="985" spans="1:14" ht="18.45" customHeight="1" x14ac:dyDescent="0.3">
      <c r="A985" s="48" t="s">
        <v>2164</v>
      </c>
      <c r="B985" s="50" t="s">
        <v>2165</v>
      </c>
      <c r="C985" s="48" t="s">
        <v>94</v>
      </c>
      <c r="D985" s="62">
        <v>59</v>
      </c>
      <c r="E985" s="54">
        <v>45348</v>
      </c>
      <c r="F985" s="54">
        <v>45349</v>
      </c>
      <c r="G985" s="67" t="s">
        <v>234</v>
      </c>
      <c r="H985" s="60" t="s">
        <v>65</v>
      </c>
      <c r="I985" s="89">
        <v>45360</v>
      </c>
      <c r="J985" s="67" t="s">
        <v>234</v>
      </c>
      <c r="K985" s="62">
        <v>400</v>
      </c>
      <c r="L985" s="73"/>
      <c r="M985" s="73"/>
      <c r="N985" s="73"/>
    </row>
    <row r="986" spans="1:14" ht="18.45" customHeight="1" x14ac:dyDescent="0.3">
      <c r="A986" s="48" t="s">
        <v>2166</v>
      </c>
      <c r="B986" s="50" t="s">
        <v>2167</v>
      </c>
      <c r="C986" s="48" t="s">
        <v>2514</v>
      </c>
      <c r="D986" s="62">
        <v>69</v>
      </c>
      <c r="E986" s="54">
        <v>45355</v>
      </c>
      <c r="F986" s="54">
        <v>45356</v>
      </c>
      <c r="G986" s="67" t="s">
        <v>234</v>
      </c>
      <c r="H986" s="62" t="s">
        <v>65</v>
      </c>
      <c r="I986" s="92">
        <v>45360</v>
      </c>
      <c r="J986" s="67" t="s">
        <v>234</v>
      </c>
      <c r="K986" s="62">
        <v>350</v>
      </c>
      <c r="L986" s="73"/>
      <c r="M986" s="73"/>
      <c r="N986" s="73"/>
    </row>
    <row r="987" spans="1:14" ht="18.45" customHeight="1" x14ac:dyDescent="0.3">
      <c r="A987" s="48" t="s">
        <v>2168</v>
      </c>
      <c r="B987" s="48" t="s">
        <v>2169</v>
      </c>
      <c r="C987" s="76" t="s">
        <v>2514</v>
      </c>
      <c r="D987" s="62">
        <v>69</v>
      </c>
      <c r="E987" s="56">
        <v>45357</v>
      </c>
      <c r="F987" s="56">
        <v>45358</v>
      </c>
      <c r="G987" s="67" t="s">
        <v>234</v>
      </c>
      <c r="H987" s="60" t="s">
        <v>65</v>
      </c>
      <c r="I987" s="89">
        <v>45360</v>
      </c>
      <c r="J987" s="67" t="s">
        <v>234</v>
      </c>
      <c r="K987" s="62">
        <v>250</v>
      </c>
      <c r="L987" s="73"/>
      <c r="M987" s="73"/>
      <c r="N987" s="73"/>
    </row>
    <row r="988" spans="1:14" ht="18.45" customHeight="1" x14ac:dyDescent="0.3">
      <c r="A988" s="76" t="s">
        <v>2170</v>
      </c>
      <c r="B988" s="60" t="s">
        <v>2171</v>
      </c>
      <c r="C988" s="76" t="s">
        <v>135</v>
      </c>
      <c r="D988" s="60">
        <v>68</v>
      </c>
      <c r="E988" s="89">
        <v>45273</v>
      </c>
      <c r="F988" s="89">
        <v>45274</v>
      </c>
      <c r="G988" s="67" t="s">
        <v>234</v>
      </c>
      <c r="H988" s="60" t="s">
        <v>65</v>
      </c>
      <c r="I988" s="89">
        <v>45360</v>
      </c>
      <c r="J988" s="67" t="s">
        <v>234</v>
      </c>
      <c r="K988" s="60">
        <v>300</v>
      </c>
      <c r="L988" s="73"/>
      <c r="M988" s="73"/>
      <c r="N988" s="73"/>
    </row>
    <row r="989" spans="1:14" ht="18.45" customHeight="1" x14ac:dyDescent="0.3">
      <c r="A989" s="48" t="s">
        <v>2172</v>
      </c>
      <c r="B989" s="48" t="s">
        <v>2173</v>
      </c>
      <c r="C989" s="48" t="s">
        <v>2488</v>
      </c>
      <c r="D989" s="62">
        <v>2</v>
      </c>
      <c r="E989" s="56">
        <v>45357</v>
      </c>
      <c r="F989" s="56">
        <v>45358</v>
      </c>
      <c r="G989" s="67" t="s">
        <v>234</v>
      </c>
      <c r="H989" s="60" t="s">
        <v>65</v>
      </c>
      <c r="I989" s="89">
        <v>45360</v>
      </c>
      <c r="J989" s="67" t="s">
        <v>234</v>
      </c>
      <c r="K989" s="62">
        <v>150</v>
      </c>
      <c r="L989" s="73"/>
      <c r="M989" s="73"/>
      <c r="N989" s="73"/>
    </row>
    <row r="990" spans="1:14" ht="18.45" customHeight="1" x14ac:dyDescent="0.3">
      <c r="A990" s="51" t="s">
        <v>2174</v>
      </c>
      <c r="B990" s="51" t="s">
        <v>2175</v>
      </c>
      <c r="C990" s="51" t="s">
        <v>221</v>
      </c>
      <c r="D990" s="84">
        <v>90</v>
      </c>
      <c r="E990" s="54">
        <v>45359</v>
      </c>
      <c r="F990" s="54">
        <v>45360</v>
      </c>
      <c r="G990" s="67" t="s">
        <v>234</v>
      </c>
      <c r="H990" s="51" t="s">
        <v>65</v>
      </c>
      <c r="I990" s="54">
        <v>45360</v>
      </c>
      <c r="J990" s="67" t="s">
        <v>234</v>
      </c>
      <c r="K990" s="51">
        <v>300</v>
      </c>
      <c r="L990" s="73"/>
      <c r="M990" s="73"/>
      <c r="N990" s="73"/>
    </row>
    <row r="991" spans="1:14" ht="18.45" customHeight="1" x14ac:dyDescent="0.3">
      <c r="A991" s="51" t="s">
        <v>2176</v>
      </c>
      <c r="B991" s="51" t="s">
        <v>2177</v>
      </c>
      <c r="C991" s="51" t="s">
        <v>221</v>
      </c>
      <c r="D991" s="84">
        <v>58</v>
      </c>
      <c r="E991" s="54">
        <v>45359</v>
      </c>
      <c r="F991" s="54">
        <v>45360</v>
      </c>
      <c r="G991" s="67" t="s">
        <v>234</v>
      </c>
      <c r="H991" s="51" t="s">
        <v>65</v>
      </c>
      <c r="I991" s="54">
        <v>45360</v>
      </c>
      <c r="J991" s="67" t="s">
        <v>234</v>
      </c>
      <c r="K991" s="51">
        <v>300</v>
      </c>
      <c r="L991" s="73"/>
      <c r="M991" s="73"/>
      <c r="N991" s="73"/>
    </row>
    <row r="992" spans="1:14" ht="18.45" customHeight="1" x14ac:dyDescent="0.3">
      <c r="A992" s="51" t="s">
        <v>2178</v>
      </c>
      <c r="B992" s="51" t="s">
        <v>2179</v>
      </c>
      <c r="C992" s="51" t="s">
        <v>221</v>
      </c>
      <c r="D992" s="84">
        <v>101</v>
      </c>
      <c r="E992" s="54">
        <v>45359</v>
      </c>
      <c r="F992" s="54">
        <v>45360</v>
      </c>
      <c r="G992" s="67" t="s">
        <v>234</v>
      </c>
      <c r="H992" s="51" t="s">
        <v>65</v>
      </c>
      <c r="I992" s="54">
        <v>45360</v>
      </c>
      <c r="J992" s="67" t="s">
        <v>234</v>
      </c>
      <c r="K992" s="51">
        <v>300</v>
      </c>
      <c r="L992" s="73"/>
      <c r="M992" s="73"/>
      <c r="N992" s="73"/>
    </row>
    <row r="993" spans="1:14" ht="18.45" customHeight="1" x14ac:dyDescent="0.3">
      <c r="A993" s="51" t="s">
        <v>2180</v>
      </c>
      <c r="B993" s="51" t="s">
        <v>2181</v>
      </c>
      <c r="C993" s="51" t="s">
        <v>231</v>
      </c>
      <c r="D993" s="51">
        <v>15</v>
      </c>
      <c r="E993" s="58">
        <v>45351</v>
      </c>
      <c r="F993" s="58">
        <v>45351</v>
      </c>
      <c r="G993" s="67" t="s">
        <v>234</v>
      </c>
      <c r="H993" s="51" t="s">
        <v>65</v>
      </c>
      <c r="I993" s="61">
        <v>45360</v>
      </c>
      <c r="J993" s="67" t="s">
        <v>234</v>
      </c>
      <c r="K993" s="51">
        <v>150</v>
      </c>
      <c r="L993" s="73"/>
      <c r="M993" s="73"/>
      <c r="N993" s="73"/>
    </row>
    <row r="994" spans="1:14" ht="18.45" customHeight="1" x14ac:dyDescent="0.3">
      <c r="A994" s="51" t="s">
        <v>2182</v>
      </c>
      <c r="B994" s="51" t="s">
        <v>2183</v>
      </c>
      <c r="C994" s="51" t="s">
        <v>232</v>
      </c>
      <c r="D994" s="51">
        <v>59</v>
      </c>
      <c r="E994" s="58">
        <v>45356</v>
      </c>
      <c r="F994" s="58">
        <v>45356</v>
      </c>
      <c r="G994" s="67" t="s">
        <v>234</v>
      </c>
      <c r="H994" s="51" t="s">
        <v>65</v>
      </c>
      <c r="I994" s="61">
        <v>45360</v>
      </c>
      <c r="J994" s="67" t="s">
        <v>234</v>
      </c>
      <c r="K994" s="51">
        <v>150</v>
      </c>
      <c r="L994" s="73"/>
      <c r="M994" s="73"/>
      <c r="N994" s="73"/>
    </row>
    <row r="995" spans="1:14" ht="18.45" customHeight="1" x14ac:dyDescent="0.3">
      <c r="A995" s="51" t="s">
        <v>2184</v>
      </c>
      <c r="B995" s="51" t="s">
        <v>2185</v>
      </c>
      <c r="C995" s="51" t="s">
        <v>229</v>
      </c>
      <c r="D995" s="51">
        <v>18</v>
      </c>
      <c r="E995" s="58">
        <v>45358</v>
      </c>
      <c r="F995" s="58">
        <v>45359</v>
      </c>
      <c r="G995" s="67" t="s">
        <v>234</v>
      </c>
      <c r="H995" s="51" t="s">
        <v>65</v>
      </c>
      <c r="I995" s="61">
        <v>45360</v>
      </c>
      <c r="J995" s="67" t="s">
        <v>234</v>
      </c>
      <c r="K995" s="51">
        <v>200</v>
      </c>
      <c r="L995" s="73"/>
      <c r="M995" s="73"/>
      <c r="N995" s="73"/>
    </row>
    <row r="996" spans="1:14" ht="18.45" customHeight="1" x14ac:dyDescent="0.3">
      <c r="A996" s="51" t="s">
        <v>2186</v>
      </c>
      <c r="B996" s="51" t="s">
        <v>2187</v>
      </c>
      <c r="C996" s="51" t="s">
        <v>228</v>
      </c>
      <c r="D996" s="51">
        <v>28</v>
      </c>
      <c r="E996" s="58">
        <v>45356</v>
      </c>
      <c r="F996" s="58">
        <v>45356</v>
      </c>
      <c r="G996" s="67" t="s">
        <v>234</v>
      </c>
      <c r="H996" s="51" t="s">
        <v>65</v>
      </c>
      <c r="I996" s="61">
        <v>45360</v>
      </c>
      <c r="J996" s="67" t="s">
        <v>234</v>
      </c>
      <c r="K996" s="51">
        <v>100</v>
      </c>
      <c r="L996" s="73"/>
      <c r="M996" s="73"/>
      <c r="N996" s="73"/>
    </row>
    <row r="997" spans="1:14" ht="18.45" customHeight="1" x14ac:dyDescent="0.3">
      <c r="A997" s="51" t="s">
        <v>2188</v>
      </c>
      <c r="B997" s="51" t="s">
        <v>2189</v>
      </c>
      <c r="C997" s="51" t="s">
        <v>231</v>
      </c>
      <c r="D997" s="51">
        <v>23</v>
      </c>
      <c r="E997" s="58">
        <v>45357</v>
      </c>
      <c r="F997" s="58">
        <v>45359</v>
      </c>
      <c r="G997" s="67" t="s">
        <v>234</v>
      </c>
      <c r="H997" s="51" t="s">
        <v>65</v>
      </c>
      <c r="I997" s="61">
        <v>45360</v>
      </c>
      <c r="J997" s="67" t="s">
        <v>234</v>
      </c>
      <c r="K997" s="51">
        <v>100</v>
      </c>
      <c r="L997" s="73"/>
      <c r="M997" s="73"/>
      <c r="N997" s="73"/>
    </row>
    <row r="998" spans="1:14" ht="18.45" customHeight="1" x14ac:dyDescent="0.3">
      <c r="A998" s="51" t="s">
        <v>2190</v>
      </c>
      <c r="B998" s="51" t="s">
        <v>2191</v>
      </c>
      <c r="C998" s="51" t="s">
        <v>231</v>
      </c>
      <c r="D998" s="51">
        <v>18</v>
      </c>
      <c r="E998" s="58">
        <v>45358</v>
      </c>
      <c r="F998" s="58">
        <v>45359</v>
      </c>
      <c r="G998" s="67" t="s">
        <v>234</v>
      </c>
      <c r="H998" s="51" t="s">
        <v>65</v>
      </c>
      <c r="I998" s="61">
        <v>45360</v>
      </c>
      <c r="J998" s="67" t="s">
        <v>234</v>
      </c>
      <c r="K998" s="51">
        <v>300</v>
      </c>
      <c r="L998" s="73"/>
      <c r="M998" s="73"/>
      <c r="N998" s="73"/>
    </row>
    <row r="999" spans="1:14" ht="18.45" customHeight="1" x14ac:dyDescent="0.3">
      <c r="A999" s="51" t="s">
        <v>2192</v>
      </c>
      <c r="B999" s="51" t="s">
        <v>2193</v>
      </c>
      <c r="C999" s="51" t="s">
        <v>231</v>
      </c>
      <c r="D999" s="51">
        <v>5</v>
      </c>
      <c r="E999" s="58">
        <v>45358</v>
      </c>
      <c r="F999" s="58">
        <v>45359</v>
      </c>
      <c r="G999" s="67" t="s">
        <v>234</v>
      </c>
      <c r="H999" s="51" t="s">
        <v>65</v>
      </c>
      <c r="I999" s="61">
        <v>45360</v>
      </c>
      <c r="J999" s="67" t="s">
        <v>234</v>
      </c>
      <c r="K999" s="51">
        <v>150</v>
      </c>
      <c r="L999" s="73"/>
      <c r="M999" s="73"/>
      <c r="N999" s="73"/>
    </row>
    <row r="1000" spans="1:14" ht="18.45" customHeight="1" x14ac:dyDescent="0.3">
      <c r="A1000" s="51" t="s">
        <v>2194</v>
      </c>
      <c r="B1000" s="51" t="s">
        <v>2195</v>
      </c>
      <c r="C1000" s="51" t="s">
        <v>231</v>
      </c>
      <c r="D1000" s="51">
        <v>27</v>
      </c>
      <c r="E1000" s="58">
        <v>45357</v>
      </c>
      <c r="F1000" s="58">
        <v>45359</v>
      </c>
      <c r="G1000" s="67" t="s">
        <v>234</v>
      </c>
      <c r="H1000" s="51" t="s">
        <v>65</v>
      </c>
      <c r="I1000" s="61">
        <v>45360</v>
      </c>
      <c r="J1000" s="67" t="s">
        <v>234</v>
      </c>
      <c r="K1000" s="51">
        <v>100</v>
      </c>
      <c r="L1000" s="73"/>
      <c r="M1000" s="73"/>
      <c r="N1000" s="73"/>
    </row>
    <row r="1001" spans="1:14" ht="18.45" customHeight="1" x14ac:dyDescent="0.3">
      <c r="A1001" s="51" t="s">
        <v>2196</v>
      </c>
      <c r="B1001" s="51" t="s">
        <v>2197</v>
      </c>
      <c r="C1001" s="51" t="s">
        <v>229</v>
      </c>
      <c r="D1001" s="51">
        <v>13</v>
      </c>
      <c r="E1001" s="58">
        <v>45357</v>
      </c>
      <c r="F1001" s="58">
        <v>45359</v>
      </c>
      <c r="G1001" s="67" t="s">
        <v>234</v>
      </c>
      <c r="H1001" s="51" t="s">
        <v>65</v>
      </c>
      <c r="I1001" s="61">
        <v>45360</v>
      </c>
      <c r="J1001" s="67" t="s">
        <v>234</v>
      </c>
      <c r="K1001" s="51">
        <v>100</v>
      </c>
      <c r="L1001" s="73"/>
      <c r="M1001" s="73"/>
      <c r="N1001" s="73"/>
    </row>
    <row r="1002" spans="1:14" ht="18.45" customHeight="1" x14ac:dyDescent="0.3">
      <c r="A1002" s="99" t="s">
        <v>2198</v>
      </c>
      <c r="B1002" s="75" t="s">
        <v>2199</v>
      </c>
      <c r="C1002" s="99" t="s">
        <v>92</v>
      </c>
      <c r="D1002" s="71">
        <v>22</v>
      </c>
      <c r="E1002" s="85">
        <v>45358</v>
      </c>
      <c r="F1002" s="85">
        <v>45359</v>
      </c>
      <c r="G1002" s="67" t="s">
        <v>234</v>
      </c>
      <c r="H1002" s="60" t="s">
        <v>65</v>
      </c>
      <c r="I1002" s="89">
        <v>45362</v>
      </c>
      <c r="J1002" s="67" t="s">
        <v>234</v>
      </c>
      <c r="K1002" s="62">
        <v>400</v>
      </c>
      <c r="L1002" s="73"/>
      <c r="M1002" s="73"/>
      <c r="N1002" s="73"/>
    </row>
    <row r="1003" spans="1:14" ht="18.45" customHeight="1" x14ac:dyDescent="0.3">
      <c r="A1003" s="53" t="s">
        <v>2200</v>
      </c>
      <c r="B1003" s="53" t="s">
        <v>2201</v>
      </c>
      <c r="C1003" s="53" t="s">
        <v>94</v>
      </c>
      <c r="D1003" s="71">
        <v>4</v>
      </c>
      <c r="E1003" s="69">
        <v>45337</v>
      </c>
      <c r="F1003" s="69">
        <v>45339</v>
      </c>
      <c r="G1003" s="67" t="s">
        <v>234</v>
      </c>
      <c r="H1003" s="60" t="s">
        <v>65</v>
      </c>
      <c r="I1003" s="89">
        <v>45362</v>
      </c>
      <c r="J1003" s="67" t="s">
        <v>234</v>
      </c>
      <c r="K1003" s="62">
        <v>250</v>
      </c>
      <c r="L1003" s="73"/>
      <c r="M1003" s="73"/>
      <c r="N1003" s="73"/>
    </row>
    <row r="1004" spans="1:14" ht="18.45" customHeight="1" x14ac:dyDescent="0.3">
      <c r="A1004" s="48" t="s">
        <v>2202</v>
      </c>
      <c r="B1004" s="50" t="s">
        <v>2203</v>
      </c>
      <c r="C1004" s="48" t="s">
        <v>120</v>
      </c>
      <c r="D1004" s="62">
        <v>86</v>
      </c>
      <c r="E1004" s="54">
        <v>45353</v>
      </c>
      <c r="F1004" s="54">
        <v>45355</v>
      </c>
      <c r="G1004" s="67" t="s">
        <v>234</v>
      </c>
      <c r="H1004" s="62" t="s">
        <v>65</v>
      </c>
      <c r="I1004" s="89">
        <v>45362</v>
      </c>
      <c r="J1004" s="67" t="s">
        <v>234</v>
      </c>
      <c r="K1004" s="62">
        <v>250</v>
      </c>
      <c r="L1004" s="73"/>
      <c r="M1004" s="73"/>
      <c r="N1004" s="73"/>
    </row>
    <row r="1005" spans="1:14" ht="18.45" customHeight="1" x14ac:dyDescent="0.3">
      <c r="A1005" s="48" t="s">
        <v>2204</v>
      </c>
      <c r="B1005" s="50" t="s">
        <v>2205</v>
      </c>
      <c r="C1005" s="48" t="s">
        <v>94</v>
      </c>
      <c r="D1005" s="62">
        <v>84</v>
      </c>
      <c r="E1005" s="54">
        <v>45346</v>
      </c>
      <c r="F1005" s="54">
        <v>45348</v>
      </c>
      <c r="G1005" s="67" t="s">
        <v>234</v>
      </c>
      <c r="H1005" s="60" t="s">
        <v>68</v>
      </c>
      <c r="I1005" s="89">
        <v>45362</v>
      </c>
      <c r="J1005" s="67" t="s">
        <v>234</v>
      </c>
      <c r="K1005" s="62">
        <v>50</v>
      </c>
      <c r="L1005" s="73"/>
      <c r="M1005" s="73"/>
      <c r="N1005" s="73"/>
    </row>
    <row r="1006" spans="1:14" ht="18.45" customHeight="1" x14ac:dyDescent="0.3">
      <c r="A1006" s="99" t="s">
        <v>2206</v>
      </c>
      <c r="B1006" s="75" t="s">
        <v>2207</v>
      </c>
      <c r="C1006" s="76" t="s">
        <v>99</v>
      </c>
      <c r="D1006" s="71">
        <v>68</v>
      </c>
      <c r="E1006" s="85">
        <v>45358</v>
      </c>
      <c r="F1006" s="85">
        <v>45360</v>
      </c>
      <c r="G1006" s="67" t="s">
        <v>234</v>
      </c>
      <c r="H1006" s="60" t="s">
        <v>65</v>
      </c>
      <c r="I1006" s="89">
        <v>45362</v>
      </c>
      <c r="J1006" s="67" t="s">
        <v>234</v>
      </c>
      <c r="K1006" s="62">
        <v>150</v>
      </c>
      <c r="L1006" s="73"/>
      <c r="M1006" s="73"/>
      <c r="N1006" s="73"/>
    </row>
    <row r="1007" spans="1:14" ht="18.45" customHeight="1" x14ac:dyDescent="0.3">
      <c r="A1007" s="48" t="s">
        <v>2208</v>
      </c>
      <c r="B1007" s="50" t="s">
        <v>2209</v>
      </c>
      <c r="C1007" s="48" t="s">
        <v>94</v>
      </c>
      <c r="D1007" s="62">
        <v>87</v>
      </c>
      <c r="E1007" s="54">
        <v>45353</v>
      </c>
      <c r="F1007" s="54">
        <v>45355</v>
      </c>
      <c r="G1007" s="67" t="s">
        <v>234</v>
      </c>
      <c r="H1007" s="62" t="s">
        <v>65</v>
      </c>
      <c r="I1007" s="89">
        <v>45362</v>
      </c>
      <c r="J1007" s="67" t="s">
        <v>234</v>
      </c>
      <c r="K1007" s="62">
        <v>450</v>
      </c>
      <c r="L1007" s="73"/>
      <c r="M1007" s="73"/>
      <c r="N1007" s="73"/>
    </row>
    <row r="1008" spans="1:14" ht="18.45" customHeight="1" x14ac:dyDescent="0.3">
      <c r="A1008" s="51" t="s">
        <v>2210</v>
      </c>
      <c r="B1008" s="51" t="s">
        <v>2211</v>
      </c>
      <c r="C1008" s="51" t="s">
        <v>113</v>
      </c>
      <c r="D1008" s="51">
        <v>103</v>
      </c>
      <c r="E1008" s="58">
        <v>45350</v>
      </c>
      <c r="F1008" s="58">
        <v>45356</v>
      </c>
      <c r="G1008" s="67" t="s">
        <v>234</v>
      </c>
      <c r="H1008" s="51" t="s">
        <v>65</v>
      </c>
      <c r="I1008" s="61">
        <v>45362</v>
      </c>
      <c r="J1008" s="67" t="s">
        <v>234</v>
      </c>
      <c r="K1008" s="51">
        <v>60</v>
      </c>
      <c r="L1008" s="73"/>
      <c r="M1008" s="73"/>
      <c r="N1008" s="73"/>
    </row>
    <row r="1009" spans="1:14" ht="18.45" customHeight="1" x14ac:dyDescent="0.3">
      <c r="A1009" s="51" t="s">
        <v>2212</v>
      </c>
      <c r="B1009" s="51" t="s">
        <v>2213</v>
      </c>
      <c r="C1009" s="51" t="s">
        <v>229</v>
      </c>
      <c r="D1009" s="51">
        <v>1</v>
      </c>
      <c r="E1009" s="58">
        <v>45351</v>
      </c>
      <c r="F1009" s="58">
        <v>45352</v>
      </c>
      <c r="G1009" s="67" t="s">
        <v>234</v>
      </c>
      <c r="H1009" s="51" t="s">
        <v>65</v>
      </c>
      <c r="I1009" s="61">
        <v>45362</v>
      </c>
      <c r="J1009" s="67" t="s">
        <v>234</v>
      </c>
      <c r="K1009" s="51">
        <v>300</v>
      </c>
      <c r="L1009" s="73"/>
      <c r="M1009" s="73"/>
      <c r="N1009" s="73"/>
    </row>
    <row r="1010" spans="1:14" ht="18.45" customHeight="1" x14ac:dyDescent="0.3">
      <c r="A1010" s="51" t="s">
        <v>2214</v>
      </c>
      <c r="B1010" s="51" t="s">
        <v>2215</v>
      </c>
      <c r="C1010" s="51" t="s">
        <v>138</v>
      </c>
      <c r="D1010" s="51">
        <v>48</v>
      </c>
      <c r="E1010" s="58">
        <v>45353</v>
      </c>
      <c r="F1010" s="58">
        <v>45355</v>
      </c>
      <c r="G1010" s="67" t="s">
        <v>234</v>
      </c>
      <c r="H1010" s="51" t="s">
        <v>65</v>
      </c>
      <c r="I1010" s="61">
        <v>45362</v>
      </c>
      <c r="J1010" s="67" t="s">
        <v>234</v>
      </c>
      <c r="K1010" s="51">
        <v>250</v>
      </c>
      <c r="L1010" s="73"/>
      <c r="M1010" s="73"/>
      <c r="N1010" s="73"/>
    </row>
    <row r="1011" spans="1:14" ht="18.45" customHeight="1" x14ac:dyDescent="0.3">
      <c r="A1011" s="51" t="s">
        <v>177</v>
      </c>
      <c r="B1011" s="51" t="s">
        <v>178</v>
      </c>
      <c r="C1011" s="51" t="s">
        <v>232</v>
      </c>
      <c r="D1011" s="51">
        <v>88</v>
      </c>
      <c r="E1011" s="58">
        <v>45357</v>
      </c>
      <c r="F1011" s="58">
        <v>45359</v>
      </c>
      <c r="G1011" s="67" t="s">
        <v>234</v>
      </c>
      <c r="H1011" s="51" t="s">
        <v>65</v>
      </c>
      <c r="I1011" s="61">
        <v>45362</v>
      </c>
      <c r="J1011" s="67" t="s">
        <v>234</v>
      </c>
      <c r="K1011" s="51">
        <v>150</v>
      </c>
      <c r="L1011" s="73"/>
      <c r="M1011" s="73"/>
      <c r="N1011" s="73"/>
    </row>
    <row r="1012" spans="1:14" ht="18.45" customHeight="1" x14ac:dyDescent="0.3">
      <c r="A1012" s="51" t="s">
        <v>2216</v>
      </c>
      <c r="B1012" s="51" t="s">
        <v>2217</v>
      </c>
      <c r="C1012" s="51" t="s">
        <v>231</v>
      </c>
      <c r="D1012" s="51">
        <v>11</v>
      </c>
      <c r="E1012" s="58">
        <v>45358</v>
      </c>
      <c r="F1012" s="58">
        <v>45359</v>
      </c>
      <c r="G1012" s="67" t="s">
        <v>234</v>
      </c>
      <c r="H1012" s="51" t="s">
        <v>65</v>
      </c>
      <c r="I1012" s="61">
        <v>45362</v>
      </c>
      <c r="J1012" s="67" t="s">
        <v>234</v>
      </c>
      <c r="K1012" s="51">
        <v>100</v>
      </c>
      <c r="L1012" s="73"/>
      <c r="M1012" s="73"/>
      <c r="N1012" s="73"/>
    </row>
    <row r="1013" spans="1:14" ht="18.45" customHeight="1" x14ac:dyDescent="0.3">
      <c r="A1013" s="51" t="s">
        <v>2218</v>
      </c>
      <c r="B1013" s="51" t="s">
        <v>2219</v>
      </c>
      <c r="C1013" s="51" t="s">
        <v>231</v>
      </c>
      <c r="D1013" s="51">
        <v>11</v>
      </c>
      <c r="E1013" s="58">
        <v>45358</v>
      </c>
      <c r="F1013" s="58">
        <v>45359</v>
      </c>
      <c r="G1013" s="67" t="s">
        <v>234</v>
      </c>
      <c r="H1013" s="51" t="s">
        <v>65</v>
      </c>
      <c r="I1013" s="61">
        <v>45362</v>
      </c>
      <c r="J1013" s="67" t="s">
        <v>234</v>
      </c>
      <c r="K1013" s="51">
        <v>250</v>
      </c>
      <c r="L1013" s="73"/>
      <c r="M1013" s="73"/>
      <c r="N1013" s="73"/>
    </row>
    <row r="1014" spans="1:14" ht="18.45" customHeight="1" x14ac:dyDescent="0.3">
      <c r="A1014" s="51" t="s">
        <v>2220</v>
      </c>
      <c r="B1014" s="51" t="s">
        <v>2221</v>
      </c>
      <c r="C1014" s="56" t="s">
        <v>220</v>
      </c>
      <c r="D1014" s="84">
        <v>85</v>
      </c>
      <c r="E1014" s="54">
        <v>45357</v>
      </c>
      <c r="F1014" s="54">
        <v>45360</v>
      </c>
      <c r="G1014" s="67" t="s">
        <v>234</v>
      </c>
      <c r="H1014" s="51" t="s">
        <v>65</v>
      </c>
      <c r="I1014" s="54">
        <v>45362</v>
      </c>
      <c r="J1014" s="67" t="s">
        <v>234</v>
      </c>
      <c r="K1014" s="51">
        <v>150</v>
      </c>
      <c r="L1014" s="73"/>
      <c r="M1014" s="73"/>
      <c r="N1014" s="73"/>
    </row>
    <row r="1015" spans="1:14" ht="18.45" customHeight="1" x14ac:dyDescent="0.3">
      <c r="A1015" s="51" t="s">
        <v>2222</v>
      </c>
      <c r="B1015" s="51" t="s">
        <v>2223</v>
      </c>
      <c r="C1015" s="51" t="s">
        <v>222</v>
      </c>
      <c r="D1015" s="84">
        <v>13</v>
      </c>
      <c r="E1015" s="54">
        <v>45358</v>
      </c>
      <c r="F1015" s="54">
        <v>45360</v>
      </c>
      <c r="G1015" s="67" t="s">
        <v>234</v>
      </c>
      <c r="H1015" s="51" t="s">
        <v>65</v>
      </c>
      <c r="I1015" s="54">
        <v>45362</v>
      </c>
      <c r="J1015" s="67" t="s">
        <v>234</v>
      </c>
      <c r="K1015" s="51">
        <v>200</v>
      </c>
      <c r="L1015" s="73"/>
      <c r="M1015" s="73"/>
      <c r="N1015" s="73"/>
    </row>
    <row r="1016" spans="1:14" ht="18.45" customHeight="1" x14ac:dyDescent="0.3">
      <c r="A1016" s="51" t="s">
        <v>2224</v>
      </c>
      <c r="B1016" s="51" t="s">
        <v>2225</v>
      </c>
      <c r="C1016" s="56" t="s">
        <v>220</v>
      </c>
      <c r="D1016" s="84">
        <v>49</v>
      </c>
      <c r="E1016" s="54">
        <v>45357</v>
      </c>
      <c r="F1016" s="54">
        <v>45362</v>
      </c>
      <c r="G1016" s="67" t="s">
        <v>234</v>
      </c>
      <c r="H1016" s="51" t="s">
        <v>65</v>
      </c>
      <c r="I1016" s="54">
        <v>45362</v>
      </c>
      <c r="J1016" s="67" t="s">
        <v>234</v>
      </c>
      <c r="K1016" s="51">
        <v>150</v>
      </c>
      <c r="L1016" s="73"/>
      <c r="M1016" s="73"/>
      <c r="N1016" s="73"/>
    </row>
    <row r="1017" spans="1:14" ht="18.45" customHeight="1" x14ac:dyDescent="0.3">
      <c r="A1017" s="51" t="s">
        <v>2226</v>
      </c>
      <c r="B1017" s="51" t="s">
        <v>2227</v>
      </c>
      <c r="C1017" s="51" t="s">
        <v>223</v>
      </c>
      <c r="D1017" s="84">
        <v>51</v>
      </c>
      <c r="E1017" s="54">
        <v>45361</v>
      </c>
      <c r="F1017" s="54">
        <v>45362</v>
      </c>
      <c r="G1017" s="67" t="s">
        <v>234</v>
      </c>
      <c r="H1017" s="51" t="s">
        <v>65</v>
      </c>
      <c r="I1017" s="54">
        <v>45362</v>
      </c>
      <c r="J1017" s="67" t="s">
        <v>234</v>
      </c>
      <c r="K1017" s="51">
        <v>200</v>
      </c>
      <c r="L1017" s="73"/>
      <c r="M1017" s="73"/>
      <c r="N1017" s="73"/>
    </row>
    <row r="1018" spans="1:14" ht="18.45" customHeight="1" x14ac:dyDescent="0.3">
      <c r="A1018" s="51" t="s">
        <v>2228</v>
      </c>
      <c r="B1018" s="51" t="s">
        <v>2229</v>
      </c>
      <c r="C1018" s="51" t="s">
        <v>2490</v>
      </c>
      <c r="D1018" s="84">
        <v>21</v>
      </c>
      <c r="E1018" s="54">
        <v>45361</v>
      </c>
      <c r="F1018" s="54">
        <v>45362</v>
      </c>
      <c r="G1018" s="67" t="s">
        <v>234</v>
      </c>
      <c r="H1018" s="51" t="s">
        <v>65</v>
      </c>
      <c r="I1018" s="54">
        <v>45362</v>
      </c>
      <c r="J1018" s="67" t="s">
        <v>234</v>
      </c>
      <c r="K1018" s="51">
        <v>300</v>
      </c>
      <c r="L1018" s="73"/>
      <c r="M1018" s="73"/>
      <c r="N1018" s="73"/>
    </row>
    <row r="1019" spans="1:14" ht="18.45" customHeight="1" x14ac:dyDescent="0.3">
      <c r="A1019" s="51" t="s">
        <v>2230</v>
      </c>
      <c r="B1019" s="51" t="s">
        <v>2231</v>
      </c>
      <c r="C1019" s="51" t="s">
        <v>218</v>
      </c>
      <c r="D1019" s="84">
        <v>2</v>
      </c>
      <c r="E1019" s="54">
        <v>45357</v>
      </c>
      <c r="F1019" s="54">
        <v>45362</v>
      </c>
      <c r="G1019" s="67" t="s">
        <v>234</v>
      </c>
      <c r="H1019" s="51" t="s">
        <v>65</v>
      </c>
      <c r="I1019" s="54">
        <v>45362</v>
      </c>
      <c r="J1019" s="67" t="s">
        <v>234</v>
      </c>
      <c r="K1019" s="51">
        <v>200</v>
      </c>
      <c r="L1019" s="73"/>
      <c r="M1019" s="73"/>
      <c r="N1019" s="73"/>
    </row>
    <row r="1020" spans="1:14" ht="18.45" customHeight="1" x14ac:dyDescent="0.3">
      <c r="A1020" s="76" t="s">
        <v>2232</v>
      </c>
      <c r="B1020" s="60" t="s">
        <v>2233</v>
      </c>
      <c r="C1020" s="76" t="s">
        <v>120</v>
      </c>
      <c r="D1020" s="60">
        <v>75</v>
      </c>
      <c r="E1020" s="89">
        <v>45254</v>
      </c>
      <c r="F1020" s="89">
        <v>45257</v>
      </c>
      <c r="G1020" s="67" t="s">
        <v>234</v>
      </c>
      <c r="H1020" s="60" t="s">
        <v>65</v>
      </c>
      <c r="I1020" s="87">
        <v>45363</v>
      </c>
      <c r="J1020" s="67" t="s">
        <v>234</v>
      </c>
      <c r="K1020" s="60">
        <v>400</v>
      </c>
      <c r="L1020" s="73"/>
      <c r="M1020" s="73"/>
      <c r="N1020" s="73"/>
    </row>
    <row r="1021" spans="1:14" ht="18.45" customHeight="1" x14ac:dyDescent="0.3">
      <c r="A1021" s="99" t="s">
        <v>2234</v>
      </c>
      <c r="B1021" s="75" t="s">
        <v>2235</v>
      </c>
      <c r="C1021" s="99" t="s">
        <v>96</v>
      </c>
      <c r="D1021" s="71">
        <v>13</v>
      </c>
      <c r="E1021" s="85">
        <v>45357</v>
      </c>
      <c r="F1021" s="85">
        <v>45362</v>
      </c>
      <c r="G1021" s="67" t="s">
        <v>234</v>
      </c>
      <c r="H1021" s="60" t="s">
        <v>65</v>
      </c>
      <c r="I1021" s="87">
        <v>45363</v>
      </c>
      <c r="J1021" s="67" t="s">
        <v>234</v>
      </c>
      <c r="K1021" s="71">
        <v>250</v>
      </c>
      <c r="L1021" s="73"/>
      <c r="M1021" s="73"/>
      <c r="N1021" s="73"/>
    </row>
    <row r="1022" spans="1:14" ht="18.45" customHeight="1" x14ac:dyDescent="0.3">
      <c r="A1022" s="99" t="s">
        <v>2236</v>
      </c>
      <c r="B1022" s="75" t="s">
        <v>2237</v>
      </c>
      <c r="C1022" s="76" t="s">
        <v>2477</v>
      </c>
      <c r="D1022" s="60">
        <v>12</v>
      </c>
      <c r="E1022" s="85">
        <v>45360</v>
      </c>
      <c r="F1022" s="85">
        <v>45362</v>
      </c>
      <c r="G1022" s="67" t="s">
        <v>234</v>
      </c>
      <c r="H1022" s="60" t="s">
        <v>65</v>
      </c>
      <c r="I1022" s="87">
        <v>45363</v>
      </c>
      <c r="J1022" s="67" t="s">
        <v>234</v>
      </c>
      <c r="K1022" s="71">
        <v>50</v>
      </c>
      <c r="L1022" s="73"/>
      <c r="M1022" s="73"/>
      <c r="N1022" s="73"/>
    </row>
    <row r="1023" spans="1:14" ht="18.45" customHeight="1" x14ac:dyDescent="0.3">
      <c r="A1023" s="99" t="s">
        <v>2238</v>
      </c>
      <c r="B1023" s="75" t="s">
        <v>2239</v>
      </c>
      <c r="C1023" s="99" t="s">
        <v>2515</v>
      </c>
      <c r="D1023" s="71">
        <v>40</v>
      </c>
      <c r="E1023" s="85">
        <v>45356</v>
      </c>
      <c r="F1023" s="85">
        <v>45360</v>
      </c>
      <c r="G1023" s="67" t="s">
        <v>234</v>
      </c>
      <c r="H1023" s="60" t="s">
        <v>65</v>
      </c>
      <c r="I1023" s="89">
        <v>45363</v>
      </c>
      <c r="J1023" s="67" t="s">
        <v>234</v>
      </c>
      <c r="K1023" s="62">
        <v>150</v>
      </c>
      <c r="L1023" s="73"/>
      <c r="M1023" s="73"/>
      <c r="N1023" s="73"/>
    </row>
    <row r="1024" spans="1:14" ht="18.45" customHeight="1" x14ac:dyDescent="0.3">
      <c r="A1024" s="99" t="s">
        <v>2240</v>
      </c>
      <c r="B1024" s="75" t="s">
        <v>2241</v>
      </c>
      <c r="C1024" s="99" t="s">
        <v>95</v>
      </c>
      <c r="D1024" s="71">
        <v>27</v>
      </c>
      <c r="E1024" s="85">
        <v>45358</v>
      </c>
      <c r="F1024" s="85">
        <v>45360</v>
      </c>
      <c r="G1024" s="67" t="s">
        <v>234</v>
      </c>
      <c r="H1024" s="60" t="s">
        <v>65</v>
      </c>
      <c r="I1024" s="89">
        <v>45363</v>
      </c>
      <c r="J1024" s="67" t="s">
        <v>234</v>
      </c>
      <c r="K1024" s="62">
        <v>150</v>
      </c>
      <c r="L1024" s="73"/>
      <c r="M1024" s="73"/>
      <c r="N1024" s="73"/>
    </row>
    <row r="1025" spans="1:14" ht="18.45" customHeight="1" x14ac:dyDescent="0.3">
      <c r="A1025" s="48" t="s">
        <v>2242</v>
      </c>
      <c r="B1025" s="48" t="s">
        <v>2243</v>
      </c>
      <c r="C1025" s="76" t="s">
        <v>99</v>
      </c>
      <c r="D1025" s="62">
        <v>64</v>
      </c>
      <c r="E1025" s="56">
        <v>45357</v>
      </c>
      <c r="F1025" s="56">
        <v>45358</v>
      </c>
      <c r="G1025" s="67" t="s">
        <v>234</v>
      </c>
      <c r="H1025" s="60" t="s">
        <v>65</v>
      </c>
      <c r="I1025" s="89">
        <v>45363</v>
      </c>
      <c r="J1025" s="67" t="s">
        <v>234</v>
      </c>
      <c r="K1025" s="62">
        <v>270</v>
      </c>
      <c r="L1025" s="73"/>
      <c r="M1025" s="73"/>
      <c r="N1025" s="73"/>
    </row>
    <row r="1026" spans="1:14" ht="18.45" customHeight="1" x14ac:dyDescent="0.3">
      <c r="A1026" s="99" t="s">
        <v>2244</v>
      </c>
      <c r="B1026" s="75" t="s">
        <v>2245</v>
      </c>
      <c r="C1026" s="99" t="s">
        <v>134</v>
      </c>
      <c r="D1026" s="71">
        <v>42</v>
      </c>
      <c r="E1026" s="85">
        <v>45356</v>
      </c>
      <c r="F1026" s="85">
        <v>45362</v>
      </c>
      <c r="G1026" s="67" t="s">
        <v>234</v>
      </c>
      <c r="H1026" s="60" t="s">
        <v>65</v>
      </c>
      <c r="I1026" s="87">
        <v>45363</v>
      </c>
      <c r="J1026" s="67" t="s">
        <v>234</v>
      </c>
      <c r="K1026" s="71">
        <v>350</v>
      </c>
      <c r="L1026" s="73"/>
      <c r="M1026" s="73"/>
      <c r="N1026" s="73"/>
    </row>
    <row r="1027" spans="1:14" ht="18.45" customHeight="1" x14ac:dyDescent="0.3">
      <c r="A1027" s="48" t="s">
        <v>2246</v>
      </c>
      <c r="B1027" s="48" t="s">
        <v>2247</v>
      </c>
      <c r="C1027" s="76" t="s">
        <v>2477</v>
      </c>
      <c r="D1027" s="62">
        <v>76</v>
      </c>
      <c r="E1027" s="56">
        <v>45358</v>
      </c>
      <c r="F1027" s="56">
        <v>45358</v>
      </c>
      <c r="G1027" s="67" t="s">
        <v>234</v>
      </c>
      <c r="H1027" s="60" t="s">
        <v>65</v>
      </c>
      <c r="I1027" s="89">
        <v>45363</v>
      </c>
      <c r="J1027" s="67" t="s">
        <v>234</v>
      </c>
      <c r="K1027" s="62">
        <v>270</v>
      </c>
      <c r="L1027" s="73"/>
      <c r="M1027" s="73"/>
      <c r="N1027" s="73"/>
    </row>
    <row r="1028" spans="1:14" ht="18.45" customHeight="1" x14ac:dyDescent="0.3">
      <c r="A1028" s="99" t="s">
        <v>2248</v>
      </c>
      <c r="B1028" s="75" t="s">
        <v>2249</v>
      </c>
      <c r="C1028" s="99" t="s">
        <v>120</v>
      </c>
      <c r="D1028" s="71">
        <v>197</v>
      </c>
      <c r="E1028" s="85">
        <v>45356</v>
      </c>
      <c r="F1028" s="85">
        <v>45362</v>
      </c>
      <c r="G1028" s="67" t="s">
        <v>234</v>
      </c>
      <c r="H1028" s="60" t="s">
        <v>65</v>
      </c>
      <c r="I1028" s="87">
        <v>45363</v>
      </c>
      <c r="J1028" s="67" t="s">
        <v>234</v>
      </c>
      <c r="K1028" s="71">
        <v>20</v>
      </c>
      <c r="L1028" s="73"/>
      <c r="M1028" s="73"/>
      <c r="N1028" s="73"/>
    </row>
    <row r="1029" spans="1:14" ht="18.45" customHeight="1" x14ac:dyDescent="0.3">
      <c r="A1029" s="99" t="s">
        <v>2250</v>
      </c>
      <c r="B1029" s="75" t="s">
        <v>2251</v>
      </c>
      <c r="C1029" s="99" t="s">
        <v>105</v>
      </c>
      <c r="D1029" s="71">
        <v>295</v>
      </c>
      <c r="E1029" s="85">
        <v>45359</v>
      </c>
      <c r="F1029" s="85">
        <v>45362</v>
      </c>
      <c r="G1029" s="67" t="s">
        <v>234</v>
      </c>
      <c r="H1029" s="60" t="s">
        <v>65</v>
      </c>
      <c r="I1029" s="87">
        <v>45363</v>
      </c>
      <c r="J1029" s="67" t="s">
        <v>234</v>
      </c>
      <c r="K1029" s="71">
        <v>50</v>
      </c>
      <c r="L1029" s="73"/>
      <c r="M1029" s="73"/>
      <c r="N1029" s="73"/>
    </row>
    <row r="1030" spans="1:14" ht="18.45" customHeight="1" x14ac:dyDescent="0.3">
      <c r="A1030" s="51" t="s">
        <v>2252</v>
      </c>
      <c r="B1030" s="51" t="s">
        <v>2253</v>
      </c>
      <c r="C1030" s="51" t="s">
        <v>223</v>
      </c>
      <c r="D1030" s="84">
        <v>13</v>
      </c>
      <c r="E1030" s="54">
        <v>45359</v>
      </c>
      <c r="F1030" s="54">
        <v>45362</v>
      </c>
      <c r="G1030" s="67" t="s">
        <v>234</v>
      </c>
      <c r="H1030" s="51" t="s">
        <v>65</v>
      </c>
      <c r="I1030" s="54">
        <v>45363</v>
      </c>
      <c r="J1030" s="67" t="s">
        <v>234</v>
      </c>
      <c r="K1030" s="51">
        <v>100</v>
      </c>
      <c r="L1030" s="73"/>
      <c r="M1030" s="73"/>
      <c r="N1030" s="73"/>
    </row>
    <row r="1031" spans="1:14" ht="18.45" customHeight="1" x14ac:dyDescent="0.3">
      <c r="A1031" s="51" t="s">
        <v>2254</v>
      </c>
      <c r="B1031" s="51" t="s">
        <v>2255</v>
      </c>
      <c r="C1031" s="51" t="s">
        <v>215</v>
      </c>
      <c r="D1031" s="84">
        <v>6</v>
      </c>
      <c r="E1031" s="54">
        <v>45357</v>
      </c>
      <c r="F1031" s="54">
        <v>45362</v>
      </c>
      <c r="G1031" s="67" t="s">
        <v>234</v>
      </c>
      <c r="H1031" s="51" t="s">
        <v>65</v>
      </c>
      <c r="I1031" s="54">
        <v>45363</v>
      </c>
      <c r="J1031" s="67" t="s">
        <v>234</v>
      </c>
      <c r="K1031" s="51">
        <v>300</v>
      </c>
      <c r="L1031" s="73"/>
      <c r="M1031" s="73"/>
      <c r="N1031" s="73"/>
    </row>
    <row r="1032" spans="1:14" ht="18.45" customHeight="1" x14ac:dyDescent="0.3">
      <c r="A1032" s="51" t="s">
        <v>2256</v>
      </c>
      <c r="B1032" s="51" t="s">
        <v>2257</v>
      </c>
      <c r="C1032" s="51" t="s">
        <v>223</v>
      </c>
      <c r="D1032" s="84">
        <v>109</v>
      </c>
      <c r="E1032" s="54">
        <v>45361</v>
      </c>
      <c r="F1032" s="54">
        <v>45362</v>
      </c>
      <c r="G1032" s="67" t="s">
        <v>234</v>
      </c>
      <c r="H1032" s="51" t="s">
        <v>65</v>
      </c>
      <c r="I1032" s="54">
        <v>45363</v>
      </c>
      <c r="J1032" s="67" t="s">
        <v>234</v>
      </c>
      <c r="K1032" s="51">
        <v>300</v>
      </c>
      <c r="L1032" s="73"/>
      <c r="M1032" s="73"/>
      <c r="N1032" s="73"/>
    </row>
    <row r="1033" spans="1:14" ht="18.45" customHeight="1" x14ac:dyDescent="0.3">
      <c r="A1033" s="51" t="s">
        <v>2258</v>
      </c>
      <c r="B1033" s="51" t="s">
        <v>2259</v>
      </c>
      <c r="C1033" s="51" t="s">
        <v>223</v>
      </c>
      <c r="D1033" s="84">
        <v>116</v>
      </c>
      <c r="E1033" s="54">
        <v>45358</v>
      </c>
      <c r="F1033" s="54">
        <v>45362</v>
      </c>
      <c r="G1033" s="67" t="s">
        <v>234</v>
      </c>
      <c r="H1033" s="51" t="s">
        <v>65</v>
      </c>
      <c r="I1033" s="54">
        <v>45363</v>
      </c>
      <c r="J1033" s="67" t="s">
        <v>234</v>
      </c>
      <c r="K1033" s="51">
        <v>300</v>
      </c>
      <c r="L1033" s="73"/>
      <c r="M1033" s="73"/>
      <c r="N1033" s="73"/>
    </row>
    <row r="1034" spans="1:14" ht="18.45" customHeight="1" x14ac:dyDescent="0.3">
      <c r="A1034" s="51" t="s">
        <v>2260</v>
      </c>
      <c r="B1034" s="51" t="s">
        <v>2261</v>
      </c>
      <c r="C1034" s="51" t="s">
        <v>223</v>
      </c>
      <c r="D1034" s="84">
        <v>55</v>
      </c>
      <c r="E1034" s="54">
        <v>45359</v>
      </c>
      <c r="F1034" s="54">
        <v>45362</v>
      </c>
      <c r="G1034" s="67" t="s">
        <v>234</v>
      </c>
      <c r="H1034" s="51" t="s">
        <v>65</v>
      </c>
      <c r="I1034" s="54">
        <v>45363</v>
      </c>
      <c r="J1034" s="67" t="s">
        <v>234</v>
      </c>
      <c r="K1034" s="51">
        <v>200</v>
      </c>
      <c r="L1034" s="73"/>
      <c r="M1034" s="73"/>
      <c r="N1034" s="73"/>
    </row>
    <row r="1035" spans="1:14" ht="18.45" customHeight="1" x14ac:dyDescent="0.3">
      <c r="A1035" s="51" t="s">
        <v>2262</v>
      </c>
      <c r="B1035" s="51" t="s">
        <v>2263</v>
      </c>
      <c r="C1035" s="51" t="s">
        <v>223</v>
      </c>
      <c r="D1035" s="84">
        <v>82</v>
      </c>
      <c r="E1035" s="54">
        <v>45359</v>
      </c>
      <c r="F1035" s="54">
        <v>45362</v>
      </c>
      <c r="G1035" s="67" t="s">
        <v>234</v>
      </c>
      <c r="H1035" s="51" t="s">
        <v>65</v>
      </c>
      <c r="I1035" s="54">
        <v>45363</v>
      </c>
      <c r="J1035" s="67" t="s">
        <v>234</v>
      </c>
      <c r="K1035" s="51">
        <v>200</v>
      </c>
      <c r="L1035" s="73"/>
      <c r="M1035" s="73"/>
      <c r="N1035" s="73"/>
    </row>
    <row r="1036" spans="1:14" ht="18.45" customHeight="1" x14ac:dyDescent="0.3">
      <c r="A1036" s="51" t="s">
        <v>2264</v>
      </c>
      <c r="B1036" s="51" t="s">
        <v>2265</v>
      </c>
      <c r="C1036" s="51" t="s">
        <v>138</v>
      </c>
      <c r="D1036" s="51">
        <v>43</v>
      </c>
      <c r="E1036" s="58">
        <v>45358</v>
      </c>
      <c r="F1036" s="58">
        <v>45359</v>
      </c>
      <c r="G1036" s="67" t="s">
        <v>234</v>
      </c>
      <c r="H1036" s="51" t="s">
        <v>65</v>
      </c>
      <c r="I1036" s="61">
        <v>45363</v>
      </c>
      <c r="J1036" s="67" t="s">
        <v>234</v>
      </c>
      <c r="K1036" s="51">
        <v>100</v>
      </c>
      <c r="L1036" s="73"/>
      <c r="M1036" s="73"/>
      <c r="N1036" s="73"/>
    </row>
    <row r="1037" spans="1:14" ht="18.45" customHeight="1" x14ac:dyDescent="0.3">
      <c r="A1037" s="51" t="s">
        <v>2266</v>
      </c>
      <c r="B1037" s="51" t="s">
        <v>2267</v>
      </c>
      <c r="C1037" s="51" t="s">
        <v>229</v>
      </c>
      <c r="D1037" s="51">
        <v>26</v>
      </c>
      <c r="E1037" s="58">
        <v>45358</v>
      </c>
      <c r="F1037" s="58">
        <v>45362</v>
      </c>
      <c r="G1037" s="67" t="s">
        <v>234</v>
      </c>
      <c r="H1037" s="51" t="s">
        <v>65</v>
      </c>
      <c r="I1037" s="61">
        <v>45363</v>
      </c>
      <c r="J1037" s="67" t="s">
        <v>234</v>
      </c>
      <c r="K1037" s="51">
        <v>50</v>
      </c>
      <c r="L1037" s="73"/>
      <c r="M1037" s="73"/>
      <c r="N1037" s="73"/>
    </row>
    <row r="1038" spans="1:14" ht="18.45" customHeight="1" x14ac:dyDescent="0.3">
      <c r="A1038" s="51" t="s">
        <v>2268</v>
      </c>
      <c r="B1038" s="51" t="s">
        <v>2269</v>
      </c>
      <c r="C1038" s="51" t="s">
        <v>232</v>
      </c>
      <c r="D1038" s="51">
        <v>61</v>
      </c>
      <c r="E1038" s="58">
        <v>45357</v>
      </c>
      <c r="F1038" s="58">
        <v>45359</v>
      </c>
      <c r="G1038" s="67" t="s">
        <v>234</v>
      </c>
      <c r="H1038" s="51" t="s">
        <v>65</v>
      </c>
      <c r="I1038" s="61">
        <v>45363</v>
      </c>
      <c r="J1038" s="67" t="s">
        <v>234</v>
      </c>
      <c r="K1038" s="51">
        <v>300</v>
      </c>
      <c r="L1038" s="73"/>
      <c r="M1038" s="73"/>
      <c r="N1038" s="73"/>
    </row>
    <row r="1039" spans="1:14" ht="18.45" customHeight="1" x14ac:dyDescent="0.3">
      <c r="A1039" s="51" t="s">
        <v>2270</v>
      </c>
      <c r="B1039" s="51" t="s">
        <v>2271</v>
      </c>
      <c r="C1039" s="51" t="s">
        <v>232</v>
      </c>
      <c r="D1039" s="51">
        <v>38</v>
      </c>
      <c r="E1039" s="58">
        <v>45357</v>
      </c>
      <c r="F1039" s="58">
        <v>45359</v>
      </c>
      <c r="G1039" s="67" t="s">
        <v>234</v>
      </c>
      <c r="H1039" s="51" t="s">
        <v>65</v>
      </c>
      <c r="I1039" s="61">
        <v>45363</v>
      </c>
      <c r="J1039" s="67" t="s">
        <v>234</v>
      </c>
      <c r="K1039" s="51">
        <v>250</v>
      </c>
      <c r="L1039" s="73"/>
      <c r="M1039" s="73"/>
      <c r="N1039" s="73"/>
    </row>
    <row r="1040" spans="1:14" ht="18.45" customHeight="1" x14ac:dyDescent="0.3">
      <c r="A1040" s="51" t="s">
        <v>2272</v>
      </c>
      <c r="B1040" s="51" t="s">
        <v>2273</v>
      </c>
      <c r="C1040" s="51" t="s">
        <v>232</v>
      </c>
      <c r="D1040" s="51">
        <v>38</v>
      </c>
      <c r="E1040" s="58">
        <v>45357</v>
      </c>
      <c r="F1040" s="58">
        <v>45362</v>
      </c>
      <c r="G1040" s="67" t="s">
        <v>234</v>
      </c>
      <c r="H1040" s="51" t="s">
        <v>65</v>
      </c>
      <c r="I1040" s="61">
        <v>45363</v>
      </c>
      <c r="J1040" s="67" t="s">
        <v>234</v>
      </c>
      <c r="K1040" s="51">
        <v>350</v>
      </c>
      <c r="L1040" s="73"/>
      <c r="M1040" s="73"/>
      <c r="N1040" s="73"/>
    </row>
    <row r="1041" spans="1:14" ht="18.45" customHeight="1" x14ac:dyDescent="0.3">
      <c r="A1041" s="51" t="s">
        <v>2274</v>
      </c>
      <c r="B1041" s="51" t="s">
        <v>2275</v>
      </c>
      <c r="C1041" s="51" t="s">
        <v>229</v>
      </c>
      <c r="D1041" s="51">
        <v>16</v>
      </c>
      <c r="E1041" s="58">
        <v>45345</v>
      </c>
      <c r="F1041" s="58">
        <v>45346</v>
      </c>
      <c r="G1041" s="67" t="s">
        <v>234</v>
      </c>
      <c r="H1041" s="51" t="s">
        <v>65</v>
      </c>
      <c r="I1041" s="61">
        <v>45363</v>
      </c>
      <c r="J1041" s="67" t="s">
        <v>234</v>
      </c>
      <c r="K1041" s="51">
        <v>350</v>
      </c>
      <c r="L1041" s="73"/>
      <c r="M1041" s="73"/>
      <c r="N1041" s="73"/>
    </row>
    <row r="1042" spans="1:14" ht="18.45" customHeight="1" x14ac:dyDescent="0.3">
      <c r="A1042" s="51" t="s">
        <v>2276</v>
      </c>
      <c r="B1042" s="51" t="s">
        <v>2277</v>
      </c>
      <c r="C1042" s="51" t="s">
        <v>232</v>
      </c>
      <c r="D1042" s="51">
        <v>49</v>
      </c>
      <c r="E1042" s="58">
        <v>45358</v>
      </c>
      <c r="F1042" s="58">
        <v>45359</v>
      </c>
      <c r="G1042" s="67" t="s">
        <v>234</v>
      </c>
      <c r="H1042" s="51" t="s">
        <v>65</v>
      </c>
      <c r="I1042" s="61">
        <v>45363</v>
      </c>
      <c r="J1042" s="67" t="s">
        <v>234</v>
      </c>
      <c r="K1042" s="51">
        <v>200</v>
      </c>
      <c r="L1042" s="73"/>
      <c r="M1042" s="73"/>
      <c r="N1042" s="73"/>
    </row>
    <row r="1043" spans="1:14" ht="18.45" customHeight="1" x14ac:dyDescent="0.3">
      <c r="A1043" s="51" t="s">
        <v>2278</v>
      </c>
      <c r="B1043" s="51" t="s">
        <v>2279</v>
      </c>
      <c r="C1043" s="51" t="s">
        <v>232</v>
      </c>
      <c r="D1043" s="51">
        <v>82</v>
      </c>
      <c r="E1043" s="58">
        <v>45358</v>
      </c>
      <c r="F1043" s="58">
        <v>45362</v>
      </c>
      <c r="G1043" s="67" t="s">
        <v>234</v>
      </c>
      <c r="H1043" s="51" t="s">
        <v>65</v>
      </c>
      <c r="I1043" s="61">
        <v>45363</v>
      </c>
      <c r="J1043" s="67" t="s">
        <v>234</v>
      </c>
      <c r="K1043" s="51">
        <v>100</v>
      </c>
      <c r="L1043" s="73"/>
      <c r="M1043" s="73"/>
      <c r="N1043" s="73"/>
    </row>
    <row r="1044" spans="1:14" ht="18.45" customHeight="1" x14ac:dyDescent="0.3">
      <c r="A1044" s="51" t="s">
        <v>2280</v>
      </c>
      <c r="B1044" s="51" t="s">
        <v>2281</v>
      </c>
      <c r="C1044" s="51" t="s">
        <v>231</v>
      </c>
      <c r="D1044" s="51">
        <v>22</v>
      </c>
      <c r="E1044" s="58">
        <v>45358</v>
      </c>
      <c r="F1044" s="58">
        <v>45362</v>
      </c>
      <c r="G1044" s="67" t="s">
        <v>234</v>
      </c>
      <c r="H1044" s="51" t="s">
        <v>65</v>
      </c>
      <c r="I1044" s="61">
        <v>45363</v>
      </c>
      <c r="J1044" s="67" t="s">
        <v>234</v>
      </c>
      <c r="K1044" s="51">
        <v>50</v>
      </c>
      <c r="L1044" s="73"/>
      <c r="M1044" s="73"/>
      <c r="N1044" s="73"/>
    </row>
    <row r="1045" spans="1:14" ht="18.45" customHeight="1" x14ac:dyDescent="0.3">
      <c r="A1045" s="49" t="s">
        <v>2282</v>
      </c>
      <c r="B1045" s="49" t="s">
        <v>2283</v>
      </c>
      <c r="C1045" s="71" t="s">
        <v>91</v>
      </c>
      <c r="D1045" s="71">
        <v>111</v>
      </c>
      <c r="E1045" s="57">
        <v>45356</v>
      </c>
      <c r="F1045" s="57">
        <v>45363</v>
      </c>
      <c r="G1045" s="67" t="s">
        <v>234</v>
      </c>
      <c r="H1045" s="60" t="s">
        <v>65</v>
      </c>
      <c r="I1045" s="87">
        <v>45364</v>
      </c>
      <c r="J1045" s="67" t="s">
        <v>234</v>
      </c>
      <c r="K1045" s="71">
        <v>100</v>
      </c>
      <c r="L1045" s="73"/>
      <c r="M1045" s="73"/>
      <c r="N1045" s="73"/>
    </row>
    <row r="1046" spans="1:14" ht="18.45" customHeight="1" x14ac:dyDescent="0.3">
      <c r="A1046" s="48" t="s">
        <v>2284</v>
      </c>
      <c r="B1046" s="50" t="s">
        <v>2285</v>
      </c>
      <c r="C1046" s="48" t="s">
        <v>94</v>
      </c>
      <c r="D1046" s="62">
        <v>85</v>
      </c>
      <c r="E1046" s="54">
        <v>45351</v>
      </c>
      <c r="F1046" s="54">
        <v>45352</v>
      </c>
      <c r="G1046" s="67" t="s">
        <v>234</v>
      </c>
      <c r="H1046" s="60" t="s">
        <v>65</v>
      </c>
      <c r="I1046" s="89">
        <v>45364</v>
      </c>
      <c r="J1046" s="67" t="s">
        <v>234</v>
      </c>
      <c r="K1046" s="62">
        <v>100</v>
      </c>
      <c r="L1046" s="73"/>
      <c r="M1046" s="73"/>
      <c r="N1046" s="73"/>
    </row>
    <row r="1047" spans="1:14" ht="18.45" customHeight="1" x14ac:dyDescent="0.3">
      <c r="A1047" s="48" t="s">
        <v>2286</v>
      </c>
      <c r="B1047" s="50" t="s">
        <v>2287</v>
      </c>
      <c r="C1047" s="48" t="s">
        <v>2504</v>
      </c>
      <c r="D1047" s="62">
        <v>27</v>
      </c>
      <c r="E1047" s="54">
        <v>45359</v>
      </c>
      <c r="F1047" s="54">
        <v>45362</v>
      </c>
      <c r="G1047" s="67" t="s">
        <v>234</v>
      </c>
      <c r="H1047" s="60" t="s">
        <v>65</v>
      </c>
      <c r="I1047" s="92">
        <v>45364</v>
      </c>
      <c r="J1047" s="67" t="s">
        <v>234</v>
      </c>
      <c r="K1047" s="62">
        <v>100</v>
      </c>
      <c r="L1047" s="73"/>
      <c r="M1047" s="73"/>
      <c r="N1047" s="73"/>
    </row>
    <row r="1048" spans="1:14" ht="18.45" customHeight="1" x14ac:dyDescent="0.3">
      <c r="A1048" s="76" t="s">
        <v>2288</v>
      </c>
      <c r="B1048" s="60" t="s">
        <v>2289</v>
      </c>
      <c r="C1048" s="76" t="s">
        <v>101</v>
      </c>
      <c r="D1048" s="60">
        <v>100</v>
      </c>
      <c r="E1048" s="89">
        <v>45336</v>
      </c>
      <c r="F1048" s="89">
        <v>45337</v>
      </c>
      <c r="G1048" s="67" t="s">
        <v>234</v>
      </c>
      <c r="H1048" s="60" t="s">
        <v>68</v>
      </c>
      <c r="I1048" s="89">
        <v>45364</v>
      </c>
      <c r="J1048" s="67" t="s">
        <v>234</v>
      </c>
      <c r="K1048" s="60">
        <v>200</v>
      </c>
      <c r="L1048" s="73"/>
      <c r="M1048" s="73"/>
      <c r="N1048" s="73"/>
    </row>
    <row r="1049" spans="1:14" ht="18.45" customHeight="1" x14ac:dyDescent="0.3">
      <c r="A1049" s="76" t="s">
        <v>2290</v>
      </c>
      <c r="B1049" s="60" t="s">
        <v>2291</v>
      </c>
      <c r="C1049" s="76" t="s">
        <v>101</v>
      </c>
      <c r="D1049" s="60">
        <v>100</v>
      </c>
      <c r="E1049" s="89">
        <v>45333</v>
      </c>
      <c r="F1049" s="89">
        <v>45335</v>
      </c>
      <c r="G1049" s="67" t="s">
        <v>234</v>
      </c>
      <c r="H1049" s="60" t="s">
        <v>68</v>
      </c>
      <c r="I1049" s="89">
        <v>45364</v>
      </c>
      <c r="J1049" s="67" t="s">
        <v>234</v>
      </c>
      <c r="K1049" s="60">
        <v>200</v>
      </c>
      <c r="L1049" s="73"/>
      <c r="M1049" s="73"/>
      <c r="N1049" s="73"/>
    </row>
    <row r="1050" spans="1:14" ht="18.45" customHeight="1" x14ac:dyDescent="0.3">
      <c r="A1050" s="48" t="s">
        <v>2292</v>
      </c>
      <c r="B1050" s="50" t="s">
        <v>2293</v>
      </c>
      <c r="C1050" s="76" t="s">
        <v>101</v>
      </c>
      <c r="D1050" s="62">
        <v>100</v>
      </c>
      <c r="E1050" s="54">
        <v>45337</v>
      </c>
      <c r="F1050" s="54">
        <v>45339</v>
      </c>
      <c r="G1050" s="67" t="s">
        <v>234</v>
      </c>
      <c r="H1050" s="60" t="s">
        <v>68</v>
      </c>
      <c r="I1050" s="89">
        <v>45364</v>
      </c>
      <c r="J1050" s="67" t="s">
        <v>234</v>
      </c>
      <c r="K1050" s="62">
        <v>200</v>
      </c>
      <c r="L1050" s="73"/>
      <c r="M1050" s="73"/>
      <c r="N1050" s="73"/>
    </row>
    <row r="1051" spans="1:14" ht="18.45" customHeight="1" x14ac:dyDescent="0.3">
      <c r="A1051" s="76" t="s">
        <v>2294</v>
      </c>
      <c r="B1051" s="60" t="s">
        <v>2295</v>
      </c>
      <c r="C1051" s="76" t="s">
        <v>101</v>
      </c>
      <c r="D1051" s="60">
        <v>13</v>
      </c>
      <c r="E1051" s="89">
        <v>45282</v>
      </c>
      <c r="F1051" s="89">
        <v>45286</v>
      </c>
      <c r="G1051" s="67" t="s">
        <v>234</v>
      </c>
      <c r="H1051" s="60" t="s">
        <v>68</v>
      </c>
      <c r="I1051" s="89">
        <v>45364</v>
      </c>
      <c r="J1051" s="67" t="s">
        <v>234</v>
      </c>
      <c r="K1051" s="60">
        <v>200</v>
      </c>
      <c r="L1051" s="73"/>
      <c r="M1051" s="73"/>
      <c r="N1051" s="73"/>
    </row>
    <row r="1052" spans="1:14" ht="18.45" customHeight="1" x14ac:dyDescent="0.3">
      <c r="A1052" s="76" t="s">
        <v>2296</v>
      </c>
      <c r="B1052" s="60" t="s">
        <v>2297</v>
      </c>
      <c r="C1052" s="76" t="s">
        <v>101</v>
      </c>
      <c r="D1052" s="60">
        <v>100</v>
      </c>
      <c r="E1052" s="89">
        <v>45336</v>
      </c>
      <c r="F1052" s="89">
        <v>45337</v>
      </c>
      <c r="G1052" s="67" t="s">
        <v>234</v>
      </c>
      <c r="H1052" s="60" t="s">
        <v>68</v>
      </c>
      <c r="I1052" s="89">
        <v>45364</v>
      </c>
      <c r="J1052" s="67" t="s">
        <v>234</v>
      </c>
      <c r="K1052" s="60">
        <v>200</v>
      </c>
      <c r="L1052" s="73"/>
      <c r="M1052" s="73"/>
      <c r="N1052" s="73"/>
    </row>
    <row r="1053" spans="1:14" ht="18.45" customHeight="1" x14ac:dyDescent="0.3">
      <c r="A1053" s="48" t="s">
        <v>2298</v>
      </c>
      <c r="B1053" s="50" t="s">
        <v>2299</v>
      </c>
      <c r="C1053" s="48" t="s">
        <v>134</v>
      </c>
      <c r="D1053" s="62">
        <v>45</v>
      </c>
      <c r="E1053" s="54">
        <v>45356</v>
      </c>
      <c r="F1053" s="54">
        <v>45363</v>
      </c>
      <c r="G1053" s="67" t="s">
        <v>234</v>
      </c>
      <c r="H1053" s="60" t="s">
        <v>65</v>
      </c>
      <c r="I1053" s="89">
        <v>45364</v>
      </c>
      <c r="J1053" s="67" t="s">
        <v>234</v>
      </c>
      <c r="K1053" s="62">
        <v>50</v>
      </c>
      <c r="L1053" s="73"/>
      <c r="M1053" s="73"/>
      <c r="N1053" s="73"/>
    </row>
    <row r="1054" spans="1:14" ht="18.45" customHeight="1" x14ac:dyDescent="0.3">
      <c r="A1054" s="76" t="s">
        <v>2300</v>
      </c>
      <c r="B1054" s="60" t="s">
        <v>2301</v>
      </c>
      <c r="C1054" s="76" t="s">
        <v>120</v>
      </c>
      <c r="D1054" s="60">
        <v>27</v>
      </c>
      <c r="E1054" s="89">
        <v>45206</v>
      </c>
      <c r="F1054" s="89">
        <v>45209</v>
      </c>
      <c r="G1054" s="67" t="s">
        <v>234</v>
      </c>
      <c r="H1054" s="60" t="s">
        <v>65</v>
      </c>
      <c r="I1054" s="89">
        <v>45364</v>
      </c>
      <c r="J1054" s="67" t="s">
        <v>234</v>
      </c>
      <c r="K1054" s="60">
        <v>150</v>
      </c>
      <c r="L1054" s="73"/>
      <c r="M1054" s="73"/>
      <c r="N1054" s="73"/>
    </row>
    <row r="1055" spans="1:14" ht="18.45" customHeight="1" x14ac:dyDescent="0.3">
      <c r="A1055" s="76" t="s">
        <v>2302</v>
      </c>
      <c r="B1055" s="60" t="s">
        <v>2303</v>
      </c>
      <c r="C1055" s="76" t="s">
        <v>99</v>
      </c>
      <c r="D1055" s="60">
        <v>71</v>
      </c>
      <c r="E1055" s="89">
        <v>45308</v>
      </c>
      <c r="F1055" s="89">
        <v>45309</v>
      </c>
      <c r="G1055" s="67" t="s">
        <v>234</v>
      </c>
      <c r="H1055" s="60" t="s">
        <v>65</v>
      </c>
      <c r="I1055" s="89">
        <v>45364</v>
      </c>
      <c r="J1055" s="67" t="s">
        <v>234</v>
      </c>
      <c r="K1055" s="60">
        <v>80</v>
      </c>
      <c r="L1055" s="73"/>
      <c r="M1055" s="73"/>
      <c r="N1055" s="73"/>
    </row>
    <row r="1056" spans="1:14" ht="18.45" customHeight="1" x14ac:dyDescent="0.3">
      <c r="A1056" s="51" t="s">
        <v>2304</v>
      </c>
      <c r="B1056" s="51" t="s">
        <v>2305</v>
      </c>
      <c r="C1056" s="51" t="s">
        <v>223</v>
      </c>
      <c r="D1056" s="84">
        <v>22</v>
      </c>
      <c r="E1056" s="54">
        <v>45363</v>
      </c>
      <c r="F1056" s="54">
        <v>45364</v>
      </c>
      <c r="G1056" s="67" t="s">
        <v>234</v>
      </c>
      <c r="H1056" s="51" t="s">
        <v>65</v>
      </c>
      <c r="I1056" s="54">
        <v>45364</v>
      </c>
      <c r="J1056" s="67" t="s">
        <v>234</v>
      </c>
      <c r="K1056" s="51">
        <v>300</v>
      </c>
      <c r="L1056" s="73"/>
      <c r="M1056" s="73"/>
      <c r="N1056" s="73"/>
    </row>
    <row r="1057" spans="1:14" ht="18.45" customHeight="1" x14ac:dyDescent="0.3">
      <c r="A1057" s="51" t="s">
        <v>2306</v>
      </c>
      <c r="B1057" s="51" t="s">
        <v>2307</v>
      </c>
      <c r="C1057" s="51" t="s">
        <v>223</v>
      </c>
      <c r="D1057" s="84">
        <v>83</v>
      </c>
      <c r="E1057" s="54">
        <v>45361</v>
      </c>
      <c r="F1057" s="54">
        <v>45362</v>
      </c>
      <c r="G1057" s="67" t="s">
        <v>234</v>
      </c>
      <c r="H1057" s="51" t="s">
        <v>65</v>
      </c>
      <c r="I1057" s="54">
        <v>45364</v>
      </c>
      <c r="J1057" s="67" t="s">
        <v>234</v>
      </c>
      <c r="K1057" s="51">
        <v>300</v>
      </c>
      <c r="L1057" s="73"/>
      <c r="M1057" s="73"/>
      <c r="N1057" s="73"/>
    </row>
    <row r="1058" spans="1:14" ht="18.45" customHeight="1" x14ac:dyDescent="0.3">
      <c r="A1058" s="51" t="s">
        <v>2308</v>
      </c>
      <c r="B1058" s="51" t="s">
        <v>2309</v>
      </c>
      <c r="C1058" s="51" t="s">
        <v>224</v>
      </c>
      <c r="D1058" s="84">
        <v>11</v>
      </c>
      <c r="E1058" s="54">
        <v>45359</v>
      </c>
      <c r="F1058" s="54">
        <v>45364</v>
      </c>
      <c r="G1058" s="67" t="s">
        <v>234</v>
      </c>
      <c r="H1058" s="51" t="s">
        <v>65</v>
      </c>
      <c r="I1058" s="54">
        <v>45364</v>
      </c>
      <c r="J1058" s="67" t="s">
        <v>234</v>
      </c>
      <c r="K1058" s="51">
        <v>500</v>
      </c>
      <c r="L1058" s="73"/>
      <c r="M1058" s="73"/>
      <c r="N1058" s="73"/>
    </row>
    <row r="1059" spans="1:14" ht="18.45" customHeight="1" x14ac:dyDescent="0.3">
      <c r="A1059" s="51" t="s">
        <v>2310</v>
      </c>
      <c r="B1059" s="51" t="s">
        <v>2311</v>
      </c>
      <c r="C1059" s="51" t="s">
        <v>223</v>
      </c>
      <c r="D1059" s="84">
        <v>98</v>
      </c>
      <c r="E1059" s="54">
        <v>45363</v>
      </c>
      <c r="F1059" s="54">
        <v>45364</v>
      </c>
      <c r="G1059" s="67" t="s">
        <v>234</v>
      </c>
      <c r="H1059" s="51" t="s">
        <v>65</v>
      </c>
      <c r="I1059" s="54">
        <v>45364</v>
      </c>
      <c r="J1059" s="67" t="s">
        <v>234</v>
      </c>
      <c r="K1059" s="51">
        <v>200</v>
      </c>
      <c r="L1059" s="73"/>
      <c r="M1059" s="73"/>
      <c r="N1059" s="73"/>
    </row>
    <row r="1060" spans="1:14" ht="18.45" customHeight="1" x14ac:dyDescent="0.3">
      <c r="A1060" s="51" t="s">
        <v>2312</v>
      </c>
      <c r="B1060" s="51" t="s">
        <v>2313</v>
      </c>
      <c r="C1060" s="51" t="s">
        <v>223</v>
      </c>
      <c r="D1060" s="84">
        <v>105</v>
      </c>
      <c r="E1060" s="54">
        <v>45361</v>
      </c>
      <c r="F1060" s="54">
        <v>45362</v>
      </c>
      <c r="G1060" s="67" t="s">
        <v>234</v>
      </c>
      <c r="H1060" s="51" t="s">
        <v>65</v>
      </c>
      <c r="I1060" s="54">
        <v>45364</v>
      </c>
      <c r="J1060" s="67" t="s">
        <v>234</v>
      </c>
      <c r="K1060" s="51">
        <v>300</v>
      </c>
      <c r="L1060" s="73"/>
      <c r="M1060" s="73"/>
      <c r="N1060" s="73"/>
    </row>
    <row r="1061" spans="1:14" ht="18.45" customHeight="1" x14ac:dyDescent="0.3">
      <c r="A1061" s="51" t="s">
        <v>2314</v>
      </c>
      <c r="B1061" s="51" t="s">
        <v>2315</v>
      </c>
      <c r="C1061" s="51" t="s">
        <v>224</v>
      </c>
      <c r="D1061" s="84">
        <v>8</v>
      </c>
      <c r="E1061" s="54">
        <v>45363</v>
      </c>
      <c r="F1061" s="54">
        <v>45364</v>
      </c>
      <c r="G1061" s="67" t="s">
        <v>234</v>
      </c>
      <c r="H1061" s="51" t="s">
        <v>65</v>
      </c>
      <c r="I1061" s="54">
        <v>45364</v>
      </c>
      <c r="J1061" s="67" t="s">
        <v>234</v>
      </c>
      <c r="K1061" s="51">
        <v>500</v>
      </c>
      <c r="L1061" s="73"/>
      <c r="M1061" s="73"/>
      <c r="N1061" s="73"/>
    </row>
    <row r="1062" spans="1:14" ht="18.45" customHeight="1" x14ac:dyDescent="0.3">
      <c r="A1062" s="51" t="s">
        <v>2316</v>
      </c>
      <c r="B1062" s="51" t="s">
        <v>2317</v>
      </c>
      <c r="C1062" s="51" t="s">
        <v>226</v>
      </c>
      <c r="D1062" s="84">
        <v>4</v>
      </c>
      <c r="E1062" s="54">
        <v>45363</v>
      </c>
      <c r="F1062" s="54">
        <v>45364</v>
      </c>
      <c r="G1062" s="67" t="s">
        <v>234</v>
      </c>
      <c r="H1062" s="51" t="s">
        <v>65</v>
      </c>
      <c r="I1062" s="54">
        <v>45364</v>
      </c>
      <c r="J1062" s="67" t="s">
        <v>234</v>
      </c>
      <c r="K1062" s="51">
        <v>300</v>
      </c>
      <c r="L1062" s="73"/>
      <c r="M1062" s="73"/>
      <c r="N1062" s="73"/>
    </row>
    <row r="1063" spans="1:14" ht="18.45" customHeight="1" x14ac:dyDescent="0.3">
      <c r="A1063" s="51" t="s">
        <v>2318</v>
      </c>
      <c r="B1063" s="51" t="s">
        <v>2319</v>
      </c>
      <c r="C1063" s="51" t="s">
        <v>218</v>
      </c>
      <c r="D1063" s="84">
        <v>17</v>
      </c>
      <c r="E1063" s="54">
        <v>45363</v>
      </c>
      <c r="F1063" s="54">
        <v>45364</v>
      </c>
      <c r="G1063" s="67" t="s">
        <v>234</v>
      </c>
      <c r="H1063" s="51" t="s">
        <v>65</v>
      </c>
      <c r="I1063" s="54">
        <v>45364</v>
      </c>
      <c r="J1063" s="67" t="s">
        <v>234</v>
      </c>
      <c r="K1063" s="51">
        <v>200</v>
      </c>
      <c r="L1063" s="73"/>
      <c r="M1063" s="73"/>
      <c r="N1063" s="73"/>
    </row>
    <row r="1064" spans="1:14" ht="18.45" customHeight="1" x14ac:dyDescent="0.3">
      <c r="A1064" s="51" t="s">
        <v>2320</v>
      </c>
      <c r="B1064" s="51" t="s">
        <v>2321</v>
      </c>
      <c r="C1064" s="51" t="s">
        <v>220</v>
      </c>
      <c r="D1064" s="84">
        <v>17</v>
      </c>
      <c r="E1064" s="54">
        <v>45363</v>
      </c>
      <c r="F1064" s="54">
        <v>45364</v>
      </c>
      <c r="G1064" s="67" t="s">
        <v>234</v>
      </c>
      <c r="H1064" s="51" t="s">
        <v>65</v>
      </c>
      <c r="I1064" s="54">
        <v>45364</v>
      </c>
      <c r="J1064" s="67" t="s">
        <v>234</v>
      </c>
      <c r="K1064" s="51">
        <v>150</v>
      </c>
      <c r="L1064" s="73"/>
      <c r="M1064" s="73"/>
      <c r="N1064" s="73"/>
    </row>
    <row r="1065" spans="1:14" ht="18.45" customHeight="1" x14ac:dyDescent="0.3">
      <c r="A1065" s="51" t="s">
        <v>2322</v>
      </c>
      <c r="B1065" s="51" t="s">
        <v>2323</v>
      </c>
      <c r="C1065" s="51" t="s">
        <v>227</v>
      </c>
      <c r="D1065" s="51">
        <v>40</v>
      </c>
      <c r="E1065" s="58">
        <v>45183</v>
      </c>
      <c r="F1065" s="58">
        <v>45184</v>
      </c>
      <c r="G1065" s="67" t="s">
        <v>234</v>
      </c>
      <c r="H1065" s="51" t="s">
        <v>65</v>
      </c>
      <c r="I1065" s="61">
        <v>45364</v>
      </c>
      <c r="J1065" s="67" t="s">
        <v>234</v>
      </c>
      <c r="K1065" s="51">
        <v>150</v>
      </c>
      <c r="L1065" s="73"/>
      <c r="M1065" s="73"/>
      <c r="N1065" s="73"/>
    </row>
    <row r="1066" spans="1:14" ht="18.45" customHeight="1" x14ac:dyDescent="0.3">
      <c r="A1066" s="51" t="s">
        <v>2324</v>
      </c>
      <c r="B1066" s="51" t="s">
        <v>2325</v>
      </c>
      <c r="C1066" s="51" t="s">
        <v>227</v>
      </c>
      <c r="D1066" s="51">
        <v>40</v>
      </c>
      <c r="E1066" s="58">
        <v>45338</v>
      </c>
      <c r="F1066" s="58">
        <v>45341</v>
      </c>
      <c r="G1066" s="67" t="s">
        <v>234</v>
      </c>
      <c r="H1066" s="51" t="s">
        <v>65</v>
      </c>
      <c r="I1066" s="61">
        <v>45364</v>
      </c>
      <c r="J1066" s="67" t="s">
        <v>234</v>
      </c>
      <c r="K1066" s="51">
        <v>200</v>
      </c>
      <c r="L1066" s="73"/>
      <c r="M1066" s="73"/>
      <c r="N1066" s="73"/>
    </row>
    <row r="1067" spans="1:14" ht="18.45" customHeight="1" x14ac:dyDescent="0.3">
      <c r="A1067" s="51" t="s">
        <v>2326</v>
      </c>
      <c r="B1067" s="51" t="s">
        <v>2327</v>
      </c>
      <c r="C1067" s="51" t="s">
        <v>232</v>
      </c>
      <c r="D1067" s="51">
        <v>81</v>
      </c>
      <c r="E1067" s="58">
        <v>45357</v>
      </c>
      <c r="F1067" s="58">
        <v>45359</v>
      </c>
      <c r="G1067" s="67" t="s">
        <v>234</v>
      </c>
      <c r="H1067" s="51" t="s">
        <v>65</v>
      </c>
      <c r="I1067" s="61">
        <v>45364</v>
      </c>
      <c r="J1067" s="67" t="s">
        <v>234</v>
      </c>
      <c r="K1067" s="51">
        <v>300</v>
      </c>
      <c r="L1067" s="73"/>
      <c r="M1067" s="73"/>
      <c r="N1067" s="73"/>
    </row>
    <row r="1068" spans="1:14" ht="18.45" customHeight="1" x14ac:dyDescent="0.3">
      <c r="A1068" s="51" t="s">
        <v>2328</v>
      </c>
      <c r="B1068" s="51" t="s">
        <v>2329</v>
      </c>
      <c r="C1068" s="51" t="s">
        <v>230</v>
      </c>
      <c r="D1068" s="51">
        <v>4</v>
      </c>
      <c r="E1068" s="58">
        <v>45358</v>
      </c>
      <c r="F1068" s="58">
        <v>45362</v>
      </c>
      <c r="G1068" s="67" t="s">
        <v>234</v>
      </c>
      <c r="H1068" s="51" t="s">
        <v>65</v>
      </c>
      <c r="I1068" s="61">
        <v>45364</v>
      </c>
      <c r="J1068" s="67" t="s">
        <v>234</v>
      </c>
      <c r="K1068" s="51">
        <v>300</v>
      </c>
      <c r="L1068" s="73"/>
      <c r="M1068" s="73"/>
      <c r="N1068" s="73"/>
    </row>
    <row r="1069" spans="1:14" ht="18.45" customHeight="1" x14ac:dyDescent="0.3">
      <c r="A1069" s="51" t="s">
        <v>2330</v>
      </c>
      <c r="B1069" s="51" t="s">
        <v>2331</v>
      </c>
      <c r="C1069" s="51" t="s">
        <v>227</v>
      </c>
      <c r="D1069" s="51">
        <v>40</v>
      </c>
      <c r="E1069" s="58">
        <v>45188</v>
      </c>
      <c r="F1069" s="58">
        <v>45188</v>
      </c>
      <c r="G1069" s="67" t="s">
        <v>234</v>
      </c>
      <c r="H1069" s="51" t="s">
        <v>65</v>
      </c>
      <c r="I1069" s="61">
        <v>45364</v>
      </c>
      <c r="J1069" s="67" t="s">
        <v>234</v>
      </c>
      <c r="K1069" s="51">
        <v>250</v>
      </c>
      <c r="L1069" s="73"/>
      <c r="M1069" s="73"/>
      <c r="N1069" s="73"/>
    </row>
    <row r="1070" spans="1:14" ht="18.45" customHeight="1" x14ac:dyDescent="0.3">
      <c r="A1070" s="51" t="s">
        <v>2332</v>
      </c>
      <c r="B1070" s="51" t="s">
        <v>2333</v>
      </c>
      <c r="C1070" s="51" t="s">
        <v>232</v>
      </c>
      <c r="D1070" s="51">
        <v>74</v>
      </c>
      <c r="E1070" s="58">
        <v>45356</v>
      </c>
      <c r="F1070" s="58">
        <v>45356</v>
      </c>
      <c r="G1070" s="67" t="s">
        <v>234</v>
      </c>
      <c r="H1070" s="51" t="s">
        <v>65</v>
      </c>
      <c r="I1070" s="61">
        <v>45364</v>
      </c>
      <c r="J1070" s="67" t="s">
        <v>234</v>
      </c>
      <c r="K1070" s="51">
        <v>400</v>
      </c>
      <c r="L1070" s="73"/>
      <c r="M1070" s="73"/>
      <c r="N1070" s="73"/>
    </row>
    <row r="1071" spans="1:14" ht="18.45" customHeight="1" x14ac:dyDescent="0.3">
      <c r="A1071" s="51" t="s">
        <v>2334</v>
      </c>
      <c r="B1071" s="51" t="s">
        <v>2335</v>
      </c>
      <c r="C1071" s="51" t="s">
        <v>232</v>
      </c>
      <c r="D1071" s="51">
        <v>39</v>
      </c>
      <c r="E1071" s="58">
        <v>45353</v>
      </c>
      <c r="F1071" s="58">
        <v>45355</v>
      </c>
      <c r="G1071" s="67" t="s">
        <v>234</v>
      </c>
      <c r="H1071" s="51" t="s">
        <v>65</v>
      </c>
      <c r="I1071" s="61">
        <v>45364</v>
      </c>
      <c r="J1071" s="67" t="s">
        <v>234</v>
      </c>
      <c r="K1071" s="51">
        <v>100</v>
      </c>
      <c r="L1071" s="73"/>
      <c r="M1071" s="73"/>
      <c r="N1071" s="73"/>
    </row>
    <row r="1072" spans="1:14" ht="18.45" customHeight="1" x14ac:dyDescent="0.3">
      <c r="A1072" s="51" t="s">
        <v>2336</v>
      </c>
      <c r="B1072" s="51" t="s">
        <v>2337</v>
      </c>
      <c r="C1072" s="51" t="s">
        <v>227</v>
      </c>
      <c r="D1072" s="51">
        <v>57</v>
      </c>
      <c r="E1072" s="58">
        <v>45358</v>
      </c>
      <c r="F1072" s="58">
        <v>45359</v>
      </c>
      <c r="G1072" s="67" t="s">
        <v>234</v>
      </c>
      <c r="H1072" s="51" t="s">
        <v>65</v>
      </c>
      <c r="I1072" s="61">
        <v>45364</v>
      </c>
      <c r="J1072" s="67" t="s">
        <v>234</v>
      </c>
      <c r="K1072" s="51">
        <v>60</v>
      </c>
      <c r="L1072" s="73"/>
      <c r="M1072" s="73"/>
      <c r="N1072" s="73"/>
    </row>
    <row r="1073" spans="1:14" ht="18.45" customHeight="1" x14ac:dyDescent="0.3">
      <c r="A1073" s="51" t="s">
        <v>2338</v>
      </c>
      <c r="B1073" s="51" t="s">
        <v>2339</v>
      </c>
      <c r="C1073" s="51" t="s">
        <v>227</v>
      </c>
      <c r="D1073" s="51">
        <v>75</v>
      </c>
      <c r="E1073" s="58">
        <v>45357</v>
      </c>
      <c r="F1073" s="58">
        <v>45362</v>
      </c>
      <c r="G1073" s="67" t="s">
        <v>234</v>
      </c>
      <c r="H1073" s="51" t="s">
        <v>65</v>
      </c>
      <c r="I1073" s="61">
        <v>45364</v>
      </c>
      <c r="J1073" s="67" t="s">
        <v>234</v>
      </c>
      <c r="K1073" s="51">
        <v>60</v>
      </c>
      <c r="L1073" s="73"/>
      <c r="M1073" s="73"/>
      <c r="N1073" s="73"/>
    </row>
    <row r="1074" spans="1:14" ht="18.45" customHeight="1" x14ac:dyDescent="0.3">
      <c r="A1074" s="76" t="s">
        <v>2340</v>
      </c>
      <c r="B1074" s="60" t="s">
        <v>2341</v>
      </c>
      <c r="C1074" s="76" t="s">
        <v>101</v>
      </c>
      <c r="D1074" s="60">
        <v>7</v>
      </c>
      <c r="E1074" s="89">
        <v>45289</v>
      </c>
      <c r="F1074" s="89">
        <v>45293</v>
      </c>
      <c r="G1074" s="67" t="s">
        <v>234</v>
      </c>
      <c r="H1074" s="60" t="s">
        <v>68</v>
      </c>
      <c r="I1074" s="89">
        <v>45365</v>
      </c>
      <c r="J1074" s="67" t="s">
        <v>234</v>
      </c>
      <c r="K1074" s="60">
        <v>150</v>
      </c>
      <c r="L1074" s="73"/>
      <c r="M1074" s="73"/>
      <c r="N1074" s="73"/>
    </row>
    <row r="1075" spans="1:14" ht="18.45" customHeight="1" x14ac:dyDescent="0.3">
      <c r="A1075" s="99" t="s">
        <v>2342</v>
      </c>
      <c r="B1075" s="75" t="s">
        <v>2343</v>
      </c>
      <c r="C1075" s="76" t="s">
        <v>99</v>
      </c>
      <c r="D1075" s="71">
        <v>78</v>
      </c>
      <c r="E1075" s="85">
        <v>45363</v>
      </c>
      <c r="F1075" s="85">
        <v>45364</v>
      </c>
      <c r="G1075" s="67" t="s">
        <v>234</v>
      </c>
      <c r="H1075" s="60" t="s">
        <v>65</v>
      </c>
      <c r="I1075" s="87">
        <v>45365</v>
      </c>
      <c r="J1075" s="67" t="s">
        <v>234</v>
      </c>
      <c r="K1075" s="71">
        <v>50</v>
      </c>
      <c r="L1075" s="73"/>
      <c r="M1075" s="73"/>
      <c r="N1075" s="73"/>
    </row>
    <row r="1076" spans="1:14" ht="18.45" customHeight="1" x14ac:dyDescent="0.3">
      <c r="A1076" s="99" t="s">
        <v>2344</v>
      </c>
      <c r="B1076" s="75" t="s">
        <v>2345</v>
      </c>
      <c r="C1076" s="48" t="s">
        <v>103</v>
      </c>
      <c r="D1076" s="71">
        <v>55</v>
      </c>
      <c r="E1076" s="85">
        <v>45356</v>
      </c>
      <c r="F1076" s="85">
        <v>45364</v>
      </c>
      <c r="G1076" s="67" t="s">
        <v>234</v>
      </c>
      <c r="H1076" s="60" t="s">
        <v>65</v>
      </c>
      <c r="I1076" s="87">
        <v>45365</v>
      </c>
      <c r="J1076" s="67" t="s">
        <v>234</v>
      </c>
      <c r="K1076" s="71">
        <v>250</v>
      </c>
      <c r="L1076" s="73"/>
      <c r="M1076" s="73"/>
      <c r="N1076" s="73"/>
    </row>
    <row r="1077" spans="1:14" ht="18.45" customHeight="1" x14ac:dyDescent="0.3">
      <c r="A1077" s="99" t="s">
        <v>2346</v>
      </c>
      <c r="B1077" s="75" t="s">
        <v>2347</v>
      </c>
      <c r="C1077" s="76" t="s">
        <v>99</v>
      </c>
      <c r="D1077" s="71">
        <v>85</v>
      </c>
      <c r="E1077" s="85">
        <v>45363</v>
      </c>
      <c r="F1077" s="85">
        <v>45364</v>
      </c>
      <c r="G1077" s="67" t="s">
        <v>234</v>
      </c>
      <c r="H1077" s="60" t="s">
        <v>65</v>
      </c>
      <c r="I1077" s="87">
        <v>45365</v>
      </c>
      <c r="J1077" s="67" t="s">
        <v>234</v>
      </c>
      <c r="K1077" s="71">
        <v>250</v>
      </c>
      <c r="L1077" s="73"/>
      <c r="M1077" s="73"/>
      <c r="N1077" s="73"/>
    </row>
    <row r="1078" spans="1:14" ht="18.45" customHeight="1" x14ac:dyDescent="0.3">
      <c r="A1078" s="99" t="s">
        <v>2348</v>
      </c>
      <c r="B1078" s="75" t="s">
        <v>2349</v>
      </c>
      <c r="C1078" s="99" t="s">
        <v>94</v>
      </c>
      <c r="D1078" s="71">
        <v>37</v>
      </c>
      <c r="E1078" s="85">
        <v>45357</v>
      </c>
      <c r="F1078" s="85">
        <v>45360</v>
      </c>
      <c r="G1078" s="67" t="s">
        <v>234</v>
      </c>
      <c r="H1078" s="60" t="s">
        <v>65</v>
      </c>
      <c r="I1078" s="89">
        <v>45365</v>
      </c>
      <c r="J1078" s="67" t="s">
        <v>234</v>
      </c>
      <c r="K1078" s="62">
        <v>350</v>
      </c>
      <c r="L1078" s="73"/>
      <c r="M1078" s="73"/>
      <c r="N1078" s="73"/>
    </row>
    <row r="1079" spans="1:14" ht="18.45" customHeight="1" x14ac:dyDescent="0.3">
      <c r="A1079" s="48" t="s">
        <v>2350</v>
      </c>
      <c r="B1079" s="48" t="s">
        <v>2351</v>
      </c>
      <c r="C1079" s="76" t="s">
        <v>165</v>
      </c>
      <c r="D1079" s="62">
        <v>22</v>
      </c>
      <c r="E1079" s="56">
        <v>45357</v>
      </c>
      <c r="F1079" s="56">
        <v>45358</v>
      </c>
      <c r="G1079" s="67" t="s">
        <v>234</v>
      </c>
      <c r="H1079" s="60" t="s">
        <v>65</v>
      </c>
      <c r="I1079" s="89">
        <v>45365</v>
      </c>
      <c r="J1079" s="67" t="s">
        <v>234</v>
      </c>
      <c r="K1079" s="62">
        <v>280</v>
      </c>
      <c r="L1079" s="73"/>
      <c r="M1079" s="73"/>
      <c r="N1079" s="73"/>
    </row>
    <row r="1080" spans="1:14" ht="18.45" customHeight="1" x14ac:dyDescent="0.3">
      <c r="A1080" s="99" t="s">
        <v>2352</v>
      </c>
      <c r="B1080" s="75" t="s">
        <v>2353</v>
      </c>
      <c r="C1080" s="76" t="s">
        <v>162</v>
      </c>
      <c r="D1080" s="71">
        <v>72</v>
      </c>
      <c r="E1080" s="85">
        <v>45360</v>
      </c>
      <c r="F1080" s="85">
        <v>45362</v>
      </c>
      <c r="G1080" s="67" t="s">
        <v>234</v>
      </c>
      <c r="H1080" s="60" t="s">
        <v>65</v>
      </c>
      <c r="I1080" s="87">
        <v>45365</v>
      </c>
      <c r="J1080" s="67" t="s">
        <v>234</v>
      </c>
      <c r="K1080" s="71">
        <v>150</v>
      </c>
      <c r="L1080" s="73"/>
      <c r="M1080" s="73"/>
      <c r="N1080" s="73"/>
    </row>
    <row r="1081" spans="1:14" ht="18.45" customHeight="1" x14ac:dyDescent="0.3">
      <c r="A1081" s="99" t="s">
        <v>2354</v>
      </c>
      <c r="B1081" s="75" t="s">
        <v>2355</v>
      </c>
      <c r="C1081" s="76" t="s">
        <v>162</v>
      </c>
      <c r="D1081" s="71">
        <v>22</v>
      </c>
      <c r="E1081" s="85">
        <v>45357</v>
      </c>
      <c r="F1081" s="85">
        <v>45362</v>
      </c>
      <c r="G1081" s="67" t="s">
        <v>234</v>
      </c>
      <c r="H1081" s="60" t="s">
        <v>65</v>
      </c>
      <c r="I1081" s="89">
        <v>45365</v>
      </c>
      <c r="J1081" s="67" t="s">
        <v>234</v>
      </c>
      <c r="K1081" s="71">
        <v>200</v>
      </c>
      <c r="L1081" s="73"/>
      <c r="M1081" s="73"/>
      <c r="N1081" s="73"/>
    </row>
    <row r="1082" spans="1:14" ht="18.45" customHeight="1" x14ac:dyDescent="0.3">
      <c r="A1082" s="51" t="s">
        <v>2356</v>
      </c>
      <c r="B1082" s="51" t="s">
        <v>2357</v>
      </c>
      <c r="C1082" s="51" t="s">
        <v>2490</v>
      </c>
      <c r="D1082" s="84">
        <v>21</v>
      </c>
      <c r="E1082" s="54">
        <v>45359</v>
      </c>
      <c r="F1082" s="54">
        <v>45360</v>
      </c>
      <c r="G1082" s="67" t="s">
        <v>234</v>
      </c>
      <c r="H1082" s="51" t="s">
        <v>65</v>
      </c>
      <c r="I1082" s="89">
        <v>45365</v>
      </c>
      <c r="J1082" s="67" t="s">
        <v>234</v>
      </c>
      <c r="K1082" s="51">
        <v>500</v>
      </c>
      <c r="L1082" s="73"/>
      <c r="M1082" s="73"/>
      <c r="N1082" s="73"/>
    </row>
    <row r="1083" spans="1:14" ht="18.45" customHeight="1" x14ac:dyDescent="0.3">
      <c r="A1083" s="51" t="s">
        <v>2358</v>
      </c>
      <c r="B1083" s="51" t="s">
        <v>2359</v>
      </c>
      <c r="C1083" s="51" t="s">
        <v>119</v>
      </c>
      <c r="D1083" s="84">
        <v>2</v>
      </c>
      <c r="E1083" s="54">
        <v>45364</v>
      </c>
      <c r="F1083" s="54">
        <v>45364</v>
      </c>
      <c r="G1083" s="67" t="s">
        <v>234</v>
      </c>
      <c r="H1083" s="51" t="s">
        <v>65</v>
      </c>
      <c r="I1083" s="89">
        <v>45365</v>
      </c>
      <c r="J1083" s="67" t="s">
        <v>234</v>
      </c>
      <c r="K1083" s="51">
        <v>300</v>
      </c>
      <c r="L1083" s="73"/>
      <c r="M1083" s="73"/>
      <c r="N1083" s="73"/>
    </row>
    <row r="1084" spans="1:14" ht="18.45" customHeight="1" x14ac:dyDescent="0.3">
      <c r="A1084" s="51" t="s">
        <v>2360</v>
      </c>
      <c r="B1084" s="51" t="s">
        <v>2361</v>
      </c>
      <c r="C1084" s="51" t="s">
        <v>223</v>
      </c>
      <c r="D1084" s="84">
        <v>74</v>
      </c>
      <c r="E1084" s="54">
        <v>45364</v>
      </c>
      <c r="F1084" s="54">
        <v>45364</v>
      </c>
      <c r="G1084" s="67" t="s">
        <v>234</v>
      </c>
      <c r="H1084" s="51" t="s">
        <v>65</v>
      </c>
      <c r="I1084" s="89">
        <v>45365</v>
      </c>
      <c r="J1084" s="67" t="s">
        <v>234</v>
      </c>
      <c r="K1084" s="51">
        <v>200</v>
      </c>
      <c r="L1084" s="73"/>
      <c r="M1084" s="73"/>
      <c r="N1084" s="73"/>
    </row>
    <row r="1085" spans="1:14" ht="18.45" customHeight="1" x14ac:dyDescent="0.3">
      <c r="A1085" s="51" t="s">
        <v>2362</v>
      </c>
      <c r="B1085" s="51" t="s">
        <v>2363</v>
      </c>
      <c r="C1085" s="51" t="s">
        <v>223</v>
      </c>
      <c r="D1085" s="84">
        <v>82</v>
      </c>
      <c r="E1085" s="54">
        <v>45364</v>
      </c>
      <c r="F1085" s="54">
        <v>45364</v>
      </c>
      <c r="G1085" s="67" t="s">
        <v>234</v>
      </c>
      <c r="H1085" s="51" t="s">
        <v>65</v>
      </c>
      <c r="I1085" s="89">
        <v>45365</v>
      </c>
      <c r="J1085" s="67" t="s">
        <v>234</v>
      </c>
      <c r="K1085" s="51">
        <v>200</v>
      </c>
      <c r="L1085" s="73"/>
      <c r="M1085" s="73"/>
      <c r="N1085" s="73"/>
    </row>
    <row r="1086" spans="1:14" ht="18.45" customHeight="1" x14ac:dyDescent="0.3">
      <c r="A1086" s="51" t="s">
        <v>2364</v>
      </c>
      <c r="B1086" s="51" t="s">
        <v>2365</v>
      </c>
      <c r="C1086" s="51" t="s">
        <v>220</v>
      </c>
      <c r="D1086" s="84">
        <v>6</v>
      </c>
      <c r="E1086" s="54">
        <v>45347</v>
      </c>
      <c r="F1086" s="54">
        <v>45348</v>
      </c>
      <c r="G1086" s="67" t="s">
        <v>234</v>
      </c>
      <c r="H1086" s="51" t="s">
        <v>65</v>
      </c>
      <c r="I1086" s="89">
        <v>45365</v>
      </c>
      <c r="J1086" s="67" t="s">
        <v>234</v>
      </c>
      <c r="K1086" s="51">
        <v>500</v>
      </c>
      <c r="L1086" s="73"/>
      <c r="M1086" s="73"/>
      <c r="N1086" s="73"/>
    </row>
    <row r="1087" spans="1:14" ht="18.45" customHeight="1" x14ac:dyDescent="0.3">
      <c r="A1087" s="51" t="s">
        <v>2366</v>
      </c>
      <c r="B1087" s="51" t="s">
        <v>2367</v>
      </c>
      <c r="C1087" s="51" t="s">
        <v>220</v>
      </c>
      <c r="D1087" s="84">
        <v>56</v>
      </c>
      <c r="E1087" s="54">
        <v>45361</v>
      </c>
      <c r="F1087" s="54">
        <v>45363</v>
      </c>
      <c r="G1087" s="67" t="s">
        <v>234</v>
      </c>
      <c r="H1087" s="51" t="s">
        <v>65</v>
      </c>
      <c r="I1087" s="89">
        <v>45365</v>
      </c>
      <c r="J1087" s="67" t="s">
        <v>234</v>
      </c>
      <c r="K1087" s="51">
        <v>50</v>
      </c>
      <c r="L1087" s="73"/>
      <c r="M1087" s="73"/>
      <c r="N1087" s="73"/>
    </row>
    <row r="1088" spans="1:14" ht="18.45" customHeight="1" x14ac:dyDescent="0.3">
      <c r="A1088" s="51" t="s">
        <v>170</v>
      </c>
      <c r="B1088" s="51" t="s">
        <v>2368</v>
      </c>
      <c r="C1088" s="51" t="s">
        <v>218</v>
      </c>
      <c r="D1088" s="84">
        <v>4</v>
      </c>
      <c r="E1088" s="54">
        <v>45356</v>
      </c>
      <c r="F1088" s="54">
        <v>45358</v>
      </c>
      <c r="G1088" s="67" t="s">
        <v>234</v>
      </c>
      <c r="H1088" s="51" t="s">
        <v>65</v>
      </c>
      <c r="I1088" s="89">
        <v>45365</v>
      </c>
      <c r="J1088" s="67" t="s">
        <v>234</v>
      </c>
      <c r="K1088" s="51">
        <v>100</v>
      </c>
      <c r="L1088" s="73"/>
      <c r="M1088" s="73"/>
      <c r="N1088" s="73"/>
    </row>
    <row r="1089" spans="1:14" ht="18.45" customHeight="1" x14ac:dyDescent="0.3">
      <c r="A1089" s="51" t="s">
        <v>2369</v>
      </c>
      <c r="B1089" s="51" t="s">
        <v>2370</v>
      </c>
      <c r="C1089" s="51" t="s">
        <v>223</v>
      </c>
      <c r="D1089" s="84">
        <v>74</v>
      </c>
      <c r="E1089" s="54">
        <v>45364</v>
      </c>
      <c r="F1089" s="54">
        <v>45364</v>
      </c>
      <c r="G1089" s="67" t="s">
        <v>234</v>
      </c>
      <c r="H1089" s="51" t="s">
        <v>65</v>
      </c>
      <c r="I1089" s="89">
        <v>45365</v>
      </c>
      <c r="J1089" s="67" t="s">
        <v>234</v>
      </c>
      <c r="K1089" s="51">
        <v>200</v>
      </c>
      <c r="L1089" s="73"/>
      <c r="M1089" s="73"/>
      <c r="N1089" s="73"/>
    </row>
    <row r="1090" spans="1:14" ht="18.45" customHeight="1" x14ac:dyDescent="0.3">
      <c r="A1090" s="51" t="s">
        <v>2371</v>
      </c>
      <c r="B1090" s="51" t="s">
        <v>2372</v>
      </c>
      <c r="C1090" s="51" t="s">
        <v>232</v>
      </c>
      <c r="D1090" s="51">
        <v>3</v>
      </c>
      <c r="E1090" s="58">
        <v>45358</v>
      </c>
      <c r="F1090" s="58">
        <v>45362</v>
      </c>
      <c r="G1090" s="67" t="s">
        <v>234</v>
      </c>
      <c r="H1090" s="51" t="s">
        <v>65</v>
      </c>
      <c r="I1090" s="61">
        <v>45365</v>
      </c>
      <c r="J1090" s="67" t="s">
        <v>234</v>
      </c>
      <c r="K1090" s="51">
        <v>150</v>
      </c>
      <c r="L1090" s="73"/>
      <c r="M1090" s="73"/>
      <c r="N1090" s="73"/>
    </row>
    <row r="1091" spans="1:14" ht="18.45" customHeight="1" x14ac:dyDescent="0.3">
      <c r="A1091" s="51" t="s">
        <v>2373</v>
      </c>
      <c r="B1091" s="51" t="s">
        <v>2374</v>
      </c>
      <c r="C1091" s="51" t="s">
        <v>113</v>
      </c>
      <c r="D1091" s="51">
        <v>35</v>
      </c>
      <c r="E1091" s="58">
        <v>45355</v>
      </c>
      <c r="F1091" s="58">
        <v>45356</v>
      </c>
      <c r="G1091" s="67" t="s">
        <v>234</v>
      </c>
      <c r="H1091" s="51" t="s">
        <v>65</v>
      </c>
      <c r="I1091" s="61">
        <v>45365</v>
      </c>
      <c r="J1091" s="67" t="s">
        <v>234</v>
      </c>
      <c r="K1091" s="51">
        <v>300</v>
      </c>
      <c r="L1091" s="73"/>
      <c r="M1091" s="73"/>
      <c r="N1091" s="73"/>
    </row>
    <row r="1092" spans="1:14" ht="18.45" customHeight="1" x14ac:dyDescent="0.3">
      <c r="A1092" s="51" t="s">
        <v>2375</v>
      </c>
      <c r="B1092" s="51" t="s">
        <v>2376</v>
      </c>
      <c r="C1092" s="51" t="s">
        <v>231</v>
      </c>
      <c r="D1092" s="51">
        <v>11</v>
      </c>
      <c r="E1092" s="58">
        <v>45358</v>
      </c>
      <c r="F1092" s="58">
        <v>45359</v>
      </c>
      <c r="G1092" s="67" t="s">
        <v>234</v>
      </c>
      <c r="H1092" s="51" t="s">
        <v>65</v>
      </c>
      <c r="I1092" s="61">
        <v>45365</v>
      </c>
      <c r="J1092" s="67" t="s">
        <v>234</v>
      </c>
      <c r="K1092" s="51">
        <v>200</v>
      </c>
      <c r="L1092" s="73"/>
      <c r="M1092" s="73"/>
      <c r="N1092" s="73"/>
    </row>
    <row r="1093" spans="1:14" ht="18.45" customHeight="1" x14ac:dyDescent="0.3">
      <c r="A1093" s="51" t="s">
        <v>2377</v>
      </c>
      <c r="B1093" s="51" t="s">
        <v>2378</v>
      </c>
      <c r="C1093" s="51" t="s">
        <v>227</v>
      </c>
      <c r="D1093" s="51">
        <v>43</v>
      </c>
      <c r="E1093" s="58">
        <v>45363</v>
      </c>
      <c r="F1093" s="58">
        <v>45364</v>
      </c>
      <c r="G1093" s="67" t="s">
        <v>234</v>
      </c>
      <c r="H1093" s="51" t="s">
        <v>65</v>
      </c>
      <c r="I1093" s="61">
        <v>45365</v>
      </c>
      <c r="J1093" s="67" t="s">
        <v>234</v>
      </c>
      <c r="K1093" s="51">
        <v>150</v>
      </c>
      <c r="L1093" s="73"/>
      <c r="M1093" s="73"/>
      <c r="N1093" s="73"/>
    </row>
    <row r="1094" spans="1:14" ht="18.45" customHeight="1" x14ac:dyDescent="0.3">
      <c r="A1094" s="51" t="s">
        <v>2379</v>
      </c>
      <c r="B1094" s="51" t="s">
        <v>2380</v>
      </c>
      <c r="C1094" s="51" t="s">
        <v>232</v>
      </c>
      <c r="D1094" s="51">
        <v>63</v>
      </c>
      <c r="E1094" s="58">
        <v>45359</v>
      </c>
      <c r="F1094" s="58">
        <v>45362</v>
      </c>
      <c r="G1094" s="67" t="s">
        <v>234</v>
      </c>
      <c r="H1094" s="51" t="s">
        <v>65</v>
      </c>
      <c r="I1094" s="61">
        <v>45365</v>
      </c>
      <c r="J1094" s="67" t="s">
        <v>234</v>
      </c>
      <c r="K1094" s="51">
        <v>300</v>
      </c>
      <c r="L1094" s="73"/>
      <c r="M1094" s="73"/>
      <c r="N1094" s="73"/>
    </row>
    <row r="1095" spans="1:14" ht="18.45" customHeight="1" x14ac:dyDescent="0.3">
      <c r="A1095" s="51" t="s">
        <v>2381</v>
      </c>
      <c r="B1095" s="51" t="s">
        <v>2382</v>
      </c>
      <c r="C1095" s="51" t="s">
        <v>227</v>
      </c>
      <c r="D1095" s="51">
        <v>3</v>
      </c>
      <c r="E1095" s="58">
        <v>45357</v>
      </c>
      <c r="F1095" s="58">
        <v>45362</v>
      </c>
      <c r="G1095" s="67" t="s">
        <v>234</v>
      </c>
      <c r="H1095" s="51" t="s">
        <v>65</v>
      </c>
      <c r="I1095" s="61">
        <v>45365</v>
      </c>
      <c r="J1095" s="67" t="s">
        <v>234</v>
      </c>
      <c r="K1095" s="51">
        <v>250</v>
      </c>
      <c r="L1095" s="73"/>
      <c r="M1095" s="73"/>
      <c r="N1095" s="73"/>
    </row>
    <row r="1096" spans="1:14" ht="18.45" customHeight="1" x14ac:dyDescent="0.3">
      <c r="A1096" s="51" t="s">
        <v>2383</v>
      </c>
      <c r="B1096" s="51" t="s">
        <v>2384</v>
      </c>
      <c r="C1096" s="51" t="s">
        <v>229</v>
      </c>
      <c r="D1096" s="51">
        <v>30</v>
      </c>
      <c r="E1096" s="58">
        <v>45358</v>
      </c>
      <c r="F1096" s="58">
        <v>45362</v>
      </c>
      <c r="G1096" s="67" t="s">
        <v>234</v>
      </c>
      <c r="H1096" s="51" t="s">
        <v>65</v>
      </c>
      <c r="I1096" s="61">
        <v>45365</v>
      </c>
      <c r="J1096" s="67" t="s">
        <v>234</v>
      </c>
      <c r="K1096" s="51">
        <v>150</v>
      </c>
      <c r="L1096" s="73"/>
      <c r="M1096" s="73"/>
      <c r="N1096" s="73"/>
    </row>
    <row r="1097" spans="1:14" ht="18.45" customHeight="1" x14ac:dyDescent="0.3">
      <c r="A1097" s="51" t="s">
        <v>2385</v>
      </c>
      <c r="B1097" s="51" t="s">
        <v>2386</v>
      </c>
      <c r="C1097" s="51" t="s">
        <v>231</v>
      </c>
      <c r="D1097" s="51">
        <v>31</v>
      </c>
      <c r="E1097" s="58">
        <v>45358</v>
      </c>
      <c r="F1097" s="58">
        <v>45362</v>
      </c>
      <c r="G1097" s="67" t="s">
        <v>234</v>
      </c>
      <c r="H1097" s="51" t="s">
        <v>65</v>
      </c>
      <c r="I1097" s="61">
        <v>45365</v>
      </c>
      <c r="J1097" s="67" t="s">
        <v>234</v>
      </c>
      <c r="K1097" s="51">
        <v>150</v>
      </c>
      <c r="L1097" s="73"/>
      <c r="M1097" s="73"/>
      <c r="N1097" s="73"/>
    </row>
    <row r="1098" spans="1:14" ht="18.45" customHeight="1" x14ac:dyDescent="0.3">
      <c r="A1098" s="51" t="s">
        <v>2387</v>
      </c>
      <c r="B1098" s="51" t="s">
        <v>2388</v>
      </c>
      <c r="C1098" s="51" t="s">
        <v>232</v>
      </c>
      <c r="D1098" s="51">
        <v>27</v>
      </c>
      <c r="E1098" s="58">
        <v>45351</v>
      </c>
      <c r="F1098" s="58">
        <v>45352</v>
      </c>
      <c r="G1098" s="67" t="s">
        <v>234</v>
      </c>
      <c r="H1098" s="51" t="s">
        <v>65</v>
      </c>
      <c r="I1098" s="61">
        <v>45365</v>
      </c>
      <c r="J1098" s="67" t="s">
        <v>234</v>
      </c>
      <c r="K1098" s="51">
        <v>300</v>
      </c>
      <c r="L1098" s="73"/>
      <c r="M1098" s="73"/>
      <c r="N1098" s="73"/>
    </row>
    <row r="1099" spans="1:14" ht="18.45" customHeight="1" x14ac:dyDescent="0.3">
      <c r="A1099" s="51" t="s">
        <v>2389</v>
      </c>
      <c r="B1099" s="51" t="s">
        <v>2390</v>
      </c>
      <c r="C1099" s="51" t="s">
        <v>232</v>
      </c>
      <c r="D1099" s="51">
        <v>17</v>
      </c>
      <c r="E1099" s="58">
        <v>45359</v>
      </c>
      <c r="F1099" s="58">
        <v>45362</v>
      </c>
      <c r="G1099" s="67" t="s">
        <v>234</v>
      </c>
      <c r="H1099" s="51" t="s">
        <v>65</v>
      </c>
      <c r="I1099" s="61">
        <v>45365</v>
      </c>
      <c r="J1099" s="67" t="s">
        <v>234</v>
      </c>
      <c r="K1099" s="51">
        <v>150</v>
      </c>
      <c r="L1099" s="73"/>
      <c r="M1099" s="73"/>
      <c r="N1099" s="73"/>
    </row>
    <row r="1100" spans="1:14" ht="18.45" customHeight="1" x14ac:dyDescent="0.3">
      <c r="A1100" s="48" t="s">
        <v>2391</v>
      </c>
      <c r="B1100" s="50" t="s">
        <v>2392</v>
      </c>
      <c r="C1100" s="48" t="s">
        <v>91</v>
      </c>
      <c r="D1100" s="62">
        <v>53</v>
      </c>
      <c r="E1100" s="54">
        <v>45364</v>
      </c>
      <c r="F1100" s="54">
        <v>45365</v>
      </c>
      <c r="G1100" s="67" t="s">
        <v>234</v>
      </c>
      <c r="H1100" s="60" t="s">
        <v>65</v>
      </c>
      <c r="I1100" s="92">
        <v>45366</v>
      </c>
      <c r="J1100" s="67" t="s">
        <v>234</v>
      </c>
      <c r="K1100" s="62">
        <v>50</v>
      </c>
      <c r="L1100" s="73"/>
      <c r="M1100" s="73"/>
      <c r="N1100" s="73"/>
    </row>
    <row r="1101" spans="1:14" ht="18.45" customHeight="1" x14ac:dyDescent="0.3">
      <c r="A1101" s="48" t="s">
        <v>2393</v>
      </c>
      <c r="B1101" s="50" t="s">
        <v>2394</v>
      </c>
      <c r="C1101" s="76" t="s">
        <v>101</v>
      </c>
      <c r="D1101" s="62">
        <v>73</v>
      </c>
      <c r="E1101" s="54">
        <v>45350</v>
      </c>
      <c r="F1101" s="54">
        <v>45351</v>
      </c>
      <c r="G1101" s="67" t="s">
        <v>234</v>
      </c>
      <c r="H1101" s="60" t="s">
        <v>68</v>
      </c>
      <c r="I1101" s="89">
        <v>45366</v>
      </c>
      <c r="J1101" s="67" t="s">
        <v>234</v>
      </c>
      <c r="K1101" s="62">
        <v>300</v>
      </c>
      <c r="L1101" s="73"/>
      <c r="M1101" s="73"/>
      <c r="N1101" s="73"/>
    </row>
    <row r="1102" spans="1:14" ht="18.45" customHeight="1" x14ac:dyDescent="0.3">
      <c r="A1102" s="76" t="s">
        <v>2395</v>
      </c>
      <c r="B1102" s="60" t="s">
        <v>2396</v>
      </c>
      <c r="C1102" s="76" t="s">
        <v>101</v>
      </c>
      <c r="D1102" s="55">
        <v>96</v>
      </c>
      <c r="E1102" s="89">
        <v>45330</v>
      </c>
      <c r="F1102" s="89">
        <v>45331</v>
      </c>
      <c r="G1102" s="67" t="s">
        <v>234</v>
      </c>
      <c r="H1102" s="60" t="s">
        <v>68</v>
      </c>
      <c r="I1102" s="89">
        <v>45366</v>
      </c>
      <c r="J1102" s="67" t="s">
        <v>234</v>
      </c>
      <c r="K1102" s="60">
        <v>200</v>
      </c>
      <c r="L1102" s="73"/>
      <c r="M1102" s="73"/>
      <c r="N1102" s="73"/>
    </row>
    <row r="1103" spans="1:14" ht="18.45" customHeight="1" x14ac:dyDescent="0.3">
      <c r="A1103" s="48" t="s">
        <v>2397</v>
      </c>
      <c r="B1103" s="48" t="s">
        <v>2398</v>
      </c>
      <c r="C1103" s="76" t="s">
        <v>103</v>
      </c>
      <c r="D1103" s="62">
        <v>17</v>
      </c>
      <c r="E1103" s="56">
        <v>45357</v>
      </c>
      <c r="F1103" s="56">
        <v>45364</v>
      </c>
      <c r="G1103" s="67" t="s">
        <v>234</v>
      </c>
      <c r="H1103" s="60" t="s">
        <v>65</v>
      </c>
      <c r="I1103" s="92">
        <v>45366</v>
      </c>
      <c r="J1103" s="67" t="s">
        <v>234</v>
      </c>
      <c r="K1103" s="62">
        <v>50</v>
      </c>
      <c r="L1103" s="73"/>
      <c r="M1103" s="73"/>
      <c r="N1103" s="73"/>
    </row>
    <row r="1104" spans="1:14" ht="18.45" customHeight="1" x14ac:dyDescent="0.3">
      <c r="A1104" s="99" t="s">
        <v>2399</v>
      </c>
      <c r="B1104" s="75" t="s">
        <v>2400</v>
      </c>
      <c r="C1104" s="76" t="s">
        <v>162</v>
      </c>
      <c r="D1104" s="71">
        <v>5</v>
      </c>
      <c r="E1104" s="85">
        <v>45359</v>
      </c>
      <c r="F1104" s="85">
        <v>45362</v>
      </c>
      <c r="G1104" s="67" t="s">
        <v>234</v>
      </c>
      <c r="H1104" s="60" t="s">
        <v>65</v>
      </c>
      <c r="I1104" s="89">
        <v>45366</v>
      </c>
      <c r="J1104" s="67" t="s">
        <v>234</v>
      </c>
      <c r="K1104" s="71">
        <v>400</v>
      </c>
      <c r="L1104" s="73"/>
      <c r="M1104" s="73"/>
      <c r="N1104" s="73"/>
    </row>
    <row r="1105" spans="1:14" ht="18.45" customHeight="1" x14ac:dyDescent="0.3">
      <c r="A1105" s="48" t="s">
        <v>2401</v>
      </c>
      <c r="B1105" s="49" t="s">
        <v>2402</v>
      </c>
      <c r="C1105" s="49" t="s">
        <v>91</v>
      </c>
      <c r="D1105" s="71">
        <v>6</v>
      </c>
      <c r="E1105" s="57">
        <v>45361</v>
      </c>
      <c r="F1105" s="57">
        <v>45364</v>
      </c>
      <c r="G1105" s="67" t="s">
        <v>234</v>
      </c>
      <c r="H1105" s="60" t="s">
        <v>65</v>
      </c>
      <c r="I1105" s="89">
        <v>45366</v>
      </c>
      <c r="J1105" s="67" t="s">
        <v>234</v>
      </c>
      <c r="K1105" s="71">
        <v>100</v>
      </c>
      <c r="L1105" s="73"/>
      <c r="M1105" s="73"/>
      <c r="N1105" s="73"/>
    </row>
    <row r="1106" spans="1:14" ht="18.45" customHeight="1" x14ac:dyDescent="0.3">
      <c r="A1106" s="48" t="s">
        <v>2403</v>
      </c>
      <c r="B1106" s="50" t="s">
        <v>2404</v>
      </c>
      <c r="C1106" s="48" t="s">
        <v>94</v>
      </c>
      <c r="D1106" s="62">
        <v>83</v>
      </c>
      <c r="E1106" s="54">
        <v>45348</v>
      </c>
      <c r="F1106" s="54">
        <v>45350</v>
      </c>
      <c r="G1106" s="67" t="s">
        <v>234</v>
      </c>
      <c r="H1106" s="60" t="s">
        <v>65</v>
      </c>
      <c r="I1106" s="89">
        <v>45366</v>
      </c>
      <c r="J1106" s="67" t="s">
        <v>234</v>
      </c>
      <c r="K1106" s="62">
        <v>350</v>
      </c>
      <c r="L1106" s="73"/>
      <c r="M1106" s="73"/>
      <c r="N1106" s="73"/>
    </row>
    <row r="1107" spans="1:14" ht="18.45" customHeight="1" x14ac:dyDescent="0.3">
      <c r="A1107" s="49" t="s">
        <v>2405</v>
      </c>
      <c r="B1107" s="49" t="s">
        <v>2406</v>
      </c>
      <c r="C1107" s="49" t="s">
        <v>94</v>
      </c>
      <c r="D1107" s="71">
        <v>59</v>
      </c>
      <c r="E1107" s="57">
        <v>45358</v>
      </c>
      <c r="F1107" s="57">
        <v>45363</v>
      </c>
      <c r="G1107" s="67" t="s">
        <v>234</v>
      </c>
      <c r="H1107" s="60" t="s">
        <v>65</v>
      </c>
      <c r="I1107" s="89">
        <v>45366</v>
      </c>
      <c r="J1107" s="67" t="s">
        <v>234</v>
      </c>
      <c r="K1107" s="71">
        <v>350</v>
      </c>
      <c r="L1107" s="73"/>
      <c r="M1107" s="73"/>
      <c r="N1107" s="73"/>
    </row>
    <row r="1108" spans="1:14" ht="18.45" customHeight="1" x14ac:dyDescent="0.3">
      <c r="A1108" s="99" t="s">
        <v>2407</v>
      </c>
      <c r="B1108" s="75" t="s">
        <v>2408</v>
      </c>
      <c r="C1108" s="76" t="s">
        <v>117</v>
      </c>
      <c r="D1108" s="71">
        <v>34</v>
      </c>
      <c r="E1108" s="85">
        <v>45358</v>
      </c>
      <c r="F1108" s="85">
        <v>45360</v>
      </c>
      <c r="G1108" s="67" t="s">
        <v>234</v>
      </c>
      <c r="H1108" s="60" t="s">
        <v>65</v>
      </c>
      <c r="I1108" s="89">
        <v>45366</v>
      </c>
      <c r="J1108" s="67" t="s">
        <v>234</v>
      </c>
      <c r="K1108" s="71">
        <v>250</v>
      </c>
      <c r="L1108" s="73"/>
      <c r="M1108" s="73"/>
      <c r="N1108" s="73"/>
    </row>
    <row r="1109" spans="1:14" ht="18.45" customHeight="1" x14ac:dyDescent="0.3">
      <c r="A1109" s="48" t="s">
        <v>2409</v>
      </c>
      <c r="B1109" s="49" t="s">
        <v>2410</v>
      </c>
      <c r="C1109" s="76" t="s">
        <v>165</v>
      </c>
      <c r="D1109" s="71">
        <v>31</v>
      </c>
      <c r="E1109" s="57">
        <v>45364</v>
      </c>
      <c r="F1109" s="57">
        <v>45364</v>
      </c>
      <c r="G1109" s="67" t="s">
        <v>234</v>
      </c>
      <c r="H1109" s="60" t="s">
        <v>65</v>
      </c>
      <c r="I1109" s="89">
        <v>45366</v>
      </c>
      <c r="J1109" s="67" t="s">
        <v>234</v>
      </c>
      <c r="K1109" s="71">
        <v>100</v>
      </c>
      <c r="L1109" s="73"/>
      <c r="M1109" s="73"/>
      <c r="N1109" s="73"/>
    </row>
    <row r="1110" spans="1:14" ht="18.45" customHeight="1" x14ac:dyDescent="0.3">
      <c r="A1110" s="48" t="s">
        <v>2411</v>
      </c>
      <c r="B1110" s="48" t="s">
        <v>2412</v>
      </c>
      <c r="C1110" s="76" t="s">
        <v>163</v>
      </c>
      <c r="D1110" s="62">
        <v>27</v>
      </c>
      <c r="E1110" s="56">
        <v>45364</v>
      </c>
      <c r="F1110" s="56">
        <v>45365</v>
      </c>
      <c r="G1110" s="67" t="s">
        <v>234</v>
      </c>
      <c r="H1110" s="60" t="s">
        <v>65</v>
      </c>
      <c r="I1110" s="92">
        <v>45366</v>
      </c>
      <c r="J1110" s="67" t="s">
        <v>234</v>
      </c>
      <c r="K1110" s="62">
        <v>100</v>
      </c>
      <c r="L1110" s="73"/>
      <c r="M1110" s="73"/>
      <c r="N1110" s="73"/>
    </row>
    <row r="1111" spans="1:14" ht="18.45" customHeight="1" x14ac:dyDescent="0.3">
      <c r="A1111" s="51" t="s">
        <v>2413</v>
      </c>
      <c r="B1111" s="51" t="s">
        <v>2414</v>
      </c>
      <c r="C1111" s="51" t="s">
        <v>224</v>
      </c>
      <c r="D1111" s="84">
        <v>11</v>
      </c>
      <c r="E1111" s="54">
        <v>45363</v>
      </c>
      <c r="F1111" s="54">
        <v>45364</v>
      </c>
      <c r="G1111" s="67" t="s">
        <v>234</v>
      </c>
      <c r="H1111" s="51" t="s">
        <v>65</v>
      </c>
      <c r="I1111" s="54">
        <v>45366</v>
      </c>
      <c r="J1111" s="67" t="s">
        <v>234</v>
      </c>
      <c r="K1111" s="51">
        <v>500</v>
      </c>
      <c r="L1111" s="73"/>
      <c r="M1111" s="73"/>
      <c r="N1111" s="73"/>
    </row>
    <row r="1112" spans="1:14" ht="18.45" customHeight="1" x14ac:dyDescent="0.3">
      <c r="A1112" s="51" t="s">
        <v>2415</v>
      </c>
      <c r="B1112" s="51" t="s">
        <v>2416</v>
      </c>
      <c r="C1112" s="51" t="s">
        <v>223</v>
      </c>
      <c r="D1112" s="84">
        <v>79</v>
      </c>
      <c r="E1112" s="54">
        <v>45365</v>
      </c>
      <c r="F1112" s="54">
        <v>45366</v>
      </c>
      <c r="G1112" s="67" t="s">
        <v>234</v>
      </c>
      <c r="H1112" s="51" t="s">
        <v>65</v>
      </c>
      <c r="I1112" s="54">
        <v>45366</v>
      </c>
      <c r="J1112" s="67" t="s">
        <v>234</v>
      </c>
      <c r="K1112" s="51">
        <v>100</v>
      </c>
      <c r="L1112" s="73"/>
      <c r="M1112" s="73"/>
      <c r="N1112" s="73"/>
    </row>
    <row r="1113" spans="1:14" ht="18.45" customHeight="1" x14ac:dyDescent="0.3">
      <c r="A1113" s="51" t="s">
        <v>2417</v>
      </c>
      <c r="B1113" s="51" t="s">
        <v>2418</v>
      </c>
      <c r="C1113" s="51" t="s">
        <v>220</v>
      </c>
      <c r="D1113" s="84">
        <v>52</v>
      </c>
      <c r="E1113" s="54">
        <v>45357</v>
      </c>
      <c r="F1113" s="54">
        <v>45360</v>
      </c>
      <c r="G1113" s="67" t="s">
        <v>234</v>
      </c>
      <c r="H1113" s="51" t="s">
        <v>65</v>
      </c>
      <c r="I1113" s="54">
        <v>45366</v>
      </c>
      <c r="J1113" s="67" t="s">
        <v>234</v>
      </c>
      <c r="K1113" s="51">
        <v>150</v>
      </c>
      <c r="L1113" s="73"/>
      <c r="M1113" s="73"/>
      <c r="N1113" s="73"/>
    </row>
    <row r="1114" spans="1:14" ht="18.45" customHeight="1" x14ac:dyDescent="0.3">
      <c r="A1114" s="51" t="s">
        <v>2419</v>
      </c>
      <c r="B1114" s="51" t="s">
        <v>2420</v>
      </c>
      <c r="C1114" s="51" t="s">
        <v>220</v>
      </c>
      <c r="D1114" s="84">
        <v>52</v>
      </c>
      <c r="E1114" s="54">
        <v>45365</v>
      </c>
      <c r="F1114" s="54">
        <v>45364</v>
      </c>
      <c r="G1114" s="67" t="s">
        <v>234</v>
      </c>
      <c r="H1114" s="51" t="s">
        <v>65</v>
      </c>
      <c r="I1114" s="54">
        <v>45366</v>
      </c>
      <c r="J1114" s="67" t="s">
        <v>234</v>
      </c>
      <c r="K1114" s="51">
        <v>300</v>
      </c>
      <c r="L1114" s="73"/>
      <c r="M1114" s="73"/>
      <c r="N1114" s="73"/>
    </row>
    <row r="1115" spans="1:14" ht="18.45" customHeight="1" x14ac:dyDescent="0.3">
      <c r="A1115" s="51" t="s">
        <v>2421</v>
      </c>
      <c r="B1115" s="51" t="s">
        <v>2422</v>
      </c>
      <c r="C1115" s="51" t="s">
        <v>231</v>
      </c>
      <c r="D1115" s="51">
        <v>1</v>
      </c>
      <c r="E1115" s="58">
        <v>45352</v>
      </c>
      <c r="F1115" s="58">
        <v>45363</v>
      </c>
      <c r="G1115" s="67" t="s">
        <v>234</v>
      </c>
      <c r="H1115" s="51" t="s">
        <v>65</v>
      </c>
      <c r="I1115" s="61">
        <v>45366</v>
      </c>
      <c r="J1115" s="67" t="s">
        <v>234</v>
      </c>
      <c r="K1115" s="51">
        <v>60</v>
      </c>
      <c r="L1115" s="73"/>
      <c r="M1115" s="73"/>
      <c r="N1115" s="73"/>
    </row>
    <row r="1116" spans="1:14" ht="18.45" customHeight="1" x14ac:dyDescent="0.3">
      <c r="A1116" s="51" t="s">
        <v>2423</v>
      </c>
      <c r="B1116" s="51" t="s">
        <v>2424</v>
      </c>
      <c r="C1116" s="51" t="s">
        <v>232</v>
      </c>
      <c r="D1116" s="51">
        <v>94</v>
      </c>
      <c r="E1116" s="58">
        <v>45363</v>
      </c>
      <c r="F1116" s="58">
        <v>45364</v>
      </c>
      <c r="G1116" s="67" t="s">
        <v>234</v>
      </c>
      <c r="H1116" s="51" t="s">
        <v>65</v>
      </c>
      <c r="I1116" s="61">
        <v>45366</v>
      </c>
      <c r="J1116" s="67" t="s">
        <v>234</v>
      </c>
      <c r="K1116" s="51">
        <v>100</v>
      </c>
      <c r="L1116" s="73"/>
      <c r="M1116" s="73"/>
      <c r="N1116" s="73"/>
    </row>
    <row r="1117" spans="1:14" ht="18.45" customHeight="1" x14ac:dyDescent="0.3">
      <c r="A1117" s="51" t="s">
        <v>2425</v>
      </c>
      <c r="B1117" s="51" t="s">
        <v>2426</v>
      </c>
      <c r="C1117" s="51" t="s">
        <v>232</v>
      </c>
      <c r="D1117" s="51">
        <v>81</v>
      </c>
      <c r="E1117" s="58">
        <v>45362</v>
      </c>
      <c r="F1117" s="58">
        <v>45363</v>
      </c>
      <c r="G1117" s="67" t="s">
        <v>234</v>
      </c>
      <c r="H1117" s="51" t="s">
        <v>65</v>
      </c>
      <c r="I1117" s="61">
        <v>45366</v>
      </c>
      <c r="J1117" s="67" t="s">
        <v>234</v>
      </c>
      <c r="K1117" s="51">
        <v>200</v>
      </c>
      <c r="L1117" s="73"/>
      <c r="M1117" s="73"/>
      <c r="N1117" s="73"/>
    </row>
    <row r="1118" spans="1:14" ht="18.45" customHeight="1" x14ac:dyDescent="0.3">
      <c r="A1118" s="51" t="s">
        <v>2427</v>
      </c>
      <c r="B1118" s="51" t="s">
        <v>2428</v>
      </c>
      <c r="C1118" s="51" t="s">
        <v>231</v>
      </c>
      <c r="D1118" s="51">
        <v>9</v>
      </c>
      <c r="E1118" s="58">
        <v>45344</v>
      </c>
      <c r="F1118" s="58">
        <v>45348</v>
      </c>
      <c r="G1118" s="67" t="s">
        <v>234</v>
      </c>
      <c r="H1118" s="51" t="s">
        <v>65</v>
      </c>
      <c r="I1118" s="61">
        <v>45366</v>
      </c>
      <c r="J1118" s="67" t="s">
        <v>234</v>
      </c>
      <c r="K1118" s="51">
        <v>250</v>
      </c>
      <c r="L1118" s="73"/>
      <c r="M1118" s="73"/>
      <c r="N1118" s="73"/>
    </row>
    <row r="1119" spans="1:14" ht="18.45" customHeight="1" x14ac:dyDescent="0.3">
      <c r="A1119" s="51" t="s">
        <v>2429</v>
      </c>
      <c r="B1119" s="51" t="s">
        <v>2430</v>
      </c>
      <c r="C1119" s="51" t="s">
        <v>231</v>
      </c>
      <c r="D1119" s="51">
        <v>9</v>
      </c>
      <c r="E1119" s="58">
        <v>45341</v>
      </c>
      <c r="F1119" s="58">
        <v>45342</v>
      </c>
      <c r="G1119" s="67" t="s">
        <v>234</v>
      </c>
      <c r="H1119" s="51" t="s">
        <v>65</v>
      </c>
      <c r="I1119" s="61">
        <v>45366</v>
      </c>
      <c r="J1119" s="67" t="s">
        <v>234</v>
      </c>
      <c r="K1119" s="51">
        <v>150</v>
      </c>
      <c r="L1119" s="73"/>
      <c r="M1119" s="73"/>
      <c r="N1119" s="73"/>
    </row>
    <row r="1120" spans="1:14" ht="18.45" customHeight="1" x14ac:dyDescent="0.3">
      <c r="A1120" s="51" t="s">
        <v>2431</v>
      </c>
      <c r="B1120" s="51" t="s">
        <v>2432</v>
      </c>
      <c r="C1120" s="51" t="s">
        <v>232</v>
      </c>
      <c r="D1120" s="51">
        <v>88</v>
      </c>
      <c r="E1120" s="58">
        <v>45363</v>
      </c>
      <c r="F1120" s="58">
        <v>45364</v>
      </c>
      <c r="G1120" s="67" t="s">
        <v>234</v>
      </c>
      <c r="H1120" s="51" t="s">
        <v>65</v>
      </c>
      <c r="I1120" s="61">
        <v>45366</v>
      </c>
      <c r="J1120" s="67" t="s">
        <v>234</v>
      </c>
      <c r="K1120" s="51">
        <v>250</v>
      </c>
      <c r="L1120" s="73"/>
      <c r="M1120" s="73"/>
      <c r="N1120" s="73"/>
    </row>
    <row r="1121" spans="1:14" ht="18.45" customHeight="1" x14ac:dyDescent="0.3">
      <c r="A1121" s="48" t="s">
        <v>2433</v>
      </c>
      <c r="B1121" s="75" t="s">
        <v>2434</v>
      </c>
      <c r="C1121" s="76" t="s">
        <v>162</v>
      </c>
      <c r="D1121" s="71">
        <v>38</v>
      </c>
      <c r="E1121" s="85">
        <v>45357</v>
      </c>
      <c r="F1121" s="85">
        <v>45364</v>
      </c>
      <c r="G1121" s="67" t="s">
        <v>234</v>
      </c>
      <c r="H1121" s="60" t="s">
        <v>65</v>
      </c>
      <c r="I1121" s="89">
        <v>45367</v>
      </c>
      <c r="J1121" s="67" t="s">
        <v>234</v>
      </c>
      <c r="K1121" s="71">
        <v>350</v>
      </c>
      <c r="L1121" s="73"/>
      <c r="M1121" s="73"/>
      <c r="N1121" s="73"/>
    </row>
    <row r="1122" spans="1:14" ht="18.45" customHeight="1" x14ac:dyDescent="0.3">
      <c r="A1122" s="99" t="s">
        <v>2435</v>
      </c>
      <c r="B1122" s="75" t="s">
        <v>2436</v>
      </c>
      <c r="C1122" s="99" t="s">
        <v>99</v>
      </c>
      <c r="D1122" s="71">
        <v>71</v>
      </c>
      <c r="E1122" s="85">
        <v>45366</v>
      </c>
      <c r="F1122" s="85">
        <v>45367</v>
      </c>
      <c r="G1122" s="67" t="s">
        <v>234</v>
      </c>
      <c r="H1122" s="60" t="s">
        <v>65</v>
      </c>
      <c r="I1122" s="89">
        <v>45367</v>
      </c>
      <c r="J1122" s="67" t="s">
        <v>234</v>
      </c>
      <c r="K1122" s="71">
        <v>150</v>
      </c>
      <c r="L1122" s="73"/>
      <c r="M1122" s="73"/>
      <c r="N1122" s="73"/>
    </row>
    <row r="1123" spans="1:14" ht="18.45" customHeight="1" x14ac:dyDescent="0.3">
      <c r="A1123" s="76" t="s">
        <v>2437</v>
      </c>
      <c r="B1123" s="60" t="s">
        <v>2438</v>
      </c>
      <c r="C1123" s="76" t="s">
        <v>94</v>
      </c>
      <c r="D1123" s="60">
        <v>85</v>
      </c>
      <c r="E1123" s="89">
        <v>45308</v>
      </c>
      <c r="F1123" s="89">
        <v>45309</v>
      </c>
      <c r="G1123" s="67" t="s">
        <v>234</v>
      </c>
      <c r="H1123" s="60" t="s">
        <v>65</v>
      </c>
      <c r="I1123" s="89">
        <v>45367</v>
      </c>
      <c r="J1123" s="67" t="s">
        <v>234</v>
      </c>
      <c r="K1123" s="60">
        <v>50</v>
      </c>
      <c r="L1123" s="73"/>
      <c r="M1123" s="73"/>
      <c r="N1123" s="73"/>
    </row>
    <row r="1124" spans="1:14" ht="18.45" customHeight="1" x14ac:dyDescent="0.3">
      <c r="A1124" s="48" t="s">
        <v>2439</v>
      </c>
      <c r="B1124" s="50" t="s">
        <v>2440</v>
      </c>
      <c r="C1124" s="76" t="s">
        <v>117</v>
      </c>
      <c r="D1124" s="62">
        <v>48</v>
      </c>
      <c r="E1124" s="54">
        <v>45343</v>
      </c>
      <c r="F1124" s="54">
        <v>45345</v>
      </c>
      <c r="G1124" s="67" t="s">
        <v>234</v>
      </c>
      <c r="H1124" s="60" t="s">
        <v>68</v>
      </c>
      <c r="I1124" s="89">
        <v>45367</v>
      </c>
      <c r="J1124" s="67" t="s">
        <v>234</v>
      </c>
      <c r="K1124" s="62">
        <v>100</v>
      </c>
      <c r="L1124" s="73"/>
      <c r="M1124" s="73"/>
      <c r="N1124" s="73"/>
    </row>
    <row r="1125" spans="1:14" ht="18.45" customHeight="1" x14ac:dyDescent="0.3">
      <c r="A1125" s="49" t="s">
        <v>2441</v>
      </c>
      <c r="B1125" s="49" t="s">
        <v>2442</v>
      </c>
      <c r="C1125" s="48" t="s">
        <v>103</v>
      </c>
      <c r="D1125" s="71">
        <v>38</v>
      </c>
      <c r="E1125" s="57">
        <v>45361</v>
      </c>
      <c r="F1125" s="57">
        <v>45363</v>
      </c>
      <c r="G1125" s="67" t="s">
        <v>234</v>
      </c>
      <c r="H1125" s="60" t="s">
        <v>65</v>
      </c>
      <c r="I1125" s="89">
        <v>45367</v>
      </c>
      <c r="J1125" s="67" t="s">
        <v>234</v>
      </c>
      <c r="K1125" s="71">
        <v>150</v>
      </c>
      <c r="L1125" s="73"/>
      <c r="M1125" s="73"/>
      <c r="N1125" s="73"/>
    </row>
    <row r="1126" spans="1:14" ht="18.45" customHeight="1" x14ac:dyDescent="0.3">
      <c r="A1126" s="49" t="s">
        <v>2443</v>
      </c>
      <c r="B1126" s="49" t="s">
        <v>2444</v>
      </c>
      <c r="C1126" s="76" t="s">
        <v>163</v>
      </c>
      <c r="D1126" s="71">
        <v>444</v>
      </c>
      <c r="E1126" s="57">
        <v>45362</v>
      </c>
      <c r="F1126" s="57">
        <v>45363</v>
      </c>
      <c r="G1126" s="67" t="s">
        <v>234</v>
      </c>
      <c r="H1126" s="60" t="s">
        <v>65</v>
      </c>
      <c r="I1126" s="89">
        <v>45367</v>
      </c>
      <c r="J1126" s="67" t="s">
        <v>234</v>
      </c>
      <c r="K1126" s="71">
        <v>300</v>
      </c>
      <c r="L1126" s="73"/>
      <c r="M1126" s="73"/>
      <c r="N1126" s="73"/>
    </row>
    <row r="1127" spans="1:14" ht="18.45" customHeight="1" x14ac:dyDescent="0.3">
      <c r="A1127" s="99" t="s">
        <v>2445</v>
      </c>
      <c r="B1127" s="75" t="s">
        <v>2446</v>
      </c>
      <c r="C1127" s="99" t="s">
        <v>164</v>
      </c>
      <c r="D1127" s="71">
        <v>444</v>
      </c>
      <c r="E1127" s="85">
        <v>45360</v>
      </c>
      <c r="F1127" s="85">
        <v>45362</v>
      </c>
      <c r="G1127" s="67" t="s">
        <v>234</v>
      </c>
      <c r="H1127" s="60" t="s">
        <v>65</v>
      </c>
      <c r="I1127" s="89">
        <v>45367</v>
      </c>
      <c r="J1127" s="67" t="s">
        <v>234</v>
      </c>
      <c r="K1127" s="71">
        <v>350</v>
      </c>
      <c r="L1127" s="73"/>
      <c r="M1127" s="73"/>
      <c r="N1127" s="73"/>
    </row>
    <row r="1128" spans="1:14" ht="18.45" customHeight="1" x14ac:dyDescent="0.3">
      <c r="A1128" s="51" t="s">
        <v>2447</v>
      </c>
      <c r="B1128" s="51" t="s">
        <v>2448</v>
      </c>
      <c r="C1128" s="51" t="s">
        <v>2507</v>
      </c>
      <c r="D1128" s="84">
        <v>17</v>
      </c>
      <c r="E1128" s="54">
        <v>45366</v>
      </c>
      <c r="F1128" s="54">
        <v>45366</v>
      </c>
      <c r="G1128" s="67" t="s">
        <v>234</v>
      </c>
      <c r="H1128" s="51" t="s">
        <v>65</v>
      </c>
      <c r="I1128" s="54">
        <v>45367</v>
      </c>
      <c r="J1128" s="67" t="s">
        <v>234</v>
      </c>
      <c r="K1128" s="51">
        <v>100</v>
      </c>
      <c r="L1128" s="73"/>
      <c r="M1128" s="73"/>
      <c r="N1128" s="73"/>
    </row>
    <row r="1129" spans="1:14" ht="18.45" customHeight="1" x14ac:dyDescent="0.3">
      <c r="A1129" s="51" t="s">
        <v>2449</v>
      </c>
      <c r="B1129" s="51" t="s">
        <v>2450</v>
      </c>
      <c r="C1129" s="51" t="s">
        <v>2494</v>
      </c>
      <c r="D1129" s="84">
        <v>4</v>
      </c>
      <c r="E1129" s="54">
        <v>45366</v>
      </c>
      <c r="F1129" s="54">
        <v>45366</v>
      </c>
      <c r="G1129" s="67" t="s">
        <v>234</v>
      </c>
      <c r="H1129" s="51" t="s">
        <v>65</v>
      </c>
      <c r="I1129" s="54">
        <v>45367</v>
      </c>
      <c r="J1129" s="67" t="s">
        <v>234</v>
      </c>
      <c r="K1129" s="51">
        <v>500</v>
      </c>
      <c r="L1129" s="73"/>
      <c r="M1129" s="73"/>
      <c r="N1129" s="73"/>
    </row>
    <row r="1130" spans="1:14" ht="18.45" customHeight="1" x14ac:dyDescent="0.3">
      <c r="A1130" s="51" t="s">
        <v>2451</v>
      </c>
      <c r="B1130" s="51" t="s">
        <v>2452</v>
      </c>
      <c r="C1130" s="51" t="s">
        <v>220</v>
      </c>
      <c r="D1130" s="84">
        <v>50</v>
      </c>
      <c r="E1130" s="54">
        <v>45366</v>
      </c>
      <c r="F1130" s="54">
        <v>45366</v>
      </c>
      <c r="G1130" s="67" t="s">
        <v>234</v>
      </c>
      <c r="H1130" s="51" t="s">
        <v>65</v>
      </c>
      <c r="I1130" s="54">
        <v>45367</v>
      </c>
      <c r="J1130" s="67" t="s">
        <v>234</v>
      </c>
      <c r="K1130" s="51">
        <v>200</v>
      </c>
      <c r="L1130" s="73"/>
      <c r="M1130" s="73"/>
      <c r="N1130" s="73"/>
    </row>
    <row r="1131" spans="1:14" ht="18.45" customHeight="1" x14ac:dyDescent="0.3">
      <c r="A1131" s="51" t="s">
        <v>2453</v>
      </c>
      <c r="B1131" s="51" t="s">
        <v>2454</v>
      </c>
      <c r="C1131" s="51" t="s">
        <v>220</v>
      </c>
      <c r="D1131" s="84">
        <v>71</v>
      </c>
      <c r="E1131" s="54">
        <v>45366</v>
      </c>
      <c r="F1131" s="54">
        <v>45366</v>
      </c>
      <c r="G1131" s="67" t="s">
        <v>234</v>
      </c>
      <c r="H1131" s="51" t="s">
        <v>65</v>
      </c>
      <c r="I1131" s="54">
        <v>45367</v>
      </c>
      <c r="J1131" s="67" t="s">
        <v>234</v>
      </c>
      <c r="K1131" s="51">
        <v>200</v>
      </c>
      <c r="L1131" s="73"/>
      <c r="M1131" s="73"/>
      <c r="N1131" s="73"/>
    </row>
    <row r="1132" spans="1:14" ht="18.45" customHeight="1" x14ac:dyDescent="0.3">
      <c r="A1132" s="51" t="s">
        <v>2455</v>
      </c>
      <c r="B1132" s="51" t="s">
        <v>2456</v>
      </c>
      <c r="C1132" s="51" t="s">
        <v>229</v>
      </c>
      <c r="D1132" s="51">
        <v>32</v>
      </c>
      <c r="E1132" s="58">
        <v>45363</v>
      </c>
      <c r="F1132" s="58">
        <v>45364</v>
      </c>
      <c r="G1132" s="67" t="s">
        <v>234</v>
      </c>
      <c r="H1132" s="51" t="s">
        <v>65</v>
      </c>
      <c r="I1132" s="61">
        <v>45367</v>
      </c>
      <c r="J1132" s="67" t="s">
        <v>234</v>
      </c>
      <c r="K1132" s="51">
        <v>300</v>
      </c>
      <c r="L1132" s="73"/>
      <c r="M1132" s="73"/>
      <c r="N1132" s="73"/>
    </row>
    <row r="1133" spans="1:14" ht="18.45" customHeight="1" x14ac:dyDescent="0.3">
      <c r="A1133" s="51" t="s">
        <v>2457</v>
      </c>
      <c r="B1133" s="51" t="s">
        <v>2458</v>
      </c>
      <c r="C1133" s="51" t="s">
        <v>231</v>
      </c>
      <c r="D1133" s="51">
        <v>29</v>
      </c>
      <c r="E1133" s="58">
        <v>45358</v>
      </c>
      <c r="F1133" s="58">
        <v>45363</v>
      </c>
      <c r="G1133" s="67" t="s">
        <v>234</v>
      </c>
      <c r="H1133" s="51" t="s">
        <v>65</v>
      </c>
      <c r="I1133" s="61">
        <v>45367</v>
      </c>
      <c r="J1133" s="67" t="s">
        <v>234</v>
      </c>
      <c r="K1133" s="51">
        <v>250</v>
      </c>
      <c r="L1133" s="73"/>
      <c r="M1133" s="73"/>
      <c r="N1133" s="73"/>
    </row>
    <row r="1134" spans="1:14" ht="18.45" customHeight="1" x14ac:dyDescent="0.3">
      <c r="A1134" s="48" t="s">
        <v>152</v>
      </c>
      <c r="B1134" s="50" t="s">
        <v>153</v>
      </c>
      <c r="C1134" s="48" t="s">
        <v>95</v>
      </c>
      <c r="D1134" s="62">
        <v>4</v>
      </c>
      <c r="E1134" s="54">
        <v>45357</v>
      </c>
      <c r="F1134" s="54">
        <v>45362</v>
      </c>
      <c r="G1134" s="67" t="s">
        <v>234</v>
      </c>
      <c r="H1134" s="60" t="s">
        <v>65</v>
      </c>
      <c r="I1134" s="89">
        <v>45369</v>
      </c>
      <c r="J1134" s="67" t="s">
        <v>234</v>
      </c>
      <c r="K1134" s="62">
        <v>370</v>
      </c>
      <c r="L1134" s="73"/>
      <c r="M1134" s="73"/>
      <c r="N1134" s="73"/>
    </row>
    <row r="1135" spans="1:14" ht="18.45" customHeight="1" x14ac:dyDescent="0.3">
      <c r="A1135" s="48" t="s">
        <v>158</v>
      </c>
      <c r="B1135" s="50" t="s">
        <v>159</v>
      </c>
      <c r="C1135" s="76" t="s">
        <v>99</v>
      </c>
      <c r="D1135" s="62">
        <v>61</v>
      </c>
      <c r="E1135" s="54">
        <v>45364</v>
      </c>
      <c r="F1135" s="54">
        <v>45365</v>
      </c>
      <c r="G1135" s="67" t="s">
        <v>234</v>
      </c>
      <c r="H1135" s="60" t="s">
        <v>65</v>
      </c>
      <c r="I1135" s="89">
        <v>45369</v>
      </c>
      <c r="J1135" s="67" t="s">
        <v>234</v>
      </c>
      <c r="K1135" s="62">
        <v>350</v>
      </c>
      <c r="L1135" s="73"/>
      <c r="M1135" s="73"/>
      <c r="N1135" s="73"/>
    </row>
    <row r="1136" spans="1:14" ht="18.45" customHeight="1" x14ac:dyDescent="0.3">
      <c r="A1136" s="76" t="s">
        <v>128</v>
      </c>
      <c r="B1136" s="60" t="s">
        <v>133</v>
      </c>
      <c r="C1136" s="76" t="s">
        <v>101</v>
      </c>
      <c r="D1136" s="55">
        <v>108</v>
      </c>
      <c r="E1136" s="89">
        <v>45191</v>
      </c>
      <c r="F1136" s="89">
        <v>45218</v>
      </c>
      <c r="G1136" s="67" t="s">
        <v>234</v>
      </c>
      <c r="H1136" s="60" t="s">
        <v>68</v>
      </c>
      <c r="I1136" s="89">
        <v>45369</v>
      </c>
      <c r="J1136" s="67" t="s">
        <v>234</v>
      </c>
      <c r="K1136" s="60">
        <v>150</v>
      </c>
      <c r="L1136" s="73"/>
      <c r="M1136" s="73"/>
      <c r="N1136" s="73"/>
    </row>
    <row r="1137" spans="1:14" ht="18.45" customHeight="1" x14ac:dyDescent="0.3">
      <c r="A1137" s="48" t="s">
        <v>143</v>
      </c>
      <c r="B1137" s="50" t="s">
        <v>144</v>
      </c>
      <c r="C1137" s="76" t="s">
        <v>165</v>
      </c>
      <c r="D1137" s="62">
        <v>78</v>
      </c>
      <c r="E1137" s="54">
        <v>45356</v>
      </c>
      <c r="F1137" s="54">
        <v>45359</v>
      </c>
      <c r="G1137" s="67" t="s">
        <v>234</v>
      </c>
      <c r="H1137" s="60" t="s">
        <v>65</v>
      </c>
      <c r="I1137" s="89">
        <v>45369</v>
      </c>
      <c r="J1137" s="67" t="s">
        <v>234</v>
      </c>
      <c r="K1137" s="62">
        <v>250</v>
      </c>
      <c r="L1137" s="73"/>
      <c r="M1137" s="73"/>
      <c r="N1137" s="73"/>
    </row>
    <row r="1138" spans="1:14" ht="18.45" customHeight="1" x14ac:dyDescent="0.3">
      <c r="A1138" s="48" t="s">
        <v>154</v>
      </c>
      <c r="B1138" s="50" t="s">
        <v>155</v>
      </c>
      <c r="C1138" s="76" t="s">
        <v>163</v>
      </c>
      <c r="D1138" s="62">
        <v>13</v>
      </c>
      <c r="E1138" s="54">
        <v>45365</v>
      </c>
      <c r="F1138" s="54">
        <v>45367</v>
      </c>
      <c r="G1138" s="67" t="s">
        <v>234</v>
      </c>
      <c r="H1138" s="60" t="s">
        <v>65</v>
      </c>
      <c r="I1138" s="89">
        <v>45369</v>
      </c>
      <c r="J1138" s="67" t="s">
        <v>234</v>
      </c>
      <c r="K1138" s="62">
        <v>150</v>
      </c>
      <c r="L1138" s="73"/>
      <c r="M1138" s="73"/>
      <c r="N1138" s="73"/>
    </row>
    <row r="1139" spans="1:14" ht="18.45" customHeight="1" x14ac:dyDescent="0.3">
      <c r="A1139" s="76" t="s">
        <v>2134</v>
      </c>
      <c r="B1139" s="60" t="s">
        <v>2135</v>
      </c>
      <c r="C1139" s="76" t="s">
        <v>91</v>
      </c>
      <c r="D1139" s="60">
        <v>104</v>
      </c>
      <c r="E1139" s="89">
        <v>45333</v>
      </c>
      <c r="F1139" s="89">
        <v>45335</v>
      </c>
      <c r="G1139" s="67" t="s">
        <v>234</v>
      </c>
      <c r="H1139" s="60" t="s">
        <v>65</v>
      </c>
      <c r="I1139" s="89">
        <v>45369</v>
      </c>
      <c r="J1139" s="67" t="s">
        <v>234</v>
      </c>
      <c r="K1139" s="60">
        <v>350</v>
      </c>
      <c r="L1139" s="73"/>
      <c r="M1139" s="73"/>
      <c r="N1139" s="73"/>
    </row>
    <row r="1140" spans="1:14" ht="18.45" customHeight="1" x14ac:dyDescent="0.3">
      <c r="A1140" s="48" t="s">
        <v>139</v>
      </c>
      <c r="B1140" s="48" t="s">
        <v>140</v>
      </c>
      <c r="C1140" s="48" t="s">
        <v>95</v>
      </c>
      <c r="D1140" s="62">
        <v>18</v>
      </c>
      <c r="E1140" s="56">
        <v>45338</v>
      </c>
      <c r="F1140" s="56">
        <v>45351</v>
      </c>
      <c r="G1140" s="67" t="s">
        <v>234</v>
      </c>
      <c r="H1140" s="60" t="s">
        <v>65</v>
      </c>
      <c r="I1140" s="89">
        <v>45369</v>
      </c>
      <c r="J1140" s="67" t="s">
        <v>234</v>
      </c>
      <c r="K1140" s="62">
        <v>100</v>
      </c>
      <c r="L1140" s="73"/>
      <c r="M1140" s="73"/>
      <c r="N1140" s="73"/>
    </row>
    <row r="1141" spans="1:14" ht="18.45" customHeight="1" x14ac:dyDescent="0.3">
      <c r="A1141" s="51" t="s">
        <v>2459</v>
      </c>
      <c r="B1141" s="51" t="s">
        <v>2460</v>
      </c>
      <c r="C1141" s="51" t="s">
        <v>224</v>
      </c>
      <c r="D1141" s="84">
        <v>11</v>
      </c>
      <c r="E1141" s="54">
        <v>45367</v>
      </c>
      <c r="F1141" s="54">
        <v>45367</v>
      </c>
      <c r="G1141" s="67" t="s">
        <v>234</v>
      </c>
      <c r="H1141" s="51" t="s">
        <v>65</v>
      </c>
      <c r="I1141" s="54">
        <v>45369</v>
      </c>
      <c r="J1141" s="67" t="s">
        <v>234</v>
      </c>
      <c r="K1141" s="51">
        <v>200</v>
      </c>
      <c r="L1141" s="73"/>
      <c r="M1141" s="73"/>
      <c r="N1141" s="73"/>
    </row>
    <row r="1142" spans="1:14" ht="18.45" customHeight="1" x14ac:dyDescent="0.3">
      <c r="A1142" s="51" t="s">
        <v>2461</v>
      </c>
      <c r="B1142" s="51" t="s">
        <v>2462</v>
      </c>
      <c r="C1142" s="51" t="s">
        <v>220</v>
      </c>
      <c r="D1142" s="84">
        <v>35</v>
      </c>
      <c r="E1142" s="54">
        <v>45367</v>
      </c>
      <c r="F1142" s="54">
        <v>45367</v>
      </c>
      <c r="G1142" s="67" t="s">
        <v>234</v>
      </c>
      <c r="H1142" s="51" t="s">
        <v>65</v>
      </c>
      <c r="I1142" s="54">
        <v>45369</v>
      </c>
      <c r="J1142" s="67" t="s">
        <v>234</v>
      </c>
      <c r="K1142" s="51">
        <v>200</v>
      </c>
      <c r="L1142" s="73"/>
      <c r="M1142" s="73"/>
      <c r="N1142" s="73"/>
    </row>
    <row r="1143" spans="1:14" ht="18.45" customHeight="1" x14ac:dyDescent="0.3">
      <c r="A1143" s="51" t="s">
        <v>2463</v>
      </c>
      <c r="B1143" s="51" t="s">
        <v>2464</v>
      </c>
      <c r="C1143" s="51" t="s">
        <v>220</v>
      </c>
      <c r="D1143" s="84">
        <v>62</v>
      </c>
      <c r="E1143" s="54">
        <v>45368</v>
      </c>
      <c r="F1143" s="54">
        <v>45369</v>
      </c>
      <c r="G1143" s="67" t="s">
        <v>234</v>
      </c>
      <c r="H1143" s="51" t="s">
        <v>65</v>
      </c>
      <c r="I1143" s="54">
        <v>45369</v>
      </c>
      <c r="J1143" s="67" t="s">
        <v>234</v>
      </c>
      <c r="K1143" s="51">
        <v>200</v>
      </c>
      <c r="L1143" s="73"/>
      <c r="M1143" s="73"/>
      <c r="N1143" s="73"/>
    </row>
    <row r="1144" spans="1:14" ht="18.45" customHeight="1" x14ac:dyDescent="0.3">
      <c r="A1144" s="51" t="s">
        <v>2465</v>
      </c>
      <c r="B1144" s="51" t="s">
        <v>2466</v>
      </c>
      <c r="C1144" s="51" t="s">
        <v>223</v>
      </c>
      <c r="D1144" s="84">
        <v>67</v>
      </c>
      <c r="E1144" s="54">
        <v>45367</v>
      </c>
      <c r="F1144" s="54">
        <v>45367</v>
      </c>
      <c r="G1144" s="67" t="s">
        <v>234</v>
      </c>
      <c r="H1144" s="51" t="s">
        <v>65</v>
      </c>
      <c r="I1144" s="54">
        <v>45369</v>
      </c>
      <c r="J1144" s="67" t="s">
        <v>234</v>
      </c>
      <c r="K1144" s="51">
        <v>300</v>
      </c>
      <c r="L1144" s="73"/>
      <c r="M1144" s="73"/>
      <c r="N1144" s="73"/>
    </row>
    <row r="1145" spans="1:14" ht="18.45" customHeight="1" x14ac:dyDescent="0.3">
      <c r="A1145" s="51" t="s">
        <v>2467</v>
      </c>
      <c r="B1145" s="51" t="s">
        <v>2468</v>
      </c>
      <c r="C1145" s="51" t="s">
        <v>223</v>
      </c>
      <c r="D1145" s="84">
        <v>107</v>
      </c>
      <c r="E1145" s="54">
        <v>45367</v>
      </c>
      <c r="F1145" s="54">
        <v>45367</v>
      </c>
      <c r="G1145" s="67" t="s">
        <v>234</v>
      </c>
      <c r="H1145" s="51" t="s">
        <v>65</v>
      </c>
      <c r="I1145" s="54">
        <v>45369</v>
      </c>
      <c r="J1145" s="67" t="s">
        <v>234</v>
      </c>
      <c r="K1145" s="51">
        <v>200</v>
      </c>
      <c r="L1145" s="73"/>
      <c r="M1145" s="73"/>
      <c r="N1145" s="73"/>
    </row>
    <row r="1146" spans="1:14" ht="18.45" customHeight="1" x14ac:dyDescent="0.3">
      <c r="A1146" s="51" t="s">
        <v>191</v>
      </c>
      <c r="B1146" s="51" t="s">
        <v>192</v>
      </c>
      <c r="C1146" s="51" t="s">
        <v>232</v>
      </c>
      <c r="D1146" s="51">
        <v>11</v>
      </c>
      <c r="E1146" s="58">
        <v>45363</v>
      </c>
      <c r="F1146" s="58">
        <v>45364</v>
      </c>
      <c r="G1146" s="67" t="s">
        <v>234</v>
      </c>
      <c r="H1146" s="51" t="s">
        <v>65</v>
      </c>
      <c r="I1146" s="61">
        <v>45369</v>
      </c>
      <c r="J1146" s="67" t="s">
        <v>234</v>
      </c>
      <c r="K1146" s="51">
        <v>150</v>
      </c>
      <c r="L1146" s="73"/>
      <c r="M1146" s="73"/>
      <c r="N1146" s="73"/>
    </row>
    <row r="1147" spans="1:14" ht="18.45" customHeight="1" x14ac:dyDescent="0.3">
      <c r="A1147" s="51" t="s">
        <v>203</v>
      </c>
      <c r="B1147" s="51" t="s">
        <v>204</v>
      </c>
      <c r="C1147" s="51" t="s">
        <v>232</v>
      </c>
      <c r="D1147" s="51">
        <v>50</v>
      </c>
      <c r="E1147" s="58">
        <v>45362</v>
      </c>
      <c r="F1147" s="58">
        <v>45363</v>
      </c>
      <c r="G1147" s="67" t="s">
        <v>234</v>
      </c>
      <c r="H1147" s="51" t="s">
        <v>65</v>
      </c>
      <c r="I1147" s="61">
        <v>45369</v>
      </c>
      <c r="J1147" s="67" t="s">
        <v>234</v>
      </c>
      <c r="K1147" s="51">
        <v>70</v>
      </c>
      <c r="L1147" s="73"/>
      <c r="M1147" s="73"/>
      <c r="N1147" s="73"/>
    </row>
    <row r="1148" spans="1:14" ht="18.45" customHeight="1" x14ac:dyDescent="0.3">
      <c r="A1148" s="51" t="s">
        <v>195</v>
      </c>
      <c r="B1148" s="51" t="s">
        <v>196</v>
      </c>
      <c r="C1148" s="51" t="s">
        <v>113</v>
      </c>
      <c r="D1148" s="51">
        <v>71</v>
      </c>
      <c r="E1148" s="58">
        <v>45352</v>
      </c>
      <c r="F1148" s="58">
        <v>45364</v>
      </c>
      <c r="G1148" s="67" t="s">
        <v>234</v>
      </c>
      <c r="H1148" s="51" t="s">
        <v>65</v>
      </c>
      <c r="I1148" s="61">
        <v>45369</v>
      </c>
      <c r="J1148" s="67" t="s">
        <v>234</v>
      </c>
      <c r="K1148" s="51">
        <v>60</v>
      </c>
      <c r="L1148" s="73"/>
      <c r="M1148" s="73"/>
      <c r="N1148" s="73"/>
    </row>
    <row r="1149" spans="1:14" ht="18.45" customHeight="1" x14ac:dyDescent="0.3">
      <c r="A1149" s="51" t="s">
        <v>205</v>
      </c>
      <c r="B1149" s="51" t="s">
        <v>206</v>
      </c>
      <c r="C1149" s="51" t="s">
        <v>227</v>
      </c>
      <c r="D1149" s="51">
        <v>86</v>
      </c>
      <c r="E1149" s="58">
        <v>45359</v>
      </c>
      <c r="F1149" s="58">
        <v>45360</v>
      </c>
      <c r="G1149" s="67" t="s">
        <v>234</v>
      </c>
      <c r="H1149" s="51" t="s">
        <v>65</v>
      </c>
      <c r="I1149" s="61">
        <v>45369</v>
      </c>
      <c r="J1149" s="67" t="s">
        <v>234</v>
      </c>
      <c r="K1149" s="51">
        <v>150</v>
      </c>
      <c r="L1149" s="73"/>
      <c r="M1149" s="73"/>
      <c r="N1149" s="73"/>
    </row>
    <row r="1150" spans="1:14" ht="18.45" customHeight="1" x14ac:dyDescent="0.3">
      <c r="A1150" s="51" t="s">
        <v>187</v>
      </c>
      <c r="B1150" s="51" t="s">
        <v>188</v>
      </c>
      <c r="C1150" s="51" t="s">
        <v>227</v>
      </c>
      <c r="D1150" s="51">
        <v>67</v>
      </c>
      <c r="E1150" s="58">
        <v>45363</v>
      </c>
      <c r="F1150" s="58">
        <v>45364</v>
      </c>
      <c r="G1150" s="67" t="s">
        <v>234</v>
      </c>
      <c r="H1150" s="51" t="s">
        <v>65</v>
      </c>
      <c r="I1150" s="61">
        <v>45369</v>
      </c>
      <c r="J1150" s="67" t="s">
        <v>234</v>
      </c>
      <c r="K1150" s="51">
        <v>250</v>
      </c>
      <c r="L1150" s="73"/>
      <c r="M1150" s="73"/>
      <c r="N1150" s="73"/>
    </row>
    <row r="1151" spans="1:14" ht="18.45" customHeight="1" x14ac:dyDescent="0.3">
      <c r="A1151" s="51" t="s">
        <v>201</v>
      </c>
      <c r="B1151" s="51" t="s">
        <v>202</v>
      </c>
      <c r="C1151" s="51" t="s">
        <v>231</v>
      </c>
      <c r="D1151" s="51">
        <v>22</v>
      </c>
      <c r="E1151" s="58">
        <v>45363</v>
      </c>
      <c r="F1151" s="58">
        <v>45364</v>
      </c>
      <c r="G1151" s="67" t="s">
        <v>234</v>
      </c>
      <c r="H1151" s="51" t="s">
        <v>65</v>
      </c>
      <c r="I1151" s="61">
        <v>45369</v>
      </c>
      <c r="J1151" s="67" t="s">
        <v>234</v>
      </c>
      <c r="K1151" s="51">
        <v>200</v>
      </c>
      <c r="L1151" s="73"/>
      <c r="M1151" s="73"/>
      <c r="N1151" s="73"/>
    </row>
    <row r="1152" spans="1:14" ht="18.45" customHeight="1" x14ac:dyDescent="0.3">
      <c r="A1152" s="51" t="s">
        <v>199</v>
      </c>
      <c r="B1152" s="51" t="s">
        <v>200</v>
      </c>
      <c r="C1152" s="51" t="s">
        <v>113</v>
      </c>
      <c r="D1152" s="51">
        <v>9</v>
      </c>
      <c r="E1152" s="58">
        <v>45356</v>
      </c>
      <c r="F1152" s="58">
        <v>45359</v>
      </c>
      <c r="G1152" s="67" t="s">
        <v>234</v>
      </c>
      <c r="H1152" s="51" t="s">
        <v>65</v>
      </c>
      <c r="I1152" s="61">
        <v>45369</v>
      </c>
      <c r="J1152" s="67" t="s">
        <v>234</v>
      </c>
      <c r="K1152" s="51">
        <v>200</v>
      </c>
      <c r="L1152" s="73"/>
      <c r="M1152" s="73"/>
      <c r="N1152" s="73"/>
    </row>
    <row r="1153" spans="1:14" ht="18.45" customHeight="1" x14ac:dyDescent="0.3">
      <c r="A1153" s="51" t="s">
        <v>183</v>
      </c>
      <c r="B1153" s="51" t="s">
        <v>184</v>
      </c>
      <c r="C1153" s="51" t="s">
        <v>231</v>
      </c>
      <c r="D1153" s="51">
        <v>22</v>
      </c>
      <c r="E1153" s="58">
        <v>45362</v>
      </c>
      <c r="F1153" s="58">
        <v>45363</v>
      </c>
      <c r="G1153" s="67" t="s">
        <v>234</v>
      </c>
      <c r="H1153" s="51" t="s">
        <v>65</v>
      </c>
      <c r="I1153" s="61">
        <v>45369</v>
      </c>
      <c r="J1153" s="67" t="s">
        <v>234</v>
      </c>
      <c r="K1153" s="51">
        <v>200</v>
      </c>
      <c r="L1153" s="73"/>
      <c r="M1153" s="73"/>
      <c r="N1153" s="73"/>
    </row>
    <row r="1154" spans="1:14" ht="18.45" customHeight="1" x14ac:dyDescent="0.3">
      <c r="A1154" s="51" t="s">
        <v>197</v>
      </c>
      <c r="B1154" s="51" t="s">
        <v>198</v>
      </c>
      <c r="C1154" s="51" t="s">
        <v>113</v>
      </c>
      <c r="D1154" s="51">
        <v>5</v>
      </c>
      <c r="E1154" s="58">
        <v>45357</v>
      </c>
      <c r="F1154" s="58">
        <v>45359</v>
      </c>
      <c r="G1154" s="67" t="s">
        <v>234</v>
      </c>
      <c r="H1154" s="51" t="s">
        <v>65</v>
      </c>
      <c r="I1154" s="61">
        <v>45369</v>
      </c>
      <c r="J1154" s="67" t="s">
        <v>234</v>
      </c>
      <c r="K1154" s="51">
        <v>300</v>
      </c>
      <c r="L1154" s="73"/>
      <c r="M1154" s="73"/>
      <c r="N1154" s="73"/>
    </row>
    <row r="1155" spans="1:14" ht="18.45" customHeight="1" x14ac:dyDescent="0.3">
      <c r="A1155" s="51" t="s">
        <v>193</v>
      </c>
      <c r="B1155" s="51" t="s">
        <v>194</v>
      </c>
      <c r="C1155" s="51" t="s">
        <v>138</v>
      </c>
      <c r="D1155" s="51">
        <v>5</v>
      </c>
      <c r="E1155" s="58">
        <v>45356</v>
      </c>
      <c r="F1155" s="58">
        <v>45359</v>
      </c>
      <c r="G1155" s="67" t="s">
        <v>234</v>
      </c>
      <c r="H1155" s="51" t="s">
        <v>65</v>
      </c>
      <c r="I1155" s="61">
        <v>45369</v>
      </c>
      <c r="J1155" s="67" t="s">
        <v>234</v>
      </c>
      <c r="K1155" s="51">
        <v>150</v>
      </c>
      <c r="L1155" s="73"/>
      <c r="M1155" s="73"/>
      <c r="N1155" s="73"/>
    </row>
    <row r="1156" spans="1:14" ht="18.45" customHeight="1" x14ac:dyDescent="0.3">
      <c r="A1156" s="51" t="s">
        <v>185</v>
      </c>
      <c r="B1156" s="51" t="s">
        <v>186</v>
      </c>
      <c r="C1156" s="51" t="s">
        <v>229</v>
      </c>
      <c r="D1156" s="51">
        <v>25</v>
      </c>
      <c r="E1156" s="58">
        <v>45361</v>
      </c>
      <c r="F1156" s="58">
        <v>45364</v>
      </c>
      <c r="G1156" s="67" t="s">
        <v>234</v>
      </c>
      <c r="H1156" s="51" t="s">
        <v>65</v>
      </c>
      <c r="I1156" s="61">
        <v>45369</v>
      </c>
      <c r="J1156" s="67" t="s">
        <v>234</v>
      </c>
      <c r="K1156" s="51">
        <v>350</v>
      </c>
      <c r="L1156" s="73"/>
      <c r="M1156" s="73"/>
      <c r="N1156" s="73"/>
    </row>
    <row r="1157" spans="1:14" ht="18.45" customHeight="1" x14ac:dyDescent="0.3">
      <c r="A1157" s="51" t="s">
        <v>181</v>
      </c>
      <c r="B1157" s="51" t="s">
        <v>182</v>
      </c>
      <c r="C1157" s="51" t="s">
        <v>229</v>
      </c>
      <c r="D1157" s="51">
        <v>1</v>
      </c>
      <c r="E1157" s="58">
        <v>45362</v>
      </c>
      <c r="F1157" s="58">
        <v>45363</v>
      </c>
      <c r="G1157" s="67" t="s">
        <v>234</v>
      </c>
      <c r="H1157" s="51" t="s">
        <v>65</v>
      </c>
      <c r="I1157" s="61">
        <v>45369</v>
      </c>
      <c r="J1157" s="67" t="s">
        <v>234</v>
      </c>
      <c r="K1157" s="51">
        <v>350</v>
      </c>
      <c r="L1157" s="73"/>
      <c r="M1157" s="73"/>
      <c r="N1157" s="73"/>
    </row>
    <row r="1158" spans="1:14" ht="18.45" customHeight="1" x14ac:dyDescent="0.3">
      <c r="A1158" s="48" t="s">
        <v>141</v>
      </c>
      <c r="B1158" s="48" t="s">
        <v>142</v>
      </c>
      <c r="C1158" s="48" t="s">
        <v>134</v>
      </c>
      <c r="D1158" s="62">
        <v>8</v>
      </c>
      <c r="E1158" s="56">
        <v>45351</v>
      </c>
      <c r="F1158" s="56">
        <v>45351</v>
      </c>
      <c r="G1158" s="67" t="s">
        <v>234</v>
      </c>
      <c r="H1158" s="60" t="s">
        <v>65</v>
      </c>
      <c r="I1158" s="89">
        <v>45370</v>
      </c>
      <c r="J1158" s="67" t="s">
        <v>234</v>
      </c>
      <c r="K1158" s="62">
        <v>450</v>
      </c>
      <c r="L1158" s="73"/>
      <c r="M1158" s="73"/>
      <c r="N1158" s="73"/>
    </row>
    <row r="1159" spans="1:14" ht="18.45" customHeight="1" x14ac:dyDescent="0.3">
      <c r="A1159" s="76" t="s">
        <v>127</v>
      </c>
      <c r="B1159" s="60" t="s">
        <v>132</v>
      </c>
      <c r="C1159" s="76" t="s">
        <v>101</v>
      </c>
      <c r="D1159" s="55">
        <v>92</v>
      </c>
      <c r="E1159" s="89">
        <v>45252</v>
      </c>
      <c r="F1159" s="89">
        <v>45257</v>
      </c>
      <c r="G1159" s="67" t="s">
        <v>234</v>
      </c>
      <c r="H1159" s="60" t="s">
        <v>68</v>
      </c>
      <c r="I1159" s="89">
        <v>45370</v>
      </c>
      <c r="J1159" s="67" t="s">
        <v>234</v>
      </c>
      <c r="K1159" s="60">
        <v>300</v>
      </c>
      <c r="L1159" s="73"/>
      <c r="M1159" s="73"/>
      <c r="N1159" s="73"/>
    </row>
    <row r="1160" spans="1:14" ht="18.45" customHeight="1" x14ac:dyDescent="0.3">
      <c r="A1160" s="76" t="s">
        <v>126</v>
      </c>
      <c r="B1160" s="60" t="s">
        <v>130</v>
      </c>
      <c r="C1160" s="76" t="s">
        <v>165</v>
      </c>
      <c r="D1160" s="60">
        <v>21</v>
      </c>
      <c r="E1160" s="89">
        <v>45119</v>
      </c>
      <c r="F1160" s="89">
        <v>45120</v>
      </c>
      <c r="G1160" s="67" t="s">
        <v>234</v>
      </c>
      <c r="H1160" s="60" t="s">
        <v>65</v>
      </c>
      <c r="I1160" s="89">
        <v>45370</v>
      </c>
      <c r="J1160" s="67" t="s">
        <v>234</v>
      </c>
      <c r="K1160" s="60">
        <v>300</v>
      </c>
      <c r="L1160" s="73"/>
      <c r="M1160" s="73"/>
      <c r="N1160" s="73"/>
    </row>
    <row r="1161" spans="1:14" ht="18.45" customHeight="1" x14ac:dyDescent="0.3">
      <c r="A1161" s="48" t="s">
        <v>160</v>
      </c>
      <c r="B1161" s="50" t="s">
        <v>161</v>
      </c>
      <c r="C1161" s="76" t="s">
        <v>117</v>
      </c>
      <c r="D1161" s="62">
        <v>41</v>
      </c>
      <c r="E1161" s="54">
        <v>45367</v>
      </c>
      <c r="F1161" s="54">
        <v>45367</v>
      </c>
      <c r="G1161" s="67" t="s">
        <v>234</v>
      </c>
      <c r="H1161" s="62" t="s">
        <v>65</v>
      </c>
      <c r="I1161" s="92">
        <v>45370</v>
      </c>
      <c r="J1161" s="67" t="s">
        <v>234</v>
      </c>
      <c r="K1161" s="62">
        <v>50</v>
      </c>
      <c r="L1161" s="73"/>
      <c r="M1161" s="73"/>
      <c r="N1161" s="73"/>
    </row>
    <row r="1162" spans="1:14" ht="18.45" customHeight="1" x14ac:dyDescent="0.3">
      <c r="A1162" s="48" t="s">
        <v>125</v>
      </c>
      <c r="B1162" s="48" t="s">
        <v>129</v>
      </c>
      <c r="C1162" s="76" t="s">
        <v>134</v>
      </c>
      <c r="D1162" s="62">
        <v>34</v>
      </c>
      <c r="E1162" s="56">
        <v>45338</v>
      </c>
      <c r="F1162" s="56">
        <v>45338</v>
      </c>
      <c r="G1162" s="67" t="s">
        <v>234</v>
      </c>
      <c r="H1162" s="60" t="s">
        <v>65</v>
      </c>
      <c r="I1162" s="89">
        <v>45370</v>
      </c>
      <c r="J1162" s="67" t="s">
        <v>234</v>
      </c>
      <c r="K1162" s="62">
        <v>350</v>
      </c>
      <c r="L1162" s="73"/>
      <c r="M1162" s="73"/>
      <c r="N1162" s="73"/>
    </row>
    <row r="1163" spans="1:14" ht="18.45" customHeight="1" x14ac:dyDescent="0.3">
      <c r="A1163" s="48" t="s">
        <v>149</v>
      </c>
      <c r="B1163" s="50" t="s">
        <v>150</v>
      </c>
      <c r="C1163" s="76" t="s">
        <v>136</v>
      </c>
      <c r="D1163" s="62" t="s">
        <v>2487</v>
      </c>
      <c r="E1163" s="54">
        <v>45366</v>
      </c>
      <c r="F1163" s="54">
        <v>45367</v>
      </c>
      <c r="G1163" s="67" t="s">
        <v>234</v>
      </c>
      <c r="H1163" s="60" t="s">
        <v>65</v>
      </c>
      <c r="I1163" s="89">
        <v>45370</v>
      </c>
      <c r="J1163" s="67" t="s">
        <v>234</v>
      </c>
      <c r="K1163" s="62">
        <v>150</v>
      </c>
      <c r="L1163" s="73"/>
      <c r="M1163" s="73"/>
      <c r="N1163" s="73"/>
    </row>
    <row r="1164" spans="1:14" ht="18.45" customHeight="1" x14ac:dyDescent="0.3">
      <c r="A1164" s="48" t="s">
        <v>156</v>
      </c>
      <c r="B1164" s="50" t="s">
        <v>157</v>
      </c>
      <c r="C1164" s="76" t="s">
        <v>117</v>
      </c>
      <c r="D1164" s="62">
        <v>36</v>
      </c>
      <c r="E1164" s="54">
        <v>45360</v>
      </c>
      <c r="F1164" s="54">
        <v>45362</v>
      </c>
      <c r="G1164" s="67" t="s">
        <v>234</v>
      </c>
      <c r="H1164" s="60" t="s">
        <v>65</v>
      </c>
      <c r="I1164" s="89">
        <v>45370</v>
      </c>
      <c r="J1164" s="67" t="s">
        <v>234</v>
      </c>
      <c r="K1164" s="62">
        <v>350</v>
      </c>
      <c r="L1164" s="73"/>
      <c r="M1164" s="73"/>
      <c r="N1164" s="73"/>
    </row>
    <row r="1165" spans="1:14" ht="18.45" customHeight="1" x14ac:dyDescent="0.3">
      <c r="A1165" s="48" t="s">
        <v>2469</v>
      </c>
      <c r="B1165" s="50" t="s">
        <v>2470</v>
      </c>
      <c r="C1165" s="76" t="s">
        <v>101</v>
      </c>
      <c r="D1165" s="62">
        <v>93</v>
      </c>
      <c r="E1165" s="54">
        <v>45367</v>
      </c>
      <c r="F1165" s="54">
        <v>45369</v>
      </c>
      <c r="G1165" s="67" t="s">
        <v>234</v>
      </c>
      <c r="H1165" s="62" t="s">
        <v>65</v>
      </c>
      <c r="I1165" s="89">
        <v>45370</v>
      </c>
      <c r="J1165" s="67" t="s">
        <v>234</v>
      </c>
      <c r="K1165" s="62">
        <v>250</v>
      </c>
      <c r="L1165" s="73"/>
      <c r="M1165" s="73"/>
      <c r="N1165" s="73"/>
    </row>
    <row r="1166" spans="1:14" ht="18.45" customHeight="1" x14ac:dyDescent="0.3">
      <c r="A1166" s="51" t="s">
        <v>189</v>
      </c>
      <c r="B1166" s="51" t="s">
        <v>190</v>
      </c>
      <c r="C1166" s="51" t="s">
        <v>232</v>
      </c>
      <c r="D1166" s="51">
        <v>71</v>
      </c>
      <c r="E1166" s="58">
        <v>45362</v>
      </c>
      <c r="F1166" s="58">
        <v>45363</v>
      </c>
      <c r="G1166" s="67" t="s">
        <v>234</v>
      </c>
      <c r="H1166" s="51" t="s">
        <v>65</v>
      </c>
      <c r="I1166" s="61">
        <v>45370</v>
      </c>
      <c r="J1166" s="67" t="s">
        <v>234</v>
      </c>
      <c r="K1166" s="51">
        <v>100</v>
      </c>
      <c r="L1166" s="73"/>
      <c r="M1166" s="73"/>
      <c r="N1166" s="73"/>
    </row>
    <row r="1167" spans="1:14" ht="18.45" customHeight="1" x14ac:dyDescent="0.3">
      <c r="A1167" s="51" t="s">
        <v>2471</v>
      </c>
      <c r="B1167" s="51" t="s">
        <v>2472</v>
      </c>
      <c r="C1167" s="51" t="s">
        <v>229</v>
      </c>
      <c r="D1167" s="51">
        <v>6</v>
      </c>
      <c r="E1167" s="58">
        <v>45367</v>
      </c>
      <c r="F1167" s="58">
        <v>45369</v>
      </c>
      <c r="G1167" s="67" t="s">
        <v>234</v>
      </c>
      <c r="H1167" s="51" t="s">
        <v>65</v>
      </c>
      <c r="I1167" s="61">
        <v>45370</v>
      </c>
      <c r="J1167" s="67" t="s">
        <v>234</v>
      </c>
      <c r="K1167" s="51">
        <v>100</v>
      </c>
      <c r="L1167" s="73"/>
      <c r="M1167" s="73"/>
      <c r="N1167" s="73"/>
    </row>
    <row r="1168" spans="1:14" ht="18.45" customHeight="1" x14ac:dyDescent="0.3">
      <c r="A1168" s="51" t="s">
        <v>207</v>
      </c>
      <c r="B1168" s="51" t="s">
        <v>208</v>
      </c>
      <c r="C1168" s="51" t="s">
        <v>227</v>
      </c>
      <c r="D1168" s="51">
        <v>87</v>
      </c>
      <c r="E1168" s="58">
        <v>45363</v>
      </c>
      <c r="F1168" s="58">
        <v>45364</v>
      </c>
      <c r="G1168" s="67" t="s">
        <v>234</v>
      </c>
      <c r="H1168" s="51" t="s">
        <v>65</v>
      </c>
      <c r="I1168" s="61">
        <v>45370</v>
      </c>
      <c r="J1168" s="67" t="s">
        <v>234</v>
      </c>
      <c r="K1168" s="51">
        <v>250</v>
      </c>
      <c r="L1168" s="73"/>
      <c r="M1168" s="73"/>
      <c r="N1168" s="73"/>
    </row>
    <row r="1169" spans="1:14" ht="18.45" customHeight="1" x14ac:dyDescent="0.3">
      <c r="A1169" s="51" t="s">
        <v>209</v>
      </c>
      <c r="B1169" s="51" t="s">
        <v>210</v>
      </c>
      <c r="C1169" s="51" t="s">
        <v>232</v>
      </c>
      <c r="D1169" s="51">
        <v>86</v>
      </c>
      <c r="E1169" s="58">
        <v>45363</v>
      </c>
      <c r="F1169" s="58">
        <v>45364</v>
      </c>
      <c r="G1169" s="67" t="s">
        <v>234</v>
      </c>
      <c r="H1169" s="51" t="s">
        <v>65</v>
      </c>
      <c r="I1169" s="61">
        <v>45370</v>
      </c>
      <c r="J1169" s="67" t="s">
        <v>234</v>
      </c>
      <c r="K1169" s="51">
        <v>350</v>
      </c>
      <c r="L1169" s="73"/>
      <c r="M1169" s="73"/>
      <c r="N1169" s="73"/>
    </row>
    <row r="1170" spans="1:14" ht="18.45" customHeight="1" x14ac:dyDescent="0.3">
      <c r="A1170" s="51" t="s">
        <v>179</v>
      </c>
      <c r="B1170" s="51" t="s">
        <v>180</v>
      </c>
      <c r="C1170" s="51" t="s">
        <v>232</v>
      </c>
      <c r="D1170" s="51">
        <v>29</v>
      </c>
      <c r="E1170" s="58">
        <v>45352</v>
      </c>
      <c r="F1170" s="58">
        <v>45353</v>
      </c>
      <c r="G1170" s="67" t="s">
        <v>234</v>
      </c>
      <c r="H1170" s="51" t="s">
        <v>65</v>
      </c>
      <c r="I1170" s="61">
        <v>45370</v>
      </c>
      <c r="J1170" s="67" t="s">
        <v>234</v>
      </c>
      <c r="K1170" s="51">
        <v>350</v>
      </c>
      <c r="L1170" s="73"/>
      <c r="M1170" s="73"/>
      <c r="N1170" s="73"/>
    </row>
  </sheetData>
  <autoFilter ref="A1:N1170" xr:uid="{00000000-0009-0000-0000-00000D000000}">
    <sortState xmlns:xlrd2="http://schemas.microsoft.com/office/spreadsheetml/2017/richdata2" ref="A2:N1170">
      <sortCondition ref="I1:I1170"/>
    </sortState>
  </autoFilter>
  <conditionalFormatting sqref="A1">
    <cfRule type="duplicateValues" dxfId="44" priority="6"/>
    <cfRule type="duplicateValues" dxfId="43" priority="7"/>
    <cfRule type="duplicateValues" dxfId="42" priority="8"/>
    <cfRule type="duplicateValues" dxfId="41" priority="9"/>
    <cfRule type="duplicateValues" dxfId="40" priority="13"/>
    <cfRule type="duplicateValues" dxfId="39" priority="14"/>
    <cfRule type="duplicateValues" dxfId="38" priority="15"/>
  </conditionalFormatting>
  <conditionalFormatting sqref="A963">
    <cfRule type="duplicateValues" dxfId="37" priority="43"/>
  </conditionalFormatting>
  <conditionalFormatting sqref="A964">
    <cfRule type="duplicateValues" dxfId="36" priority="41"/>
  </conditionalFormatting>
  <conditionalFormatting sqref="A965">
    <cfRule type="duplicateValues" dxfId="35" priority="39"/>
  </conditionalFormatting>
  <conditionalFormatting sqref="A966">
    <cfRule type="duplicateValues" dxfId="34" priority="37"/>
  </conditionalFormatting>
  <conditionalFormatting sqref="A967">
    <cfRule type="duplicateValues" dxfId="33" priority="35"/>
  </conditionalFormatting>
  <conditionalFormatting sqref="A968">
    <cfRule type="duplicateValues" dxfId="32" priority="33"/>
  </conditionalFormatting>
  <conditionalFormatting sqref="A969">
    <cfRule type="duplicateValues" dxfId="31" priority="31"/>
  </conditionalFormatting>
  <conditionalFormatting sqref="A970">
    <cfRule type="duplicateValues" dxfId="30" priority="29"/>
  </conditionalFormatting>
  <conditionalFormatting sqref="A971">
    <cfRule type="duplicateValues" dxfId="29" priority="27"/>
  </conditionalFormatting>
  <conditionalFormatting sqref="A1139">
    <cfRule type="duplicateValues" dxfId="28" priority="22"/>
  </conditionalFormatting>
  <conditionalFormatting sqref="A412:B417">
    <cfRule type="duplicateValues" dxfId="27" priority="45"/>
    <cfRule type="duplicateValues" dxfId="26" priority="44"/>
  </conditionalFormatting>
  <conditionalFormatting sqref="A963:B963">
    <cfRule type="duplicateValues" dxfId="25" priority="42"/>
  </conditionalFormatting>
  <conditionalFormatting sqref="A964:B964">
    <cfRule type="duplicateValues" dxfId="24" priority="40"/>
  </conditionalFormatting>
  <conditionalFormatting sqref="A965:B965">
    <cfRule type="duplicateValues" dxfId="23" priority="38"/>
  </conditionalFormatting>
  <conditionalFormatting sqref="A966:B966">
    <cfRule type="duplicateValues" dxfId="22" priority="36"/>
  </conditionalFormatting>
  <conditionalFormatting sqref="A967:B967">
    <cfRule type="duplicateValues" dxfId="21" priority="34"/>
  </conditionalFormatting>
  <conditionalFormatting sqref="A968:B968">
    <cfRule type="duplicateValues" dxfId="20" priority="32"/>
  </conditionalFormatting>
  <conditionalFormatting sqref="A969:B969">
    <cfRule type="duplicateValues" dxfId="19" priority="30"/>
  </conditionalFormatting>
  <conditionalFormatting sqref="A970:B970">
    <cfRule type="duplicateValues" dxfId="18" priority="28"/>
  </conditionalFormatting>
  <conditionalFormatting sqref="A971:B971">
    <cfRule type="duplicateValues" dxfId="17" priority="26"/>
  </conditionalFormatting>
  <conditionalFormatting sqref="A1054:B1054">
    <cfRule type="duplicateValues" dxfId="16" priority="25"/>
  </conditionalFormatting>
  <conditionalFormatting sqref="A1122:B1122">
    <cfRule type="duplicateValues" dxfId="15" priority="24"/>
  </conditionalFormatting>
  <conditionalFormatting sqref="A1125:B1125">
    <cfRule type="duplicateValues" dxfId="14" priority="23"/>
  </conditionalFormatting>
  <conditionalFormatting sqref="A1135:B1135">
    <cfRule type="duplicateValues" dxfId="13" priority="20"/>
  </conditionalFormatting>
  <conditionalFormatting sqref="A1136:B1136">
    <cfRule type="duplicateValues" dxfId="12" priority="19"/>
  </conditionalFormatting>
  <conditionalFormatting sqref="A1137:B1137">
    <cfRule type="duplicateValues" dxfId="11" priority="18"/>
  </conditionalFormatting>
  <conditionalFormatting sqref="A1139:B1139">
    <cfRule type="duplicateValues" dxfId="10" priority="21"/>
  </conditionalFormatting>
  <conditionalFormatting sqref="A1158:B1158">
    <cfRule type="duplicateValues" dxfId="9" priority="17"/>
  </conditionalFormatting>
  <conditionalFormatting sqref="A1163:B1163">
    <cfRule type="duplicateValues" dxfId="8" priority="16"/>
  </conditionalFormatting>
  <conditionalFormatting sqref="B1:G1">
    <cfRule type="duplicateValues" dxfId="7" priority="10"/>
    <cfRule type="duplicateValues" dxfId="6" priority="11"/>
    <cfRule type="duplicateValues" dxfId="5" priority="12"/>
  </conditionalFormatting>
  <conditionalFormatting sqref="H1">
    <cfRule type="duplicateValues" dxfId="4" priority="5"/>
  </conditionalFormatting>
  <conditionalFormatting sqref="I1:J1">
    <cfRule type="duplicateValues" dxfId="3" priority="4"/>
  </conditionalFormatting>
  <conditionalFormatting sqref="K1">
    <cfRule type="duplicateValues" dxfId="2" priority="3"/>
  </conditionalFormatting>
  <conditionalFormatting sqref="L1:M1">
    <cfRule type="duplicateValues" dxfId="1" priority="2"/>
  </conditionalFormatting>
  <conditionalFormatting sqref="N1">
    <cfRule type="duplicateValues" dxfId="0" priority="1"/>
  </conditionalFormatting>
  <dataValidations count="3">
    <dataValidation type="list" allowBlank="1" showInputMessage="1" showErrorMessage="1" error="Prière selectionner une donnée proposée" sqref="J1" xr:uid="{00000000-0002-0000-0D00-000000000000}">
      <formula1>$AAK$2:$AAK$4</formula1>
    </dataValidation>
    <dataValidation type="list" allowBlank="1" showInputMessage="1" showErrorMessage="1" error="Prière selectionner une donnée proposée" sqref="C2:C3 D2 C22:C24 C19 C47:C48 C45 D71 C69:C73 C85:C91 C103:C104 C119:C128 C148:C149 C144:C145 C159:C167 C182:D182 C179 C158:D158 C21:D21 C193:C194 C199:C202 C222:C223 C215:C219 C235:C238 C260 C256:C258 C250:C253 D257:D260 C265 D271 C271:C272 C285 D283:D284 C287:C288 D303 C306 C308:C311 C300:C304 D331 C326:C331 C324 C345 C347:C351 C363:C369 C323:D323 C198:D198 C376:C378 C382 C395:C396 C410 C429 C447 C444:C445 D463 C465:C466 D465 C477 D480:D481 C479:C481 C491:C493 C523 C537 C540:C541 C543:C545 C556 C576:C577 C599 C597 C594 C612 C614 C617 C629 C631 C625:C626 C654:C655 C651:C652 C665:C666 C662:C663 C677 C680:C683 C719:C720 C737 C742 C755:C756 C769:C771 D771 D773 C794 D796:D798 C836 C857:C858 C860:D860 C862:D862 C879 D874 C873:C874 D894:D895 C895 C928:C929 C957 C977:C979 C1001 C994:C995 C1010:C1011 C1042 C1036:C1040 C1065:C1067 C1070:C1071 C1073 C1098:C1099 C1094 D1095 C1096 C1120 C1116:C1117 C1132 C1155:C1156 C1146:C1147 C1149 C1157:D1157 D1115 C1090:D1090 C1041:D1041 C1009:F1009 C996:F996 C980:D980 D958 C925:D925 D930 C853:D856 C821:D821 C768:D768 C476:D476 C459:D459 C441:D443 C393:D393 C379:D379 C1167:C1169 F365:F366 F369 F379:F382 F393:F394 F467 E1070:F1070 E977:F977 E981:F981 E957:F957 H2 I2:I3 H84 H180:H182 I179:I183 I164 H159 H161 H165:I167 I158:I162 H163:I163 I149 H143:H144 I143:I145 H146:I148 H122 H124:H128 I119:I128 I103:I105 I85:I86 I89:I91 H87:I88 H71 I69:I73 H47:H48 H44:H45 I44:I48 H19 I19:I20 H24:H25 I23:I25 H21:I22 H323:I331 H366:H367 H364 I363:I369 H344:I351 H300:I311 H281:I289 H264:I274 H259:H260 H256:H257 I250:I260 I232:I241 H215 I214:I223 H201:H202 H195:H197 I193:I202 H464:H466 H479:H481 H523 H540:H541 H546 H662:H666 H677:I683 H698:I706 H717:I726 H735:I744 H768 H771:H773 H838:H842 I834:I842 H834:H836 H889:I898 H957:H962 H972:H981 H993:H1001 H1008:H1019 H1030:H1044 H1056:H1073 H1082:H1099 H1111:H1120 H1128:H1133 H1141:H1157 H938:I942 H924:I930 H873:I879 H853:I862 H815:I821 H794:I799 H749:I759 H651:I655 I638:I639 I625:I631 I611:I618 I594:I601 H592:I593 H573 H575 I570:I577 I556:I557 I535:I547 I520:I523 I508:I512 I491:I496 H467:I470 I459:I466 I440:I447 I428:I430 I408:I411 I393:I398 H379:H380 H377 I376:I382 I476:I481 H1166:I1170" xr:uid="{00000000-0002-0000-0D00-000001000000}">
      <formula1>#REF!</formula1>
    </dataValidation>
    <dataValidation type="list" allowBlank="1" showInputMessage="1" showErrorMessage="1" sqref="F934:F935 F953 F956 H456:H457 H901:H903" xr:uid="{00000000-0002-0000-0D00-000002000000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Prière selectionner une donnée proposée" xr:uid="{00000000-0002-0000-0D00-000003000000}">
          <x14:formula1>
            <xm:f>Items!$A$2:$A$8</xm:f>
          </x14:formula1>
          <xm:sqref>H1</xm:sqref>
        </x14:dataValidation>
        <x14:dataValidation type="list" allowBlank="1" showInputMessage="1" showErrorMessage="1" error="Prière sélectionner une donnée proposée_x000a_" xr:uid="{00000000-0002-0000-0D00-000004000000}">
          <x14:formula1>
            <xm:f>Items!$B$2:$B$7</xm:f>
          </x14:formula1>
          <xm:sqref>L1:M1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REVOLUTION+</vt:lpstr>
      <vt:lpstr>Synth raccordement</vt:lpstr>
      <vt:lpstr>GLOBAL</vt:lpstr>
      <vt:lpstr>Recup Instances par zone</vt:lpstr>
      <vt:lpstr>TCD</vt:lpstr>
      <vt:lpstr>recup instances faisables</vt:lpstr>
      <vt:lpstr>instances sans PCO</vt:lpstr>
      <vt:lpstr>25 03 2024</vt:lpstr>
      <vt:lpstr>Feuil2</vt:lpstr>
      <vt:lpstr>Instances avec PCO</vt:lpstr>
      <vt:lpstr>Traitement  instances faisables</vt:lpstr>
      <vt:lpstr>canevas instances allegé </vt:lpstr>
      <vt:lpstr>Items</vt:lpstr>
      <vt:lpstr> avec PCO Et besoin</vt:lpstr>
      <vt:lpstr>Feuil3</vt:lpstr>
      <vt:lpstr>Canevas Instances Raccordées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KAROUM</dc:creator>
  <cp:lastModifiedBy>Chantre Hosy</cp:lastModifiedBy>
  <dcterms:created xsi:type="dcterms:W3CDTF">2024-02-24T15:37:20Z</dcterms:created>
  <dcterms:modified xsi:type="dcterms:W3CDTF">2026-02-16T17:38:17Z</dcterms:modified>
</cp:coreProperties>
</file>